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217155271246da" /></Relationships>
</file>

<file path=xl/workbook.xml><?xml version="1.0" encoding="utf-8"?>
<x:workbook xmlns:x="http://schemas.openxmlformats.org/spreadsheetml/2006/main">
  <x:sheets>
    <x:sheet xmlns:r="http://schemas.openxmlformats.org/officeDocument/2006/relationships" name="说明与统计" sheetId="1" r:id="Rd123be2749b84ad4"/>
    <x:sheet xmlns:r="http://schemas.openxmlformats.org/officeDocument/2006/relationships" name="markers" sheetId="2" r:id="R50fe90f8f96b4cb0"/>
    <x:sheet xmlns:r="http://schemas.openxmlformats.org/officeDocument/2006/relationships" name="import_log" sheetId="3" r:id="R956aa3fbcc6b46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7">
    <x:font>
      <x:sz val="11"/>
      <x:name val="Carlito"/>
    </x:font>
    <x:font>
      <x:b/>
      <x:sz val="16"/>
      <x:color rgb="FFFFFFFF"/>
      <x:name val="Carlito"/>
    </x:font>
    <x:font>
      <x:b/>
      <x:sz val="11"/>
      <x:color rgb="FF1F4E78"/>
      <x:name val="Carlito"/>
    </x:font>
    <x:font>
      <x:b/>
      <x:sz val="11"/>
      <x:color rgb="FF548235"/>
      <x:name val="Carlito"/>
    </x:font>
    <x:font>
      <x:sz val="11"/>
      <x:color rgb="FF203040"/>
      <x:name val="Carlito"/>
    </x:font>
    <x:font>
      <x:i/>
      <x:sz val="11"/>
      <x:color rgb="FF5B6570"/>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3F6F8"/>
      </x:patternFill>
    </x:fill>
  </x:fills>
  <x:borders count="7">
    <x:border/>
    <x:border>
      <x:right style="thin">
        <x:color rgb="FFCCD6DF"/>
      </x:right>
      <x:bottom style="thin">
        <x:color rgb="FFCCD6DF"/>
      </x:bottom>
    </x:border>
    <x:border>
      <x:left style="thin">
        <x:color rgb="FFCCD6DF"/>
      </x:left>
      <x:bottom style="thin">
        <x:color rgb="FFCCD6DF"/>
      </x:bottom>
    </x:border>
    <x:border>
      <x:right style="thin">
        <x:color rgb="FFCCD6DF"/>
      </x:right>
      <x:top style="thin">
        <x:color rgb="FFCCD6DF"/>
      </x:top>
      <x:bottom style="thin">
        <x:color rgb="FFCCD6DF"/>
      </x:bottom>
    </x:border>
    <x:border>
      <x:left style="thin">
        <x:color rgb="FFCCD6DF"/>
      </x:left>
      <x:top style="thin">
        <x:color rgb="FFCCD6DF"/>
      </x:top>
      <x:bottom style="thin">
        <x:color rgb="FFCCD6DF"/>
      </x:bottom>
    </x:border>
    <x:border>
      <x:right style="thin">
        <x:color rgb="FFCCD6DF"/>
      </x:right>
      <x:top style="thin">
        <x:color rgb="FFCCD6DF"/>
      </x:top>
    </x:border>
    <x:border>
      <x:left style="thin">
        <x:color rgb="FFCCD6DF"/>
      </x:left>
      <x:top style="thin">
        <x:color rgb="FFCCD6DF"/>
      </x:top>
    </x:border>
  </x:borders>
  <x:cellStyleXfs count="1">
    <x:xf numFmtId="0" fontId="0" fillId="0" borderId="0"/>
  </x:cellStyleXfs>
  <x:cellXfs count="56">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0" fillId="0" borderId="1" xfId="0"/>
    <x:xf numFmtId="0" fontId="0" fillId="0" borderId="2" xfId="0"/>
    <x:xf numFmtId="0" fontId="0" fillId="0" borderId="3" xfId="0"/>
    <x:xf numFmtId="0" fontId="0" fillId="0" borderId="4" xfId="0"/>
    <x:xf numFmtId="0" fontId="0" fillId="0" borderId="5" xfId="0"/>
    <x:xf numFmtId="0" fontId="0" fillId="0" borderId="6" xfId="0"/>
    <x:xf numFmtId="3" fontId="0" fillId="0" borderId="2" xfId="0"/>
    <x:xf numFmtId="3" fontId="0" fillId="0" borderId="4" xfId="0"/>
    <x:xf numFmtId="3" fontId="0" fillId="0" borderId="6"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0" fillId="0" borderId="0" xfId="0" applyAlignment="1">
      <x:alignment vertical="center"/>
    </x:xf>
    <x:xf numFmtId="0" fontId="2" fillId="3" borderId="0" xfId="0" applyAlignment="1">
      <x:alignment vertical="center"/>
    </x:xf>
    <x:xf numFmtId="0" fontId="0" fillId="0" borderId="1" xfId="0" applyAlignment="1">
      <x:alignment vertical="center"/>
    </x:xf>
    <x:xf numFmtId="3" fontId="0" fillId="0" borderId="2" xfId="0" applyAlignment="1">
      <x:alignment vertical="center"/>
    </x:xf>
    <x:xf numFmtId="0" fontId="0" fillId="0" borderId="3" xfId="0" applyAlignment="1">
      <x:alignment vertical="center"/>
    </x:xf>
    <x:xf numFmtId="3" fontId="0" fillId="0" borderId="4" xfId="0" applyAlignment="1">
      <x:alignment vertical="center"/>
    </x:xf>
    <x:xf numFmtId="0" fontId="0" fillId="0" borderId="5" xfId="0" applyAlignment="1">
      <x:alignment vertical="center"/>
    </x:xf>
    <x:xf numFmtId="3" fontId="0" fillId="0" borderId="6" xfId="0" applyAlignment="1">
      <x:alignment vertical="center"/>
    </x:xf>
    <x:xf numFmtId="0" fontId="3" fillId="4" borderId="0" xfId="0" applyAlignment="1">
      <x:alignment vertical="center"/>
    </x:xf>
    <x:xf numFmtId="0" fontId="4" fillId="5" borderId="0" xfId="0" applyAlignment="1">
      <x:alignment vertical="center" wrapText="1"/>
    </x:xf>
    <x:xf numFmtId="0" fontId="5" fillId="0" borderId="0" xfId="0" applyAlignment="1">
      <x:alignment vertical="center"/>
    </x:xf>
    <x:xf numFmtId="0" fontId="1" fillId="2" borderId="0" xfId="0" applyAlignment="1">
      <x:alignment horizontal="center" vertical="center" wrapText="1"/>
    </x:xf>
    <x:xf numFmtId="0" fontId="0" fillId="0" borderId="0" xfId="0" applyAlignment="1">
      <x:alignment vertical="center" wrapText="1"/>
    </x:xf>
    <x:xf numFmtId="0" fontId="2" fillId="3" borderId="0" xfId="0" applyAlignment="1">
      <x:alignment vertical="center" wrapText="1"/>
    </x:xf>
    <x:xf numFmtId="0" fontId="0" fillId="0" borderId="1" xfId="0" applyAlignment="1">
      <x:alignment vertical="center" wrapText="1"/>
    </x:xf>
    <x:xf numFmtId="3" fontId="0" fillId="0" borderId="2" xfId="0" applyAlignment="1">
      <x:alignment vertical="center" wrapText="1"/>
    </x:xf>
    <x:xf numFmtId="0" fontId="0" fillId="0" borderId="3" xfId="0" applyAlignment="1">
      <x:alignment vertical="center" wrapText="1"/>
    </x:xf>
    <x:xf numFmtId="3" fontId="0" fillId="0" borderId="4" xfId="0" applyAlignment="1">
      <x:alignment vertical="center" wrapText="1"/>
    </x:xf>
    <x:xf numFmtId="0" fontId="0" fillId="0" borderId="5" xfId="0" applyAlignment="1">
      <x:alignment vertical="center" wrapText="1"/>
    </x:xf>
    <x:xf numFmtId="3" fontId="0" fillId="0" borderId="6" xfId="0" applyAlignment="1">
      <x:alignment vertical="center" wrapText="1"/>
    </x:xf>
    <x:xf numFmtId="0" fontId="3" fillId="4" borderId="0" xfId="0" applyAlignment="1">
      <x:alignment vertical="center" wrapText="1"/>
    </x:xf>
    <x:xf numFmtId="0" fontId="5" fillId="0" borderId="0" xfId="0" applyAlignment="1">
      <x:alignment vertical="center" wrapText="1"/>
    </x:xf>
    <x:xf numFmtId="0" fontId="6" fillId="2" borderId="0" xfId="0"/>
    <x:xf numFmtId="0" fontId="6" fillId="2" borderId="0" xfId="0" applyAlignment="1">
      <x:alignment wrapText="1"/>
    </x:xf>
    <x:xf numFmtId="0" fontId="0" fillId="0" borderId="0" xfId="0" applyAlignment="1">
      <x:alignment vertical="top"/>
    </x:xf>
    <x:xf numFmtId="0" fontId="0" fillId="0" borderId="0" xfId="0" applyAlignment="1">
      <x:alignment vertical="top" wrapText="1"/>
    </x:xf>
    <x:xf numFmtId="164" fontId="0" fillId="0" borderId="0" xfId="0" applyAlignment="1">
      <x:alignment vertical="top"/>
    </x:xf>
    <x:xf numFmtId="0" fontId="0" fillId="0" borderId="0" xfId="0" applyAlignment="1">
      <x:alignment wrapText="1"/>
    </x:xf>
    <x:xf numFmtId="164" fontId="0" fillId="0" borderId="0" xfId="0" applyAlignment="1">
      <x:alignment vertical="top" wrapText="1"/>
    </x:xf>
    <x:xf numFmtId="3" fontId="0" fillId="0" borderId="2" xfId="0" applyAlignment="1">
      <x:alignment vertical="center" wrapText="1"/>
    </x:xf>
    <x:xf numFmtId="3" fontId="0" fillId="0" borderId="4" xfId="0" applyAlignment="1">
      <x:alignment vertical="center" wrapText="1"/>
    </x:xf>
    <x:xf numFmtId="3" fontId="0" fillId="0" borderId="6" xfId="0" applyAlignment="1">
      <x:alignment vertical="center" wrapText="1"/>
    </x:xf>
    <x:xf numFmtId="164" fontId="0" fillId="0" borderId="0" xfId="0" applyAlignment="1">
      <x:alignment vertical="top"/>
    </x:xf>
    <x:xf numFmtId="164" fontId="0" fillId="0" borderId="0" xfId="0" applyAlignment="1">
      <x:alignment vertical="top" wrapText="1"/>
    </x:xf>
  </x:cellXfs>
  <x:cellStyles count="1">
    <x:cellStyle name="Normal" xfId="0"/>
  </x:cellStyles>
  <x:dxfs count="3">
    <x:dxf>
      <x:font>
        <x:color rgb="FF548235"/>
      </x:font>
      <x:fill>
        <x:patternFill>
          <x:bgColor rgb="FFE2F0D9"/>
        </x:patternFill>
      </x:fill>
    </x:dxf>
    <x:dxf>
      <x:font>
        <x:color rgb="FF9C6500"/>
      </x:font>
      <x:fill>
        <x:patternFill>
          <x:bgColor rgb="FFFFF2CC"/>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a82faf73e9b495c" /><Relationship Type="http://schemas.openxmlformats.org/officeDocument/2006/relationships/theme" Target="/xl/theme/theme1.xml" Id="R5b32fca0774c43fa" /><Relationship Type="http://schemas.openxmlformats.org/officeDocument/2006/relationships/sharedStrings" Target="/xl/sharedStrings.xml" Id="Rb99d64e3b17142b2" /><Relationship Type="http://schemas.openxmlformats.org/officeDocument/2006/relationships/worksheet" Target="/xl/worksheets/sheet1.xml" Id="Rd123be2749b84ad4" /><Relationship Type="http://schemas.openxmlformats.org/officeDocument/2006/relationships/worksheet" Target="/xl/worksheets/sheet2.xml" Id="R50fe90f8f96b4cb0" /><Relationship Type="http://schemas.openxmlformats.org/officeDocument/2006/relationships/worksheet" Target="/xl/worksheets/sheet3.xml" Id="R956aa3fbcc6b46a8" /></Relationships>
</file>

<file path=xl/tables/table1.xml><?xml version="1.0" encoding="utf-8"?>
<x:table xmlns:x="http://schemas.openxmlformats.org/spreadsheetml/2006/main" id="1" name="OurMarkersTable" displayName="OurMarkersTable" ref="A1:X11" headerRowCount="1" totalsRowCount="0" totalsRowShown="0">
  <x:tableColumns count="24">
    <x:tableColumn id="1" name="marker_id"/>
    <x:tableColumn id="2" name="task_no"/>
    <x:tableColumn id="3" name="dataset_id"/>
    <x:tableColumn id="4" name="paper_id"/>
    <x:tableColumn id="5" name="document_id"/>
    <x:tableColumn id="6" name="document_role"/>
    <x:tableColumn id="7" name="ct_id"/>
    <x:tableColumn id="8" name="subtype_id"/>
    <x:tableColumn id="9" name="cell_type"/>
    <x:tableColumn id="10" name="subtype"/>
    <x:tableColumn id="11" name="species"/>
    <x:tableColumn id="12" name="is_pns_cell"/>
    <x:tableColumn id="13" name="gene_symbol"/>
    <x:tableColumn id="14" name="original_symbol"/>
    <x:tableColumn id="15" name="evidence_type"/>
    <x:tableColumn id="16" name="marker_polarity"/>
    <x:tableColumn id="17" name="candidate_class"/>
    <x:tableColumn id="18" name="source_locator"/>
    <x:tableColumn id="19" name="source_context"/>
    <x:tableColumn id="20" name="review_status"/>
    <x:tableColumn id="21" name="review_method"/>
    <x:tableColumn id="22" name="notes"/>
    <x:tableColumn id="23" name="source_file"/>
    <x:tableColumn id="24" name="imported_at"/>
  </x:tableColumns>
  <x:tableStyleInfo name="TableStyleMedium2" showFirstColumn="0" showLastColumn="0" showRowStripes="1" showColumnStripes="0"/>
</x:table>
</file>

<file path=xl/tables/table2.xml><?xml version="1.0" encoding="utf-8"?>
<x:table xmlns:x="http://schemas.openxmlformats.org/spreadsheetml/2006/main" id="2" name="MarkerImportLogTable" displayName="MarkerImportLogTable" ref="A1:O2" headerRowCount="1" totalsRowCount="0" totalsRowShown="0">
  <x:tableColumns count="15">
    <x:tableColumn id="1" name="batch_id"/>
    <x:tableColumn id="2" name="task_no"/>
    <x:tableColumn id="3" name="paper_id"/>
    <x:tableColumn id="4" name="document_id"/>
    <x:tableColumn id="5" name="paper_title"/>
    <x:tableColumn id="6" name="review_method"/>
    <x:tableColumn id="7" name="extracted_candidates"/>
    <x:tableColumn id="8" name="formal_candidates"/>
    <x:tableColumn id="9" name="quick_approved"/>
    <x:tableColumn id="10" name="rejected_scope"/>
    <x:tableColumn id="11" name="context_only"/>
    <x:tableColumn id="12" name="imported_count"/>
    <x:tableColumn id="13" name="source_file"/>
    <x:tableColumn id="14" name="imported_a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47617f2d4e4040" /></Relationships>
</file>

<file path=xl/worksheets/_rels/sheet3.xml.rels>&#65279;<?xml version="1.0" encoding="utf-8"?><Relationships xmlns="http://schemas.openxmlformats.org/package/2006/relationships"><Relationship Type="http://schemas.openxmlformats.org/officeDocument/2006/relationships/table" Target="/xl/tables/table2.xml" Id="R33755da601844f8d"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16" customWidth="1"/>
    <x:col min="4" max="4" width="16" customWidth="1"/>
    <x:col min="5" max="5" width="16" customWidth="1"/>
    <x:col min="6" max="6" width="16" customWidth="1"/>
    <x:col min="7" max="7" width="16" customWidth="1"/>
    <x:col min="8" max="8" width="16" customWidth="1"/>
  </x:cols>
  <x:sheetData>
    <x:row r="1" ht="30" customHeight="1">
      <x:c r="A1" s="33" t="inlineStr">
        <x:is>
          <x:t xml:space="preserve">我方 Marker 总表（schema v2）</x:t>
        </x:is>
      </x:c>
    </x:row>
    <x:row r="2">
      <x:c r="A2" s="34" t="n"/>
      <x:c r="B2" s="34" t="n"/>
      <x:c r="C2" s="34" t="n"/>
      <x:c r="D2" s="34" t="n"/>
      <x:c r="E2" s="34" t="n"/>
      <x:c r="F2" s="34" t="n"/>
      <x:c r="G2" s="34" t="n"/>
      <x:c r="H2" s="34" t="n"/>
    </x:row>
    <x:row r="3">
      <x:c r="A3" s="35" t="inlineStr">
        <x:is>
          <x:t xml:space="preserve">当前统计</x:t>
        </x:is>
      </x:c>
      <x:c r="B3" s="35" t="inlineStr">
        <x:is>
          <x:t xml:space="preserve">数量</x:t>
        </x:is>
      </x:c>
      <x:c r="C3" s="34" t="n"/>
      <x:c r="D3" s="34" t="n"/>
      <x:c r="E3" s="34" t="n"/>
      <x:c r="F3" s="34" t="n"/>
      <x:c r="G3" s="34" t="n"/>
      <x:c r="H3" s="34" t="n"/>
    </x:row>
    <x:row r="4">
      <x:c r="A4" s="36" t="inlineStr">
        <x:is>
          <x:t xml:space="preserve">已录入 marker</x:t>
        </x:is>
      </x:c>
      <x:c r="B4" s="51" t="n">
        <x:f>COUNTA('markers'!$A$2:$A$5000)</x:f>
        <x:v>88</x:v>
      </x:c>
      <x:c r="C4" s="34" t="n"/>
      <x:c r="D4" s="34" t="n"/>
      <x:c r="E4" s="34" t="n"/>
      <x:c r="F4" s="34" t="n"/>
      <x:c r="G4" s="34" t="n"/>
      <x:c r="H4" s="34" t="n"/>
    </x:row>
    <x:row r="5">
      <x:c r="A5" s="38" t="inlineStr">
        <x:is>
          <x:t xml:space="preserve">已批准 marker</x:t>
        </x:is>
      </x:c>
      <x:c r="B5" s="52" t="n">
        <x:f>COUNTIF('markers'!$T$2:$T$5000,"approved")</x:f>
        <x:v>86</x:v>
      </x:c>
      <x:c r="C5" s="34" t="n"/>
      <x:c r="D5" s="34" t="n"/>
      <x:c r="E5" s="34" t="n"/>
      <x:c r="F5" s="34" t="n"/>
      <x:c r="G5" s="34" t="n"/>
      <x:c r="H5" s="34" t="n"/>
    </x:row>
    <x:row r="6">
      <x:c r="A6" s="38" t="inlineStr">
        <x:is>
          <x:t xml:space="preserve">已录入论文</x:t>
        </x:is>
      </x:c>
      <x:c r="B6" s="52" t="n">
        <x:f>COUNTA('import_log'!$A$2:$A$500)</x:f>
        <x:v>106</x:v>
      </x:c>
      <x:c r="C6" s="34" t="n"/>
      <x:c r="D6" s="34" t="n"/>
      <x:c r="E6" s="34" t="n"/>
      <x:c r="F6" s="34" t="n"/>
      <x:c r="G6" s="34" t="n"/>
      <x:c r="H6" s="34" t="n"/>
    </x:row>
    <x:row r="7">
      <x:c r="A7" s="40" t="inlineStr">
        <x:is>
          <x:t xml:space="preserve">PNS marker</x:t>
        </x:is>
      </x:c>
      <x:c r="B7" s="53" t="n">
        <x:f>COUNTIF('markers'!$L$2:$L$5000,"true")</x:f>
        <x:v>88</x:v>
      </x:c>
      <x:c r="C7" s="34" t="n"/>
      <x:c r="D7" s="34" t="n"/>
      <x:c r="E7" s="34" t="n"/>
      <x:c r="F7" s="34" t="n"/>
      <x:c r="G7" s="34" t="n"/>
      <x:c r="H7" s="34" t="n"/>
    </x:row>
    <x:row r="8">
      <x:c r="A8" s="34" t="n"/>
      <x:c r="B8" s="34" t="n"/>
      <x:c r="C8" s="34" t="n"/>
      <x:c r="D8" s="34" t="n"/>
      <x:c r="E8" s="34" t="n"/>
      <x:c r="F8" s="34" t="n"/>
      <x:c r="G8" s="34" t="n"/>
      <x:c r="H8" s="34" t="n"/>
    </x:row>
    <x:row r="9">
      <x:c r="A9" s="42" t="inlineStr">
        <x:is>
          <x:t xml:space="preserve">快速一致性复核录入规则</x:t>
        </x:is>
      </x:c>
    </x:row>
    <x:row r="10" ht="28" customHeight="1">
      <x:c r="A10" s="31" t="inlineStr">
        <x:is>
          <x:t xml:space="preserve">1. 只录入 formal_candidate；context_only、普通 DEG、模型推断和外部引用默认不录入。</x:t>
        </x:is>
      </x:c>
    </x:row>
    <x:row r="11" ht="28" customHeight="1">
      <x:c r="A11" s="31" t="inlineStr">
        <x:is>
          <x:t xml:space="preserve">2. 快速复核必须确认：paper/document 映射正确；细胞类型、基因与 source_context 大致一致；source_locator 可回到正文或图表。</x:t>
        </x:is>
      </x:c>
    </x:row>
    <x:row r="12" ht="28" customHeight="1">
      <x:c r="A12" s="31" t="inlineStr">
        <x:is>
          <x:t xml:space="preserve">3. 默认只录入 is_pns_cell=true 且物种与任务表一致的记录；比较物种、非 PNS 细胞和身份不清记录暂不录入。</x:t>
        </x:is>
      </x:c>
    </x:row>
    <x:row r="13" ht="28" customHeight="1">
      <x:c r="A13" s="31" t="inlineStr">
        <x:is>
          <x:t xml:space="preserve">4. 不要求逐句或逐图完整复核；发现明显错配、基因拼写错误、负 marker 极性错误时必须修改或拒绝。</x:t>
        </x:is>
      </x:c>
    </x:row>
    <x:row r="14" ht="28" customHeight="1">
      <x:c r="A14" s="31" t="inlineStr">
        <x:is>
          <x:t xml:space="preserve">5. 快速复核通过记 review_status=approved、review_method=quick_consistency；以后完整复核可更新为 full_review。</x:t>
        </x:is>
      </x:c>
    </x:row>
    <x:row r="15" ht="28" customHeight="1">
      <x:c r="A15" s="31" t="inlineStr">
        <x:is>
          <x:t xml:space="preserve">6. 去重键：paper_id + document_id + cell_type + subtype + gene_symbol + marker_polarity。</x:t>
        </x:is>
      </x:c>
    </x:row>
    <x:row r="16">
      <x:c r="A16" s="34" t="n"/>
      <x:c r="B16" s="34" t="n"/>
      <x:c r="C16" s="34" t="n"/>
      <x:c r="D16" s="34" t="n"/>
      <x:c r="E16" s="34" t="n"/>
      <x:c r="F16" s="34" t="n"/>
      <x:c r="G16" s="34" t="n"/>
      <x:c r="H16" s="34" t="n"/>
    </x:row>
    <x:row r="17">
      <x:c r="A17" s="43" t="inlineStr">
        <x:is>
          <x:t xml:space="preserve">任务范围：db/cellxgene/our_marker_papers.xlsx；逐篇来源：scripts/extract_markers/markers_output_v2/</x:t>
        </x:is>
      </x:c>
    </x:row>
  </x:sheetData>
  <x:mergeCells>
    <x:mergeCell ref="A9:H9"/>
    <x:mergeCell ref="A12:H12"/>
    <x:mergeCell ref="A15:H15"/>
    <x:mergeCell ref="A10:H10"/>
    <x:mergeCell ref="A13:H13"/>
    <x:mergeCell ref="A11:H11"/>
    <x:mergeCell ref="A14:H14"/>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2" customWidth="1"/>
    <x:col min="2" max="2" width="9" customWidth="1"/>
    <x:col min="3" max="3" width="28" customWidth="1"/>
    <x:col min="4" max="4" width="28" customWidth="1"/>
    <x:col min="5" max="5" width="28" customWidth="1"/>
    <x:col min="6" max="6" width="14" customWidth="1"/>
    <x:col min="7" max="7" width="12" customWidth="1"/>
    <x:col min="8" max="8" width="12" customWidth="1"/>
    <x:col min="9" max="9" width="24" customWidth="1"/>
    <x:col min="10" max="10" width="30" customWidth="1"/>
    <x:col min="11" max="11" width="11" customWidth="1"/>
    <x:col min="12" max="12" width="11" customWidth="1"/>
    <x:col min="13" max="13" width="16" customWidth="1"/>
    <x:col min="14" max="14" width="16" customWidth="1"/>
    <x:col min="15" max="15" width="21" customWidth="1"/>
    <x:col min="16" max="16" width="14" customWidth="1"/>
    <x:col min="17" max="17" width="19" customWidth="1"/>
    <x:col min="18" max="18" width="28" customWidth="1"/>
    <x:col min="19" max="19" width="58" customWidth="1"/>
    <x:col min="20" max="20" width="15" customWidth="1"/>
    <x:col min="21" max="21" width="20" customWidth="1"/>
    <x:col min="22" max="22" width="42" customWidth="1"/>
    <x:col min="23" max="23" width="48" customWidth="1"/>
    <x:col min="24" max="24" width="13" customWidth="1"/>
  </x:cols>
  <x:sheetData>
    <x:row r="1">
      <x:c r="A1" s="45" t="inlineStr">
        <x:is>
          <x:t xml:space="preserve">marker_id</x:t>
        </x:is>
      </x:c>
      <x:c r="B1" s="45" t="inlineStr">
        <x:is>
          <x:t xml:space="preserve">task_no</x:t>
        </x:is>
      </x:c>
      <x:c r="C1" s="45" t="inlineStr">
        <x:is>
          <x:t xml:space="preserve">dataset_id</x:t>
        </x:is>
      </x:c>
      <x:c r="D1" s="45" t="inlineStr">
        <x:is>
          <x:t xml:space="preserve">paper_id</x:t>
        </x:is>
      </x:c>
      <x:c r="E1" s="45" t="inlineStr">
        <x:is>
          <x:t xml:space="preserve">document_id</x:t>
        </x:is>
      </x:c>
      <x:c r="F1" s="45" t="inlineStr">
        <x:is>
          <x:t xml:space="preserve">document_role</x:t>
        </x:is>
      </x:c>
      <x:c r="G1" s="45" t="inlineStr">
        <x:is>
          <x:t xml:space="preserve">ct_id</x:t>
        </x:is>
      </x:c>
      <x:c r="H1" s="45" t="inlineStr">
        <x:is>
          <x:t xml:space="preserve">subtype_id</x:t>
        </x:is>
      </x:c>
      <x:c r="I1" s="45" t="inlineStr">
        <x:is>
          <x:t xml:space="preserve">cell_type</x:t>
        </x:is>
      </x:c>
      <x:c r="J1" s="45" t="inlineStr">
        <x:is>
          <x:t xml:space="preserve">subtype</x:t>
        </x:is>
      </x:c>
      <x:c r="K1" s="45" t="inlineStr">
        <x:is>
          <x:t xml:space="preserve">species</x:t>
        </x:is>
      </x:c>
      <x:c r="L1" s="45" t="inlineStr">
        <x:is>
          <x:t xml:space="preserve">is_pns_cell</x:t>
        </x:is>
      </x:c>
      <x:c r="M1" s="45" t="inlineStr">
        <x:is>
          <x:t xml:space="preserve">gene_symbol</x:t>
        </x:is>
      </x:c>
      <x:c r="N1" s="45" t="inlineStr">
        <x:is>
          <x:t xml:space="preserve">original_symbol</x:t>
        </x:is>
      </x:c>
      <x:c r="O1" s="45" t="inlineStr">
        <x:is>
          <x:t xml:space="preserve">evidence_type</x:t>
        </x:is>
      </x:c>
      <x:c r="P1" s="45" t="inlineStr">
        <x:is>
          <x:t xml:space="preserve">marker_polarity</x:t>
        </x:is>
      </x:c>
      <x:c r="Q1" s="45" t="inlineStr">
        <x:is>
          <x:t xml:space="preserve">candidate_class</x:t>
        </x:is>
      </x:c>
      <x:c r="R1" s="45" t="inlineStr">
        <x:is>
          <x:t xml:space="preserve">source_locator</x:t>
        </x:is>
      </x:c>
      <x:c r="S1" s="45" t="inlineStr">
        <x:is>
          <x:t xml:space="preserve">source_context</x:t>
        </x:is>
      </x:c>
      <x:c r="T1" s="45" t="inlineStr">
        <x:is>
          <x:t xml:space="preserve">review_status</x:t>
        </x:is>
      </x:c>
      <x:c r="U1" s="45" t="inlineStr">
        <x:is>
          <x:t xml:space="preserve">review_method</x:t>
        </x:is>
      </x:c>
      <x:c r="V1" s="45" t="inlineStr">
        <x:is>
          <x:t xml:space="preserve">notes</x:t>
        </x:is>
      </x:c>
      <x:c r="W1" s="45" t="inlineStr">
        <x:is>
          <x:t xml:space="preserve">source_file</x:t>
        </x:is>
      </x:c>
      <x:c r="X1" s="45" t="inlineStr">
        <x:is>
          <x:t xml:space="preserve">imported_at</x:t>
        </x:is>
      </x:c>
    </x:row>
    <x:row r="2" ht="60" customHeight="1">
      <x:c r="A2" s="46" t="inlineStr">
        <x:is>
          <x:t xml:space="preserve">M00001</x:t>
        </x:is>
      </x:c>
      <x:c r="B2" s="46" t="n">
        <x:v>3</x:v>
      </x:c>
      <x:c r="C2" s="46" t="inlineStr">
        <x:is>
          <x:t xml:space="preserve">CELLxGENE:d973ea15-3722-4bc8-a0e8-1d956d26e203</x:t>
        </x:is>
      </x:c>
      <x:c r="D2" s="46" t="inlineStr">
        <x:is>
          <x:t xml:space="preserve">DOI_10.7554_elife.71752</x:t>
        </x:is>
      </x:c>
      <x:c r="E2" s="46" t="inlineStr">
        <x:is>
          <x:t xml:space="preserve">DOI_10.7554_elife.71752</x:t>
        </x:is>
      </x:c>
      <x:c r="F2" s="46" t="inlineStr">
        <x:is>
          <x:t xml:space="preserve">primary</x:t>
        </x:is>
      </x:c>
      <x:c r="G2" s="46" t="n"/>
      <x:c r="H2" s="46" t="n"/>
      <x:c r="I2" s="47" t="inlineStr">
        <x:is>
          <x:t xml:space="preserve">H3</x:t>
        </x:is>
      </x:c>
      <x:c r="J2" s="47" t="inlineStr">
        <x:is>
          <x:t xml:space="preserve">putative peptidergic/Aδ nociceptor</x:t>
        </x:is>
      </x:c>
      <x:c r="K2" s="47" t="inlineStr">
        <x:is>
          <x:t xml:space="preserve">human</x:t>
        </x:is>
      </x:c>
      <x:c r="L2" s="47" t="inlineStr">
        <x:is>
          <x:t xml:space="preserve">true</x:t>
        </x:is>
      </x:c>
      <x:c r="M2" s="47" t="inlineStr">
        <x:is>
          <x:t xml:space="preserve">NEFH</x:t>
        </x:is>
      </x:c>
      <x:c r="N2" s="47" t="inlineStr">
        <x:is>
          <x:t xml:space="preserve">NEFH</x:t>
        </x:is>
      </x:c>
      <x:c r="O2" s="47" t="inlineStr">
        <x:is>
          <x:t xml:space="preserve">author_declared</x:t>
        </x:is>
      </x:c>
      <x:c r="P2" s="47" t="inlineStr">
        <x:is>
          <x:t xml:space="preserve">positive</x:t>
        </x:is>
      </x:c>
      <x:c r="Q2" s="47" t="inlineStr">
        <x:is>
          <x:t xml:space="preserve">formal_candidate</x:t>
        </x:is>
      </x:c>
      <x:c r="R2" s="47" t="inlineStr">
        <x:is>
          <x:t xml:space="preserve">Results p.4; Figure 1C</x:t>
        </x:is>
      </x:c>
      <x:c r="S2" s="47" t="inlineStr">
        <x:is>
          <x:t xml:space="preserve">this gene showed graded expression in our data and marks several classes of cells just as in mice; some of these (including H3 and H6) also express peptidergic markers and SCN10A</x:t>
        </x:is>
      </x:c>
      <x:c r="T2" s="47" t="inlineStr">
        <x:is>
          <x:t xml:space="preserve">approved</x:t>
        </x:is>
      </x:c>
      <x:c r="U2" s="47" t="inlineStr">
        <x:is>
          <x:t xml:space="preserve">quick_consistency</x:t>
        </x:is>
      </x:c>
      <x:c r="V2" s="47" t="inlineStr">
        <x:is>
          <x:t xml:space="preserve">快速一致性复核：论文映射正确，PNS=true，物种与任务一致，细胞类型—基因—证据定位大致一致；未做逐句完整复核</x:t>
        </x:is>
      </x:c>
      <x:c r="W2" s="47" t="inlineStr">
        <x:is>
          <x:t xml:space="preserve">scripts/extract_markers/markers_output_v2/DOI_10.7554_elife.71752_review.csv</x:t>
        </x:is>
      </x:c>
      <x:c r="X2" s="54" t="n">
        <x:v>46248</x:v>
      </x:c>
    </x:row>
    <x:row r="3" ht="60" customHeight="1">
      <x:c r="A3" s="46" t="inlineStr">
        <x:is>
          <x:t xml:space="preserve">M00002</x:t>
        </x:is>
      </x:c>
      <x:c r="B3" s="46" t="n">
        <x:v>3</x:v>
      </x:c>
      <x:c r="C3" s="46" t="inlineStr">
        <x:is>
          <x:t xml:space="preserve">CELLxGENE:d973ea15-3722-4bc8-a0e8-1d956d26e203</x:t>
        </x:is>
      </x:c>
      <x:c r="D3" s="46" t="inlineStr">
        <x:is>
          <x:t xml:space="preserve">DOI_10.7554_elife.71752</x:t>
        </x:is>
      </x:c>
      <x:c r="E3" s="46" t="inlineStr">
        <x:is>
          <x:t xml:space="preserve">DOI_10.7554_elife.71752</x:t>
        </x:is>
      </x:c>
      <x:c r="F3" s="46" t="inlineStr">
        <x:is>
          <x:t xml:space="preserve">primary</x:t>
        </x:is>
      </x:c>
      <x:c r="G3" s="46" t="n"/>
      <x:c r="H3" s="46" t="n"/>
      <x:c r="I3" s="47" t="inlineStr">
        <x:is>
          <x:t xml:space="preserve">H6</x:t>
        </x:is>
      </x:c>
      <x:c r="J3" s="47" t="inlineStr">
        <x:is>
          <x:t xml:space="preserve">putative peptidergic/Aδ nociceptor</x:t>
        </x:is>
      </x:c>
      <x:c r="K3" s="47" t="inlineStr">
        <x:is>
          <x:t xml:space="preserve">human</x:t>
        </x:is>
      </x:c>
      <x:c r="L3" s="47" t="inlineStr">
        <x:is>
          <x:t xml:space="preserve">true</x:t>
        </x:is>
      </x:c>
      <x:c r="M3" s="47" t="inlineStr">
        <x:is>
          <x:t xml:space="preserve">NEFH</x:t>
        </x:is>
      </x:c>
      <x:c r="N3" s="47" t="inlineStr">
        <x:is>
          <x:t xml:space="preserve">NEFH</x:t>
        </x:is>
      </x:c>
      <x:c r="O3" s="47" t="inlineStr">
        <x:is>
          <x:t xml:space="preserve">author_declared</x:t>
        </x:is>
      </x:c>
      <x:c r="P3" s="47" t="inlineStr">
        <x:is>
          <x:t xml:space="preserve">positive</x:t>
        </x:is>
      </x:c>
      <x:c r="Q3" s="47" t="inlineStr">
        <x:is>
          <x:t xml:space="preserve">formal_candidate</x:t>
        </x:is>
      </x:c>
      <x:c r="R3" s="47" t="inlineStr">
        <x:is>
          <x:t xml:space="preserve">Results p.4; Figure 1C</x:t>
        </x:is>
      </x:c>
      <x:c r="S3" s="47" t="inlineStr">
        <x:is>
          <x:t xml:space="preserve">this gene showed graded expression in our data and marks several classes of cells just as in mice; some of these (including H3 and H6) also express peptidergic markers and SCN10A</x:t>
        </x:is>
      </x:c>
      <x:c r="T3" s="47" t="inlineStr">
        <x:is>
          <x:t xml:space="preserve">approved</x:t>
        </x:is>
      </x:c>
      <x:c r="U3" s="47" t="inlineStr">
        <x:is>
          <x:t xml:space="preserve">quick_consistency</x:t>
        </x:is>
      </x:c>
      <x:c r="V3" s="47" t="inlineStr">
        <x:is>
          <x:t xml:space="preserve">快速一致性复核：论文映射正确，PNS=true，物种与任务一致，细胞类型—基因—证据定位大致一致；未做逐句完整复核</x:t>
        </x:is>
      </x:c>
      <x:c r="W3" s="47" t="inlineStr">
        <x:is>
          <x:t xml:space="preserve">scripts/extract_markers/markers_output_v2/DOI_10.7554_elife.71752_review.csv</x:t>
        </x:is>
      </x:c>
      <x:c r="X3" s="54" t="n">
        <x:v>46248</x:v>
      </x:c>
    </x:row>
    <x:row r="4" ht="60" customHeight="1">
      <x:c r="A4" s="46" t="inlineStr">
        <x:is>
          <x:t xml:space="preserve">M00003</x:t>
        </x:is>
      </x:c>
      <x:c r="B4" s="46" t="n">
        <x:v>3</x:v>
      </x:c>
      <x:c r="C4" s="46" t="inlineStr">
        <x:is>
          <x:t xml:space="preserve">CELLxGENE:d973ea15-3722-4bc8-a0e8-1d956d26e203</x:t>
        </x:is>
      </x:c>
      <x:c r="D4" s="46" t="inlineStr">
        <x:is>
          <x:t xml:space="preserve">DOI_10.7554_elife.71752</x:t>
        </x:is>
      </x:c>
      <x:c r="E4" s="46" t="inlineStr">
        <x:is>
          <x:t xml:space="preserve">DOI_10.7554_elife.71752</x:t>
        </x:is>
      </x:c>
      <x:c r="F4" s="46" t="inlineStr">
        <x:is>
          <x:t xml:space="preserve">primary</x:t>
        </x:is>
      </x:c>
      <x:c r="G4" s="46" t="n"/>
      <x:c r="H4" s="46" t="n"/>
      <x:c r="I4" s="47" t="inlineStr">
        <x:is>
          <x:t xml:space="preserve">H10</x:t>
        </x:is>
      </x:c>
      <x:c r="J4" s="47" t="inlineStr">
        <x:is>
          <x:t xml:space="preserve">nonpeptidergic nociceptor / candidate pruriceptor</x:t>
        </x:is>
      </x:c>
      <x:c r="K4" s="47" t="inlineStr">
        <x:is>
          <x:t xml:space="preserve">human</x:t>
        </x:is>
      </x:c>
      <x:c r="L4" s="47" t="inlineStr">
        <x:is>
          <x:t xml:space="preserve">true</x:t>
        </x:is>
      </x:c>
      <x:c r="M4" s="47" t="inlineStr">
        <x:is>
          <x:t xml:space="preserve">OSMR</x:t>
        </x:is>
      </x:c>
      <x:c r="N4" s="47" t="inlineStr">
        <x:is>
          <x:t xml:space="preserve">OSMR</x:t>
        </x:is>
      </x:c>
      <x:c r="O4" s="47" t="inlineStr">
        <x:is>
          <x:t xml:space="preserve">annotation_marker</x:t>
        </x:is>
      </x:c>
      <x:c r="P4" s="47" t="inlineStr">
        <x:is>
          <x:t xml:space="preserve">positive</x:t>
        </x:is>
      </x:c>
      <x:c r="Q4" s="47" t="inlineStr">
        <x:is>
          <x:t xml:space="preserve">formal_candidate</x:t>
        </x:is>
      </x:c>
      <x:c r="R4" s="47" t="inlineStr">
        <x:is>
          <x:t xml:space="preserve">Results p.6; Figure 5A</x:t>
        </x:is>
      </x:c>
      <x:c r="S4" s="47" t="inlineStr">
        <x:is>
          <x:t xml:space="preserve">H10 and H11 classes of neurons, identified by their expression of OSMR</x:t>
        </x:is>
      </x:c>
      <x:c r="T4" s="47" t="inlineStr">
        <x:is>
          <x:t xml:space="preserve">approved</x:t>
        </x:is>
      </x:c>
      <x:c r="U4" s="47" t="inlineStr">
        <x:is>
          <x:t xml:space="preserve">quick_consistency</x:t>
        </x:is>
      </x:c>
      <x:c r="V4" s="47" t="inlineStr">
        <x:is>
          <x:t xml:space="preserve">快速一致性复核：论文映射正确，PNS=true，物种与任务一致，细胞类型—基因—证据定位大致一致；未做逐句完整复核</x:t>
        </x:is>
      </x:c>
      <x:c r="W4" s="47" t="inlineStr">
        <x:is>
          <x:t xml:space="preserve">scripts/extract_markers/markers_output_v2/DOI_10.7554_elife.71752_review.csv</x:t>
        </x:is>
      </x:c>
      <x:c r="X4" s="54" t="n">
        <x:v>46248</x:v>
      </x:c>
    </x:row>
    <x:row r="5" ht="60" customHeight="1">
      <x:c r="A5" s="46" t="inlineStr">
        <x:is>
          <x:t xml:space="preserve">M00004</x:t>
        </x:is>
      </x:c>
      <x:c r="B5" s="46" t="n">
        <x:v>3</x:v>
      </x:c>
      <x:c r="C5" s="46" t="inlineStr">
        <x:is>
          <x:t xml:space="preserve">CELLxGENE:d973ea15-3722-4bc8-a0e8-1d956d26e203</x:t>
        </x:is>
      </x:c>
      <x:c r="D5" s="46" t="inlineStr">
        <x:is>
          <x:t xml:space="preserve">DOI_10.7554_elife.71752</x:t>
        </x:is>
      </x:c>
      <x:c r="E5" s="46" t="inlineStr">
        <x:is>
          <x:t xml:space="preserve">DOI_10.7554_elife.71752</x:t>
        </x:is>
      </x:c>
      <x:c r="F5" s="46" t="inlineStr">
        <x:is>
          <x:t xml:space="preserve">primary</x:t>
        </x:is>
      </x:c>
      <x:c r="G5" s="46" t="n"/>
      <x:c r="H5" s="46" t="n"/>
      <x:c r="I5" s="47" t="inlineStr">
        <x:is>
          <x:t xml:space="preserve">H11</x:t>
        </x:is>
      </x:c>
      <x:c r="J5" s="47" t="inlineStr">
        <x:is>
          <x:t xml:space="preserve">nonpeptidergic nociceptor / candidate pruriceptor</x:t>
        </x:is>
      </x:c>
      <x:c r="K5" s="47" t="inlineStr">
        <x:is>
          <x:t xml:space="preserve">human</x:t>
        </x:is>
      </x:c>
      <x:c r="L5" s="47" t="inlineStr">
        <x:is>
          <x:t xml:space="preserve">true</x:t>
        </x:is>
      </x:c>
      <x:c r="M5" s="47" t="inlineStr">
        <x:is>
          <x:t xml:space="preserve">OSMR</x:t>
        </x:is>
      </x:c>
      <x:c r="N5" s="47" t="inlineStr">
        <x:is>
          <x:t xml:space="preserve">OSMR</x:t>
        </x:is>
      </x:c>
      <x:c r="O5" s="47" t="inlineStr">
        <x:is>
          <x:t xml:space="preserve">annotation_marker</x:t>
        </x:is>
      </x:c>
      <x:c r="P5" s="47" t="inlineStr">
        <x:is>
          <x:t xml:space="preserve">positive</x:t>
        </x:is>
      </x:c>
      <x:c r="Q5" s="47" t="inlineStr">
        <x:is>
          <x:t xml:space="preserve">formal_candidate</x:t>
        </x:is>
      </x:c>
      <x:c r="R5" s="47" t="inlineStr">
        <x:is>
          <x:t xml:space="preserve">Results p.6; Figure 5A</x:t>
        </x:is>
      </x:c>
      <x:c r="S5" s="47" t="inlineStr">
        <x:is>
          <x:t xml:space="preserve">H10 and H11 classes of neurons, identified by their expression of OSMR</x:t>
        </x:is>
      </x:c>
      <x:c r="T5" s="47" t="inlineStr">
        <x:is>
          <x:t xml:space="preserve">approved</x:t>
        </x:is>
      </x:c>
      <x:c r="U5" s="47" t="inlineStr">
        <x:is>
          <x:t xml:space="preserve">quick_consistency</x:t>
        </x:is>
      </x:c>
      <x:c r="V5" s="47" t="inlineStr">
        <x:is>
          <x:t xml:space="preserve">快速一致性复核：论文映射正确，PNS=true，物种与任务一致，细胞类型—基因—证据定位大致一致；未做逐句完整复核</x:t>
        </x:is>
      </x:c>
      <x:c r="W5" s="47" t="inlineStr">
        <x:is>
          <x:t xml:space="preserve">scripts/extract_markers/markers_output_v2/DOI_10.7554_elife.71752_review.csv</x:t>
        </x:is>
      </x:c>
      <x:c r="X5" s="54" t="n">
        <x:v>46248</x:v>
      </x:c>
    </x:row>
    <x:row r="6" ht="60" customHeight="1">
      <x:c r="A6" s="46" t="inlineStr">
        <x:is>
          <x:t xml:space="preserve">M00005</x:t>
        </x:is>
      </x:c>
      <x:c r="B6" s="46" t="n">
        <x:v>3</x:v>
      </x:c>
      <x:c r="C6" s="46" t="inlineStr">
        <x:is>
          <x:t xml:space="preserve">CELLxGENE:d973ea15-3722-4bc8-a0e8-1d956d26e203</x:t>
        </x:is>
      </x:c>
      <x:c r="D6" s="46" t="inlineStr">
        <x:is>
          <x:t xml:space="preserve">DOI_10.7554_elife.71752</x:t>
        </x:is>
      </x:c>
      <x:c r="E6" s="46" t="inlineStr">
        <x:is>
          <x:t xml:space="preserve">DOI_10.7554_elife.71752</x:t>
        </x:is>
      </x:c>
      <x:c r="F6" s="46" t="inlineStr">
        <x:is>
          <x:t xml:space="preserve">primary</x:t>
        </x:is>
      </x:c>
      <x:c r="G6" s="46" t="n"/>
      <x:c r="H6" s="46" t="n"/>
      <x:c r="I6" s="47" t="inlineStr">
        <x:is>
          <x:t xml:space="preserve">human DRG neurons</x:t>
        </x:is>
      </x:c>
      <x:c r="J6" s="47" t="n"/>
      <x:c r="K6" s="47" t="inlineStr">
        <x:is>
          <x:t xml:space="preserve">human</x:t>
        </x:is>
      </x:c>
      <x:c r="L6" s="47" t="inlineStr">
        <x:is>
          <x:t xml:space="preserve">true</x:t>
        </x:is>
      </x:c>
      <x:c r="M6" s="47" t="inlineStr">
        <x:is>
          <x:t xml:space="preserve">NEFH</x:t>
        </x:is>
      </x:c>
      <x:c r="N6" s="47" t="inlineStr">
        <x:is>
          <x:t xml:space="preserve">NEFH</x:t>
        </x:is>
      </x:c>
      <x:c r="O6" s="47" t="inlineStr">
        <x:is>
          <x:t xml:space="preserve">annotation_marker</x:t>
        </x:is>
      </x:c>
      <x:c r="P6" s="47" t="inlineStr">
        <x:is>
          <x:t xml:space="preserve">positive</x:t>
        </x:is>
      </x:c>
      <x:c r="Q6" s="47" t="inlineStr">
        <x:is>
          <x:t xml:space="preserve">formal_candidate</x:t>
        </x:is>
      </x:c>
      <x:c r="R6" s="47" t="inlineStr">
        <x:is>
          <x:t xml:space="preserve">Methods: Single nuclear capture, sequencing, and data analysis</x:t>
        </x:is>
      </x:c>
      <x:c r="S6" s="47" t="inlineStr">
        <x:is>
          <x:t xml:space="preserve">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t>
        </x:is>
      </x:c>
      <x:c r="T6" s="47" t="inlineStr">
        <x:is>
          <x:t xml:space="preserve">approved</x:t>
        </x:is>
      </x:c>
      <x:c r="U6" s="47" t="inlineStr">
        <x:is>
          <x:t xml:space="preserve">quick_consistency</x:t>
        </x:is>
      </x:c>
      <x:c r="V6" s="47" t="inlineStr">
        <x:is>
          <x:t xml:space="preserve">快速一致性复核：论文映射正确，PNS=true，物种与任务一致，细胞类型—基因—证据定位大致一致；未做逐句完整复核</x:t>
        </x:is>
      </x:c>
      <x:c r="W6" s="47" t="inlineStr">
        <x:is>
          <x:t xml:space="preserve">scripts/extract_markers/markers_output_v2/DOI_10.7554_elife.71752_review.csv</x:t>
        </x:is>
      </x:c>
      <x:c r="X6" s="54" t="n">
        <x:v>46248</x:v>
      </x:c>
    </x:row>
    <x:row r="7" ht="60" customHeight="1">
      <x:c r="A7" s="46" t="inlineStr">
        <x:is>
          <x:t xml:space="preserve">M00006</x:t>
        </x:is>
      </x:c>
      <x:c r="B7" s="46" t="n">
        <x:v>3</x:v>
      </x:c>
      <x:c r="C7" s="46" t="inlineStr">
        <x:is>
          <x:t xml:space="preserve">CELLxGENE:d973ea15-3722-4bc8-a0e8-1d956d26e203</x:t>
        </x:is>
      </x:c>
      <x:c r="D7" s="46" t="inlineStr">
        <x:is>
          <x:t xml:space="preserve">DOI_10.7554_elife.71752</x:t>
        </x:is>
      </x:c>
      <x:c r="E7" s="46" t="inlineStr">
        <x:is>
          <x:t xml:space="preserve">DOI_10.7554_elife.71752</x:t>
        </x:is>
      </x:c>
      <x:c r="F7" s="46" t="inlineStr">
        <x:is>
          <x:t xml:space="preserve">primary</x:t>
        </x:is>
      </x:c>
      <x:c r="G7" s="46" t="n"/>
      <x:c r="H7" s="46" t="n"/>
      <x:c r="I7" s="47" t="inlineStr">
        <x:is>
          <x:t xml:space="preserve">human DRG neurons</x:t>
        </x:is>
      </x:c>
      <x:c r="J7" s="47" t="n"/>
      <x:c r="K7" s="47" t="inlineStr">
        <x:is>
          <x:t xml:space="preserve">human</x:t>
        </x:is>
      </x:c>
      <x:c r="L7" s="47" t="inlineStr">
        <x:is>
          <x:t xml:space="preserve">true</x:t>
        </x:is>
      </x:c>
      <x:c r="M7" s="47" t="inlineStr">
        <x:is>
          <x:t xml:space="preserve">PIEZO2</x:t>
        </x:is>
      </x:c>
      <x:c r="N7" s="47" t="inlineStr">
        <x:is>
          <x:t xml:space="preserve">PIEZO2</x:t>
        </x:is>
      </x:c>
      <x:c r="O7" s="47" t="inlineStr">
        <x:is>
          <x:t xml:space="preserve">annotation_marker</x:t>
        </x:is>
      </x:c>
      <x:c r="P7" s="47" t="inlineStr">
        <x:is>
          <x:t xml:space="preserve">positive</x:t>
        </x:is>
      </x:c>
      <x:c r="Q7" s="47" t="inlineStr">
        <x:is>
          <x:t xml:space="preserve">formal_candidate</x:t>
        </x:is>
      </x:c>
      <x:c r="R7" s="47" t="inlineStr">
        <x:is>
          <x:t xml:space="preserve">Methods: Single nuclear capture, sequencing, and data analysis</x:t>
        </x:is>
      </x:c>
      <x:c r="S7" s="47" t="inlineStr">
        <x:is>
          <x:t xml:space="preserve">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t>
        </x:is>
      </x:c>
      <x:c r="T7" s="47" t="inlineStr">
        <x:is>
          <x:t xml:space="preserve">approved</x:t>
        </x:is>
      </x:c>
      <x:c r="U7" s="47" t="inlineStr">
        <x:is>
          <x:t xml:space="preserve">quick_consistency</x:t>
        </x:is>
      </x:c>
      <x:c r="V7" s="47" t="inlineStr">
        <x:is>
          <x:t xml:space="preserve">快速一致性复核：论文映射正确，PNS=true，物种与任务一致，细胞类型—基因—证据定位大致一致；未做逐句完整复核</x:t>
        </x:is>
      </x:c>
      <x:c r="W7" s="47" t="inlineStr">
        <x:is>
          <x:t xml:space="preserve">scripts/extract_markers/markers_output_v2/DOI_10.7554_elife.71752_review.csv</x:t>
        </x:is>
      </x:c>
      <x:c r="X7" s="54" t="n">
        <x:v>46248</x:v>
      </x:c>
    </x:row>
    <x:row r="8" ht="60" customHeight="1">
      <x:c r="A8" s="46" t="inlineStr">
        <x:is>
          <x:t xml:space="preserve">M00007</x:t>
        </x:is>
      </x:c>
      <x:c r="B8" s="46" t="n">
        <x:v>3</x:v>
      </x:c>
      <x:c r="C8" s="46" t="inlineStr">
        <x:is>
          <x:t xml:space="preserve">CELLxGENE:d973ea15-3722-4bc8-a0e8-1d956d26e203</x:t>
        </x:is>
      </x:c>
      <x:c r="D8" s="46" t="inlineStr">
        <x:is>
          <x:t xml:space="preserve">DOI_10.7554_elife.71752</x:t>
        </x:is>
      </x:c>
      <x:c r="E8" s="46" t="inlineStr">
        <x:is>
          <x:t xml:space="preserve">DOI_10.7554_elife.71752</x:t>
        </x:is>
      </x:c>
      <x:c r="F8" s="46" t="inlineStr">
        <x:is>
          <x:t xml:space="preserve">primary</x:t>
        </x:is>
      </x:c>
      <x:c r="G8" s="46" t="n"/>
      <x:c r="H8" s="46" t="n"/>
      <x:c r="I8" s="47" t="inlineStr">
        <x:is>
          <x:t xml:space="preserve">human DRG neurons</x:t>
        </x:is>
      </x:c>
      <x:c r="J8" s="47" t="n"/>
      <x:c r="K8" s="47" t="inlineStr">
        <x:is>
          <x:t xml:space="preserve">human</x:t>
        </x:is>
      </x:c>
      <x:c r="L8" s="47" t="inlineStr">
        <x:is>
          <x:t xml:space="preserve">true</x:t>
        </x:is>
      </x:c>
      <x:c r="M8" s="47" t="inlineStr">
        <x:is>
          <x:t xml:space="preserve">SCN10A</x:t>
        </x:is>
      </x:c>
      <x:c r="N8" s="47" t="inlineStr">
        <x:is>
          <x:t xml:space="preserve">SCN10A</x:t>
        </x:is>
      </x:c>
      <x:c r="O8" s="47" t="inlineStr">
        <x:is>
          <x:t xml:space="preserve">annotation_marker</x:t>
        </x:is>
      </x:c>
      <x:c r="P8" s="47" t="inlineStr">
        <x:is>
          <x:t xml:space="preserve">positive</x:t>
        </x:is>
      </x:c>
      <x:c r="Q8" s="47" t="inlineStr">
        <x:is>
          <x:t xml:space="preserve">formal_candidate</x:t>
        </x:is>
      </x:c>
      <x:c r="R8" s="47" t="inlineStr">
        <x:is>
          <x:t xml:space="preserve">Methods: Single nuclear capture, sequencing, and data analysis</x:t>
        </x:is>
      </x:c>
      <x:c r="S8" s="47" t="inlineStr">
        <x:is>
          <x:t xml:space="preserve">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t>
        </x:is>
      </x:c>
      <x:c r="T8" s="47" t="inlineStr">
        <x:is>
          <x:t xml:space="preserve">approved</x:t>
        </x:is>
      </x:c>
      <x:c r="U8" s="47" t="inlineStr">
        <x:is>
          <x:t xml:space="preserve">quick_consistency</x:t>
        </x:is>
      </x:c>
      <x:c r="V8" s="47" t="inlineStr">
        <x:is>
          <x:t xml:space="preserve">快速一致性复核：论文映射正确，PNS=true，物种与任务一致，细胞类型—基因—证据定位大致一致；未做逐句完整复核</x:t>
        </x:is>
      </x:c>
      <x:c r="W8" s="47" t="inlineStr">
        <x:is>
          <x:t xml:space="preserve">scripts/extract_markers/markers_output_v2/DOI_10.7554_elife.71752_review.csv</x:t>
        </x:is>
      </x:c>
      <x:c r="X8" s="54" t="n">
        <x:v>46248</x:v>
      </x:c>
    </x:row>
    <x:row r="9" ht="60" customHeight="1">
      <x:c r="A9" s="46" t="inlineStr">
        <x:is>
          <x:t xml:space="preserve">M00008</x:t>
        </x:is>
      </x:c>
      <x:c r="B9" s="46" t="n">
        <x:v>3</x:v>
      </x:c>
      <x:c r="C9" s="46" t="inlineStr">
        <x:is>
          <x:t xml:space="preserve">CELLxGENE:d973ea15-3722-4bc8-a0e8-1d956d26e203</x:t>
        </x:is>
      </x:c>
      <x:c r="D9" s="46" t="inlineStr">
        <x:is>
          <x:t xml:space="preserve">DOI_10.7554_elife.71752</x:t>
        </x:is>
      </x:c>
      <x:c r="E9" s="46" t="inlineStr">
        <x:is>
          <x:t xml:space="preserve">DOI_10.7554_elife.71752</x:t>
        </x:is>
      </x:c>
      <x:c r="F9" s="46" t="inlineStr">
        <x:is>
          <x:t xml:space="preserve">primary</x:t>
        </x:is>
      </x:c>
      <x:c r="G9" s="46" t="n"/>
      <x:c r="H9" s="46" t="n"/>
      <x:c r="I9" s="47" t="inlineStr">
        <x:is>
          <x:t xml:space="preserve">human DRG neurons</x:t>
        </x:is>
      </x:c>
      <x:c r="J9" s="47" t="n"/>
      <x:c r="K9" s="47" t="inlineStr">
        <x:is>
          <x:t xml:space="preserve">human</x:t>
        </x:is>
      </x:c>
      <x:c r="L9" s="47" t="inlineStr">
        <x:is>
          <x:t xml:space="preserve">true</x:t>
        </x:is>
      </x:c>
      <x:c r="M9" s="47" t="inlineStr">
        <x:is>
          <x:t xml:space="preserve">SCN9A</x:t>
        </x:is>
      </x:c>
      <x:c r="N9" s="47" t="inlineStr">
        <x:is>
          <x:t xml:space="preserve">SCN9A</x:t>
        </x:is>
      </x:c>
      <x:c r="O9" s="47" t="inlineStr">
        <x:is>
          <x:t xml:space="preserve">annotation_marker</x:t>
        </x:is>
      </x:c>
      <x:c r="P9" s="47" t="inlineStr">
        <x:is>
          <x:t xml:space="preserve">positive</x:t>
        </x:is>
      </x:c>
      <x:c r="Q9" s="47" t="inlineStr">
        <x:is>
          <x:t xml:space="preserve">formal_candidate</x:t>
        </x:is>
      </x:c>
      <x:c r="R9" s="47" t="inlineStr">
        <x:is>
          <x:t xml:space="preserve">Methods: Single nuclear capture, sequencing, and data analysis</x:t>
        </x:is>
      </x:c>
      <x:c r="S9" s="47" t="inlineStr">
        <x:is>
          <x:t xml:space="preserve">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t>
        </x:is>
      </x:c>
      <x:c r="T9" s="47" t="inlineStr">
        <x:is>
          <x:t xml:space="preserve">approved</x:t>
        </x:is>
      </x:c>
      <x:c r="U9" s="47" t="inlineStr">
        <x:is>
          <x:t xml:space="preserve">quick_consistency</x:t>
        </x:is>
      </x:c>
      <x:c r="V9" s="47" t="inlineStr">
        <x:is>
          <x:t xml:space="preserve">快速一致性复核：论文映射正确，PNS=true，物种与任务一致，细胞类型—基因—证据定位大致一致；未做逐句完整复核</x:t>
        </x:is>
      </x:c>
      <x:c r="W9" s="47" t="inlineStr">
        <x:is>
          <x:t xml:space="preserve">scripts/extract_markers/markers_output_v2/DOI_10.7554_elife.71752_review.csv</x:t>
        </x:is>
      </x:c>
      <x:c r="X9" s="54" t="n">
        <x:v>46248</x:v>
      </x:c>
    </x:row>
    <x:row r="10" ht="60" customHeight="1">
      <x:c r="A10" s="46" t="inlineStr">
        <x:is>
          <x:t xml:space="preserve">M00009</x:t>
        </x:is>
      </x:c>
      <x:c r="B10" s="46" t="n">
        <x:v>3</x:v>
      </x:c>
      <x:c r="C10" s="46" t="inlineStr">
        <x:is>
          <x:t xml:space="preserve">CELLxGENE:d973ea15-3722-4bc8-a0e8-1d956d26e203</x:t>
        </x:is>
      </x:c>
      <x:c r="D10" s="46" t="inlineStr">
        <x:is>
          <x:t xml:space="preserve">DOI_10.7554_elife.71752</x:t>
        </x:is>
      </x:c>
      <x:c r="E10" s="46" t="inlineStr">
        <x:is>
          <x:t xml:space="preserve">DOI_10.7554_elife.71752</x:t>
        </x:is>
      </x:c>
      <x:c r="F10" s="46" t="inlineStr">
        <x:is>
          <x:t xml:space="preserve">primary</x:t>
        </x:is>
      </x:c>
      <x:c r="G10" s="46" t="n"/>
      <x:c r="H10" s="46" t="n"/>
      <x:c r="I10" s="47" t="inlineStr">
        <x:is>
          <x:t xml:space="preserve">human DRG neurons</x:t>
        </x:is>
      </x:c>
      <x:c r="J10" s="47" t="n"/>
      <x:c r="K10" s="47" t="inlineStr">
        <x:is>
          <x:t xml:space="preserve">human</x:t>
        </x:is>
      </x:c>
      <x:c r="L10" s="47" t="inlineStr">
        <x:is>
          <x:t xml:space="preserve">true</x:t>
        </x:is>
      </x:c>
      <x:c r="M10" s="47" t="inlineStr">
        <x:is>
          <x:t xml:space="preserve">SNAP25</x:t>
        </x:is>
      </x:c>
      <x:c r="N10" s="47" t="inlineStr">
        <x:is>
          <x:t xml:space="preserve">SNAP25</x:t>
        </x:is>
      </x:c>
      <x:c r="O10" s="47" t="inlineStr">
        <x:is>
          <x:t xml:space="preserve">annotation_marker</x:t>
        </x:is>
      </x:c>
      <x:c r="P10" s="47" t="inlineStr">
        <x:is>
          <x:t xml:space="preserve">positive</x:t>
        </x:is>
      </x:c>
      <x:c r="Q10" s="47" t="inlineStr">
        <x:is>
          <x:t xml:space="preserve">formal_candidate</x:t>
        </x:is>
      </x:c>
      <x:c r="R10" s="47" t="inlineStr">
        <x:is>
          <x:t xml:space="preserve">Methods: Single nuclear capture, sequencing, and data analysis</x:t>
        </x:is>
      </x:c>
      <x:c r="S10" s="47" t="inlineStr">
        <x:is>
          <x:t xml:space="preserve">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t>
        </x:is>
      </x:c>
      <x:c r="T10" s="47" t="inlineStr">
        <x:is>
          <x:t xml:space="preserve">approved</x:t>
        </x:is>
      </x:c>
      <x:c r="U10" s="47" t="inlineStr">
        <x:is>
          <x:t xml:space="preserve">quick_consistency</x:t>
        </x:is>
      </x:c>
      <x:c r="V10" s="47" t="inlineStr">
        <x:is>
          <x:t xml:space="preserve">快速一致性复核：论文映射正确，PNS=true，物种与任务一致，细胞类型—基因—证据定位大致一致；未做逐句完整复核</x:t>
        </x:is>
      </x:c>
      <x:c r="W10" s="47" t="inlineStr">
        <x:is>
          <x:t xml:space="preserve">scripts/extract_markers/markers_output_v2/DOI_10.7554_elife.71752_review.csv</x:t>
        </x:is>
      </x:c>
      <x:c r="X10" s="54" t="n">
        <x:v>46248</x:v>
      </x:c>
    </x:row>
    <x:row r="11" ht="60" customHeight="1">
      <x:c r="A11" s="46" t="inlineStr">
        <x:is>
          <x:t xml:space="preserve">M00010</x:t>
        </x:is>
      </x:c>
      <x:c r="B11" s="46" t="n">
        <x:v>3</x:v>
      </x:c>
      <x:c r="C11" s="46" t="inlineStr">
        <x:is>
          <x:t xml:space="preserve">CELLxGENE:d973ea15-3722-4bc8-a0e8-1d956d26e203</x:t>
        </x:is>
      </x:c>
      <x:c r="D11" s="46" t="inlineStr">
        <x:is>
          <x:t xml:space="preserve">DOI_10.7554_elife.71752</x:t>
        </x:is>
      </x:c>
      <x:c r="E11" s="46" t="inlineStr">
        <x:is>
          <x:t xml:space="preserve">DOI_10.7554_elife.71752</x:t>
        </x:is>
      </x:c>
      <x:c r="F11" s="46" t="inlineStr">
        <x:is>
          <x:t xml:space="preserve">primary</x:t>
        </x:is>
      </x:c>
      <x:c r="G11" s="46" t="n"/>
      <x:c r="H11" s="46" t="n"/>
      <x:c r="I11" s="47" t="inlineStr">
        <x:is>
          <x:t xml:space="preserve">H11</x:t>
        </x:is>
      </x:c>
      <x:c r="J11" s="47" t="inlineStr">
        <x:is>
          <x:t xml:space="preserve">nonpeptidergic nociceptor / candidate pruriceptor</x:t>
        </x:is>
      </x:c>
      <x:c r="K11" s="47" t="inlineStr">
        <x:is>
          <x:t xml:space="preserve">human</x:t>
        </x:is>
      </x:c>
      <x:c r="L11" s="47" t="inlineStr">
        <x:is>
          <x:t xml:space="preserve">true</x:t>
        </x:is>
      </x:c>
      <x:c r="M11" s="47" t="inlineStr">
        <x:is>
          <x:t xml:space="preserve">JAK1</x:t>
        </x:is>
      </x:c>
      <x:c r="N11" s="47" t="inlineStr">
        <x:is>
          <x:t xml:space="preserve">JAK1</x:t>
        </x:is>
      </x:c>
      <x:c r="O11" s="47" t="inlineStr">
        <x:is>
          <x:t xml:space="preserve">figure_labeled</x:t>
        </x:is>
      </x:c>
      <x:c r="P11" s="47" t="inlineStr">
        <x:is>
          <x:t xml:space="preserve">positive</x:t>
        </x:is>
      </x:c>
      <x:c r="Q11" s="47" t="inlineStr">
        <x:is>
          <x:t xml:space="preserve">formal_candidate</x:t>
        </x:is>
      </x:c>
      <x:c r="R11" s="47" t="inlineStr">
        <x:is>
          <x:t xml:space="preserve">Results p.6; Figure 5B</x:t>
        </x:is>
      </x:c>
      <x:c r="S11" s="47" t="inlineStr">
        <x:is>
          <x:t xml:space="preserve">Janus kinase 1 (JAK1) ... and the neuropeptide SST are particularly strongly expressed in H11 cells; both these genes are prominent markers of NP3 pruriceptors in mouse</x:t>
        </x:is>
      </x:c>
      <x:c r="T11" s="47" t="inlineStr">
        <x:is>
          <x:t xml:space="preserve">approved</x:t>
        </x:is>
      </x:c>
      <x:c r="U11" s="47" t="inlineStr">
        <x:is>
          <x:t xml:space="preserve">quick_consistency</x:t>
        </x:is>
      </x:c>
      <x:c r="V11" s="47" t="inlineStr">
        <x:is>
          <x:t xml:space="preserve">快速一致性复核：论文映射正确，PNS=true，物种与任务一致，细胞类型—基因—证据定位大致一致；未做逐句完整复核</x:t>
        </x:is>
      </x:c>
      <x:c r="W11" s="47" t="inlineStr">
        <x:is>
          <x:t xml:space="preserve">scripts/extract_markers/markers_output_v2/DOI_10.7554_elife.71752_review.csv</x:t>
        </x:is>
      </x:c>
      <x:c r="X11" s="54" t="n">
        <x:v>46248</x:v>
      </x:c>
    </x:row>
    <x:row r="12">
      <x:c r="A12" t="inlineStr">
        <x:is>
          <x:t xml:space="preserve">M00011</x:t>
        </x:is>
      </x:c>
      <x:c r="B12" t="n">
        <x:v>5</x:v>
      </x:c>
      <x:c r="C12" t="inlineStr">
        <x:is>
          <x:t xml:space="preserve">CELLxGENE:093d3bfe-6f0f-4ac0-a7a1-829f94d0a49f</x:t>
        </x:is>
      </x:c>
      <x:c r="D12" t="inlineStr">
        <x:is>
          <x:t xml:space="preserve">DOI_10.1038_s41588-022-01243-4</x:t>
        </x:is>
      </x:c>
      <x:c r="E12" t="inlineStr">
        <x:is>
          <x:t xml:space="preserve">DOI_10.1038_s41588-022-01243-4</x:t>
        </x:is>
      </x:c>
      <x:c r="F12" t="inlineStr">
        <x:is>
          <x:t xml:space="preserve">primary</x:t>
        </x:is>
      </x:c>
      <x:c r="I12" t="inlineStr">
        <x:is>
          <x:t xml:space="preserve">myelinating Schwann cell</x:t>
        </x:is>
      </x:c>
      <x:c r="K12" t="inlineStr">
        <x:is>
          <x:t xml:space="preserve">human</x:t>
        </x:is>
      </x:c>
      <x:c r="L12" t="inlineStr">
        <x:is>
          <x:t xml:space="preserve">true</x:t>
        </x:is>
      </x:c>
      <x:c r="M12" t="inlineStr">
        <x:is>
          <x:t xml:space="preserve">MLIP</x:t>
        </x:is>
      </x:c>
      <x:c r="N12" t="inlineStr">
        <x:is>
          <x:t xml:space="preserve">MLIP</x:t>
        </x:is>
      </x:c>
      <x:c r="O12" t="inlineStr">
        <x:is>
          <x:t xml:space="preserve">annotation_marker</x:t>
        </x:is>
      </x:c>
      <x:c r="P12" t="inlineStr">
        <x:is>
          <x:t xml:space="preserve">positive</x:t>
        </x:is>
      </x:c>
      <x:c r="Q12" t="inlineStr">
        <x:is>
          <x:t xml:space="preserve">formal_candidate</x:t>
        </x:is>
      </x:c>
      <x:c r="R12" t="inlineStr">
        <x:is>
          <x:t xml:space="preserve">Extended Data Fig. 5j</x:t>
        </x:is>
      </x:c>
      <x:c r="S12" t="inlineStr">
        <x:is>
          <x:t xml:space="preserve">RNAscope staining for myelinating (MLIP) and non-myelinating (SCN7A, SOX10) Schwann cell and perineurial (SLC2A1) NAF specific genes in bronchial nerves.</x:t>
        </x:is>
      </x:c>
      <x:c r="T12" t="inlineStr">
        <x:is>
          <x:t xml:space="preserve">approved</x:t>
        </x:is>
      </x:c>
      <x:c r="U12" t="inlineStr">
        <x:is>
          <x:t xml:space="preserve">quick_consistency</x:t>
        </x:is>
      </x:c>
      <x:c r="V12" t="inlineStr">
        <x:is>
          <x:t xml:space="preserve">快速一致性复核：作者直接给出PNS细胞标记/注释；抽样核对原文，未做逐句全量复核</x:t>
        </x:is>
      </x:c>
      <x:c r="W12" t="inlineStr">
        <x:is>
          <x:t xml:space="preserve">scripts/extract_markers/markers_output/DOI_10.1038_s41588_022_01243_4_review.csv</x:t>
        </x:is>
      </x:c>
      <x:c r="X12" t="inlineStr">
        <x:is>
          <x:t xml:space="preserve">2026-08-14</x:t>
        </x:is>
      </x:c>
    </x:row>
    <x:row r="13">
      <x:c r="A13" t="inlineStr">
        <x:is>
          <x:t xml:space="preserve">M00012</x:t>
        </x:is>
      </x:c>
      <x:c r="B13" t="n">
        <x:v>5</x:v>
      </x:c>
      <x:c r="C13" t="inlineStr">
        <x:is>
          <x:t xml:space="preserve">CELLxGENE:093d3bfe-6f0f-4ac0-a7a1-829f94d0a49f</x:t>
        </x:is>
      </x:c>
      <x:c r="D13" t="inlineStr">
        <x:is>
          <x:t xml:space="preserve">DOI_10.1038_s41588-022-01243-4</x:t>
        </x:is>
      </x:c>
      <x:c r="E13" t="inlineStr">
        <x:is>
          <x:t xml:space="preserve">DOI_10.1038_s41588-022-01243-4</x:t>
        </x:is>
      </x:c>
      <x:c r="F13" t="inlineStr">
        <x:is>
          <x:t xml:space="preserve">primary</x:t>
        </x:is>
      </x:c>
      <x:c r="I13" t="inlineStr">
        <x:is>
          <x:t xml:space="preserve">myelinating Schwann cells</x:t>
        </x:is>
      </x:c>
      <x:c r="K13" t="inlineStr">
        <x:is>
          <x:t xml:space="preserve">human</x:t>
        </x:is>
      </x:c>
      <x:c r="L13" t="inlineStr">
        <x:is>
          <x:t xml:space="preserve">true</x:t>
        </x:is>
      </x:c>
      <x:c r="M13" t="inlineStr">
        <x:is>
          <x:t xml:space="preserve">MBP</x:t>
        </x:is>
      </x:c>
      <x:c r="N13" t="inlineStr">
        <x:is>
          <x:t xml:space="preserve">MBP</x:t>
        </x:is>
      </x:c>
      <x:c r="O13" t="inlineStr">
        <x:is>
          <x:t xml:space="preserve">annotation_marker</x:t>
        </x:is>
      </x:c>
      <x:c r="P13" t="inlineStr">
        <x:is>
          <x:t xml:space="preserve">positive</x:t>
        </x:is>
      </x:c>
      <x:c r="Q13" t="inlineStr">
        <x:is>
          <x:t xml:space="preserve">formal_candidate</x:t>
        </x:is>
      </x:c>
      <x:c r="R13" t="inlineStr">
        <x:is>
          <x:t xml:space="preserve">Results (Airway peripheral nerves)</x:t>
        </x:is>
      </x:c>
      <x:c r="S13" t="inlineStr">
        <x:is>
          <x:t xml:space="preserve">myelinating Schwann cells (mSchwann) (NFASC, NCMAP, MBP and PRX)</x:t>
        </x:is>
      </x:c>
      <x:c r="T13" t="inlineStr">
        <x:is>
          <x:t xml:space="preserve">approved</x:t>
        </x:is>
      </x:c>
      <x:c r="U13" t="inlineStr">
        <x:is>
          <x:t xml:space="preserve">quick_consistency</x:t>
        </x:is>
      </x:c>
      <x:c r="V13" t="inlineStr">
        <x:is>
          <x:t xml:space="preserve">快速一致性复核：作者直接给出PNS细胞标记/注释；抽样核对原文，未做逐句全量复核</x:t>
        </x:is>
      </x:c>
      <x:c r="W13" t="inlineStr">
        <x:is>
          <x:t xml:space="preserve">scripts/extract_markers/markers_output/DOI_10.1038_s41588_022_01243_4_review.csv</x:t>
        </x:is>
      </x:c>
      <x:c r="X13" t="inlineStr">
        <x:is>
          <x:t xml:space="preserve">2026-08-14</x:t>
        </x:is>
      </x:c>
    </x:row>
    <x:row r="14">
      <x:c r="A14" t="inlineStr">
        <x:is>
          <x:t xml:space="preserve">M00013</x:t>
        </x:is>
      </x:c>
      <x:c r="B14" t="n">
        <x:v>5</x:v>
      </x:c>
      <x:c r="C14" t="inlineStr">
        <x:is>
          <x:t xml:space="preserve">CELLxGENE:093d3bfe-6f0f-4ac0-a7a1-829f94d0a49f</x:t>
        </x:is>
      </x:c>
      <x:c r="D14" t="inlineStr">
        <x:is>
          <x:t xml:space="preserve">DOI_10.1038_s41588-022-01243-4</x:t>
        </x:is>
      </x:c>
      <x:c r="E14" t="inlineStr">
        <x:is>
          <x:t xml:space="preserve">DOI_10.1038_s41588-022-01243-4</x:t>
        </x:is>
      </x:c>
      <x:c r="F14" t="inlineStr">
        <x:is>
          <x:t xml:space="preserve">primary</x:t>
        </x:is>
      </x:c>
      <x:c r="I14" t="inlineStr">
        <x:is>
          <x:t xml:space="preserve">myelinating Schwann cells</x:t>
        </x:is>
      </x:c>
      <x:c r="K14" t="inlineStr">
        <x:is>
          <x:t xml:space="preserve">human</x:t>
        </x:is>
      </x:c>
      <x:c r="L14" t="inlineStr">
        <x:is>
          <x:t xml:space="preserve">true</x:t>
        </x:is>
      </x:c>
      <x:c r="M14" t="inlineStr">
        <x:is>
          <x:t xml:space="preserve">NCMAP</x:t>
        </x:is>
      </x:c>
      <x:c r="N14" t="inlineStr">
        <x:is>
          <x:t xml:space="preserve">NCMAP</x:t>
        </x:is>
      </x:c>
      <x:c r="O14" t="inlineStr">
        <x:is>
          <x:t xml:space="preserve">annotation_marker</x:t>
        </x:is>
      </x:c>
      <x:c r="P14" t="inlineStr">
        <x:is>
          <x:t xml:space="preserve">positive</x:t>
        </x:is>
      </x:c>
      <x:c r="Q14" t="inlineStr">
        <x:is>
          <x:t xml:space="preserve">formal_candidate</x:t>
        </x:is>
      </x:c>
      <x:c r="R14" t="inlineStr">
        <x:is>
          <x:t xml:space="preserve">Results (Airway peripheral nerves)</x:t>
        </x:is>
      </x:c>
      <x:c r="S14" t="inlineStr">
        <x:is>
          <x:t xml:space="preserve">myelinating Schwann cells (mSchwann) (NFASC, NCMAP, MBP and PRX)</x:t>
        </x:is>
      </x:c>
      <x:c r="T14" t="inlineStr">
        <x:is>
          <x:t xml:space="preserve">approved</x:t>
        </x:is>
      </x:c>
      <x:c r="U14" t="inlineStr">
        <x:is>
          <x:t xml:space="preserve">quick_consistency</x:t>
        </x:is>
      </x:c>
      <x:c r="V14" t="inlineStr">
        <x:is>
          <x:t xml:space="preserve">快速一致性复核：作者直接给出PNS细胞标记/注释；抽样核对原文，未做逐句全量复核</x:t>
        </x:is>
      </x:c>
      <x:c r="W14" t="inlineStr">
        <x:is>
          <x:t xml:space="preserve">scripts/extract_markers/markers_output/DOI_10.1038_s41588_022_01243_4_review.csv</x:t>
        </x:is>
      </x:c>
      <x:c r="X14" t="inlineStr">
        <x:is>
          <x:t xml:space="preserve">2026-08-14</x:t>
        </x:is>
      </x:c>
    </x:row>
    <x:row r="15">
      <x:c r="A15" t="inlineStr">
        <x:is>
          <x:t xml:space="preserve">M00014</x:t>
        </x:is>
      </x:c>
      <x:c r="B15" t="n">
        <x:v>5</x:v>
      </x:c>
      <x:c r="C15" t="inlineStr">
        <x:is>
          <x:t xml:space="preserve">CELLxGENE:093d3bfe-6f0f-4ac0-a7a1-829f94d0a49f</x:t>
        </x:is>
      </x:c>
      <x:c r="D15" t="inlineStr">
        <x:is>
          <x:t xml:space="preserve">DOI_10.1038_s41588-022-01243-4</x:t>
        </x:is>
      </x:c>
      <x:c r="E15" t="inlineStr">
        <x:is>
          <x:t xml:space="preserve">DOI_10.1038_s41588-022-01243-4</x:t>
        </x:is>
      </x:c>
      <x:c r="F15" t="inlineStr">
        <x:is>
          <x:t xml:space="preserve">primary</x:t>
        </x:is>
      </x:c>
      <x:c r="I15" t="inlineStr">
        <x:is>
          <x:t xml:space="preserve">myelinating Schwann cells</x:t>
        </x:is>
      </x:c>
      <x:c r="K15" t="inlineStr">
        <x:is>
          <x:t xml:space="preserve">human</x:t>
        </x:is>
      </x:c>
      <x:c r="L15" t="inlineStr">
        <x:is>
          <x:t xml:space="preserve">true</x:t>
        </x:is>
      </x:c>
      <x:c r="M15" t="inlineStr">
        <x:is>
          <x:t xml:space="preserve">NFASC</x:t>
        </x:is>
      </x:c>
      <x:c r="N15" t="inlineStr">
        <x:is>
          <x:t xml:space="preserve">NFASC</x:t>
        </x:is>
      </x:c>
      <x:c r="O15" t="inlineStr">
        <x:is>
          <x:t xml:space="preserve">annotation_marker</x:t>
        </x:is>
      </x:c>
      <x:c r="P15" t="inlineStr">
        <x:is>
          <x:t xml:space="preserve">positive</x:t>
        </x:is>
      </x:c>
      <x:c r="Q15" t="inlineStr">
        <x:is>
          <x:t xml:space="preserve">formal_candidate</x:t>
        </x:is>
      </x:c>
      <x:c r="R15" t="inlineStr">
        <x:is>
          <x:t xml:space="preserve">Results (Airway peripheral nerves)</x:t>
        </x:is>
      </x:c>
      <x:c r="S15" t="inlineStr">
        <x:is>
          <x:t xml:space="preserve">myelinating Schwann cells (mSchwann) (NFASC, NCMAP, MBP and PRX)</x:t>
        </x:is>
      </x:c>
      <x:c r="T15" t="inlineStr">
        <x:is>
          <x:t xml:space="preserve">approved</x:t>
        </x:is>
      </x:c>
      <x:c r="U15" t="inlineStr">
        <x:is>
          <x:t xml:space="preserve">quick_consistency</x:t>
        </x:is>
      </x:c>
      <x:c r="V15" t="inlineStr">
        <x:is>
          <x:t xml:space="preserve">快速一致性复核：作者直接给出PNS细胞标记/注释；抽样核对原文，未做逐句全量复核</x:t>
        </x:is>
      </x:c>
      <x:c r="W15" t="inlineStr">
        <x:is>
          <x:t xml:space="preserve">scripts/extract_markers/markers_output/DOI_10.1038_s41588_022_01243_4_review.csv</x:t>
        </x:is>
      </x:c>
      <x:c r="X15" t="inlineStr">
        <x:is>
          <x:t xml:space="preserve">2026-08-14</x:t>
        </x:is>
      </x:c>
    </x:row>
    <x:row r="16">
      <x:c r="A16" t="inlineStr">
        <x:is>
          <x:t xml:space="preserve">M00015</x:t>
        </x:is>
      </x:c>
      <x:c r="B16" t="n">
        <x:v>5</x:v>
      </x:c>
      <x:c r="C16" t="inlineStr">
        <x:is>
          <x:t xml:space="preserve">CELLxGENE:093d3bfe-6f0f-4ac0-a7a1-829f94d0a49f</x:t>
        </x:is>
      </x:c>
      <x:c r="D16" t="inlineStr">
        <x:is>
          <x:t xml:space="preserve">DOI_10.1038_s41588-022-01243-4</x:t>
        </x:is>
      </x:c>
      <x:c r="E16" t="inlineStr">
        <x:is>
          <x:t xml:space="preserve">DOI_10.1038_s41588-022-01243-4</x:t>
        </x:is>
      </x:c>
      <x:c r="F16" t="inlineStr">
        <x:is>
          <x:t xml:space="preserve">primary</x:t>
        </x:is>
      </x:c>
      <x:c r="I16" t="inlineStr">
        <x:is>
          <x:t xml:space="preserve">myelinating Schwann cells</x:t>
        </x:is>
      </x:c>
      <x:c r="K16" t="inlineStr">
        <x:is>
          <x:t xml:space="preserve">human</x:t>
        </x:is>
      </x:c>
      <x:c r="L16" t="inlineStr">
        <x:is>
          <x:t xml:space="preserve">true</x:t>
        </x:is>
      </x:c>
      <x:c r="M16" t="inlineStr">
        <x:is>
          <x:t xml:space="preserve">PRX</x:t>
        </x:is>
      </x:c>
      <x:c r="N16" t="inlineStr">
        <x:is>
          <x:t xml:space="preserve">PRX</x:t>
        </x:is>
      </x:c>
      <x:c r="O16" t="inlineStr">
        <x:is>
          <x:t xml:space="preserve">annotation_marker</x:t>
        </x:is>
      </x:c>
      <x:c r="P16" t="inlineStr">
        <x:is>
          <x:t xml:space="preserve">positive</x:t>
        </x:is>
      </x:c>
      <x:c r="Q16" t="inlineStr">
        <x:is>
          <x:t xml:space="preserve">formal_candidate</x:t>
        </x:is>
      </x:c>
      <x:c r="R16" t="inlineStr">
        <x:is>
          <x:t xml:space="preserve">Results (Airway peripheral nerves)</x:t>
        </x:is>
      </x:c>
      <x:c r="S16" t="inlineStr">
        <x:is>
          <x:t xml:space="preserve">myelinating Schwann cells (mSchwann) (NFASC, NCMAP, MBP and PRX)</x:t>
        </x:is>
      </x:c>
      <x:c r="T16" t="inlineStr">
        <x:is>
          <x:t xml:space="preserve">approved</x:t>
        </x:is>
      </x:c>
      <x:c r="U16" t="inlineStr">
        <x:is>
          <x:t xml:space="preserve">quick_consistency</x:t>
        </x:is>
      </x:c>
      <x:c r="V16" t="inlineStr">
        <x:is>
          <x:t xml:space="preserve">快速一致性复核：作者直接给出PNS细胞标记/注释；抽样核对原文，未做逐句全量复核</x:t>
        </x:is>
      </x:c>
      <x:c r="W16" t="inlineStr">
        <x:is>
          <x:t xml:space="preserve">scripts/extract_markers/markers_output/DOI_10.1038_s41588_022_01243_4_review.csv</x:t>
        </x:is>
      </x:c>
      <x:c r="X16" t="inlineStr">
        <x:is>
          <x:t xml:space="preserve">2026-08-14</x:t>
        </x:is>
      </x:c>
    </x:row>
    <x:row r="17">
      <x:c r="A17" t="inlineStr">
        <x:is>
          <x:t xml:space="preserve">M00016</x:t>
        </x:is>
      </x:c>
      <x:c r="B17" t="n">
        <x:v>5</x:v>
      </x:c>
      <x:c r="C17" t="inlineStr">
        <x:is>
          <x:t xml:space="preserve">CELLxGENE:093d3bfe-6f0f-4ac0-a7a1-829f94d0a49f</x:t>
        </x:is>
      </x:c>
      <x:c r="D17" t="inlineStr">
        <x:is>
          <x:t xml:space="preserve">DOI_10.1038_s41588-022-01243-4</x:t>
        </x:is>
      </x:c>
      <x:c r="E17" t="inlineStr">
        <x:is>
          <x:t xml:space="preserve">DOI_10.1038_s41588-022-01243-4</x:t>
        </x:is>
      </x:c>
      <x:c r="F17" t="inlineStr">
        <x:is>
          <x:t xml:space="preserve">primary</x:t>
        </x:is>
      </x:c>
      <x:c r="I17" t="inlineStr">
        <x:is>
          <x:t xml:space="preserve">non-myelinating Schwann cell</x:t>
        </x:is>
      </x:c>
      <x:c r="K17" t="inlineStr">
        <x:is>
          <x:t xml:space="preserve">human</x:t>
        </x:is>
      </x:c>
      <x:c r="L17" t="inlineStr">
        <x:is>
          <x:t xml:space="preserve">true</x:t>
        </x:is>
      </x:c>
      <x:c r="M17" t="inlineStr">
        <x:is>
          <x:t xml:space="preserve">GRIK2</x:t>
        </x:is>
      </x:c>
      <x:c r="N17" t="inlineStr">
        <x:is>
          <x:t xml:space="preserve">GRIK2</x:t>
        </x:is>
      </x:c>
      <x:c r="O17" t="inlineStr">
        <x:is>
          <x:t xml:space="preserve">figure_labeled</x:t>
        </x:is>
      </x:c>
      <x:c r="P17" t="inlineStr">
        <x:is>
          <x:t xml:space="preserve">positive</x:t>
        </x:is>
      </x:c>
      <x:c r="Q17" t="inlineStr">
        <x:is>
          <x:t xml:space="preserve">formal_candidate</x:t>
        </x:is>
      </x:c>
      <x:c r="R17" t="inlineStr">
        <x:is>
          <x:t xml:space="preserve">Extended Data Fig. 5g</x:t>
        </x:is>
      </x:c>
      <x:c r="S17" t="inlineStr">
        <x:is>
          <x:t xml:space="preserve">HPA antibody staining of (g) non-myelinating Schwann cell markers (CADM, GRIK2, NCAM1, ITGB4 and L1CAM)</x:t>
        </x:is>
      </x:c>
      <x:c r="T17" t="inlineStr">
        <x:is>
          <x:t xml:space="preserve">approved</x:t>
        </x:is>
      </x:c>
      <x:c r="U17" t="inlineStr">
        <x:is>
          <x:t xml:space="preserve">quick_consistency</x:t>
        </x:is>
      </x:c>
      <x:c r="V17" t="inlineStr">
        <x:is>
          <x:t xml:space="preserve">快速一致性复核：作者直接给出PNS细胞标记/注释；抽样核对原文，未做逐句全量复核</x:t>
        </x:is>
      </x:c>
      <x:c r="W17" t="inlineStr">
        <x:is>
          <x:t xml:space="preserve">scripts/extract_markers/markers_output/DOI_10.1038_s41588_022_01243_4_review.csv</x:t>
        </x:is>
      </x:c>
      <x:c r="X17" t="inlineStr">
        <x:is>
          <x:t xml:space="preserve">2026-08-14</x:t>
        </x:is>
      </x:c>
    </x:row>
    <x:row r="18">
      <x:c r="A18" t="inlineStr">
        <x:is>
          <x:t xml:space="preserve">M00017</x:t>
        </x:is>
      </x:c>
      <x:c r="B18" t="n">
        <x:v>5</x:v>
      </x:c>
      <x:c r="C18" t="inlineStr">
        <x:is>
          <x:t xml:space="preserve">CELLxGENE:093d3bfe-6f0f-4ac0-a7a1-829f94d0a49f</x:t>
        </x:is>
      </x:c>
      <x:c r="D18" t="inlineStr">
        <x:is>
          <x:t xml:space="preserve">DOI_10.1038_s41588-022-01243-4</x:t>
        </x:is>
      </x:c>
      <x:c r="E18" t="inlineStr">
        <x:is>
          <x:t xml:space="preserve">DOI_10.1038_s41588-022-01243-4</x:t>
        </x:is>
      </x:c>
      <x:c r="F18" t="inlineStr">
        <x:is>
          <x:t xml:space="preserve">primary</x:t>
        </x:is>
      </x:c>
      <x:c r="I18" t="inlineStr">
        <x:is>
          <x:t xml:space="preserve">non-myelinating Schwann cell</x:t>
        </x:is>
      </x:c>
      <x:c r="K18" t="inlineStr">
        <x:is>
          <x:t xml:space="preserve">human</x:t>
        </x:is>
      </x:c>
      <x:c r="L18" t="inlineStr">
        <x:is>
          <x:t xml:space="preserve">true</x:t>
        </x:is>
      </x:c>
      <x:c r="M18" t="inlineStr">
        <x:is>
          <x:t xml:space="preserve">ITGB4</x:t>
        </x:is>
      </x:c>
      <x:c r="N18" t="inlineStr">
        <x:is>
          <x:t xml:space="preserve">ITGB4</x:t>
        </x:is>
      </x:c>
      <x:c r="O18" t="inlineStr">
        <x:is>
          <x:t xml:space="preserve">figure_labeled</x:t>
        </x:is>
      </x:c>
      <x:c r="P18" t="inlineStr">
        <x:is>
          <x:t xml:space="preserve">positive</x:t>
        </x:is>
      </x:c>
      <x:c r="Q18" t="inlineStr">
        <x:is>
          <x:t xml:space="preserve">formal_candidate</x:t>
        </x:is>
      </x:c>
      <x:c r="R18" t="inlineStr">
        <x:is>
          <x:t xml:space="preserve">Extended Data Fig. 5g</x:t>
        </x:is>
      </x:c>
      <x:c r="S18" t="inlineStr">
        <x:is>
          <x:t xml:space="preserve">HPA antibody staining of (g) non-myelinating Schwann cell markers (CADM, GRIK2, NCAM1, ITGB4 and L1CAM)</x:t>
        </x:is>
      </x:c>
      <x:c r="T18" t="inlineStr">
        <x:is>
          <x:t xml:space="preserve">approved</x:t>
        </x:is>
      </x:c>
      <x:c r="U18" t="inlineStr">
        <x:is>
          <x:t xml:space="preserve">quick_consistency</x:t>
        </x:is>
      </x:c>
      <x:c r="V18" t="inlineStr">
        <x:is>
          <x:t xml:space="preserve">快速一致性复核：作者直接给出PNS细胞标记/注释；抽样核对原文，未做逐句全量复核</x:t>
        </x:is>
      </x:c>
      <x:c r="W18" t="inlineStr">
        <x:is>
          <x:t xml:space="preserve">scripts/extract_markers/markers_output/DOI_10.1038_s41588_022_01243_4_review.csv</x:t>
        </x:is>
      </x:c>
      <x:c r="X18" t="inlineStr">
        <x:is>
          <x:t xml:space="preserve">2026-08-14</x:t>
        </x:is>
      </x:c>
    </x:row>
    <x:row r="19">
      <x:c r="A19" t="inlineStr">
        <x:is>
          <x:t xml:space="preserve">M00018</x:t>
        </x:is>
      </x:c>
      <x:c r="B19" t="n">
        <x:v>5</x:v>
      </x:c>
      <x:c r="C19" t="inlineStr">
        <x:is>
          <x:t xml:space="preserve">CELLxGENE:093d3bfe-6f0f-4ac0-a7a1-829f94d0a49f</x:t>
        </x:is>
      </x:c>
      <x:c r="D19" t="inlineStr">
        <x:is>
          <x:t xml:space="preserve">DOI_10.1038_s41588-022-01243-4</x:t>
        </x:is>
      </x:c>
      <x:c r="E19" t="inlineStr">
        <x:is>
          <x:t xml:space="preserve">DOI_10.1038_s41588-022-01243-4</x:t>
        </x:is>
      </x:c>
      <x:c r="F19" t="inlineStr">
        <x:is>
          <x:t xml:space="preserve">primary</x:t>
        </x:is>
      </x:c>
      <x:c r="I19" t="inlineStr">
        <x:is>
          <x:t xml:space="preserve">non-myelinating Schwann cell</x:t>
        </x:is>
      </x:c>
      <x:c r="K19" t="inlineStr">
        <x:is>
          <x:t xml:space="preserve">human</x:t>
        </x:is>
      </x:c>
      <x:c r="L19" t="inlineStr">
        <x:is>
          <x:t xml:space="preserve">true</x:t>
        </x:is>
      </x:c>
      <x:c r="M19" t="inlineStr">
        <x:is>
          <x:t xml:space="preserve">L1CAM</x:t>
        </x:is>
      </x:c>
      <x:c r="N19" t="inlineStr">
        <x:is>
          <x:t xml:space="preserve">L1CAM</x:t>
        </x:is>
      </x:c>
      <x:c r="O19" t="inlineStr">
        <x:is>
          <x:t xml:space="preserve">figure_labeled</x:t>
        </x:is>
      </x:c>
      <x:c r="P19" t="inlineStr">
        <x:is>
          <x:t xml:space="preserve">positive</x:t>
        </x:is>
      </x:c>
      <x:c r="Q19" t="inlineStr">
        <x:is>
          <x:t xml:space="preserve">formal_candidate</x:t>
        </x:is>
      </x:c>
      <x:c r="R19" t="inlineStr">
        <x:is>
          <x:t xml:space="preserve">Extended Data Fig. 5g</x:t>
        </x:is>
      </x:c>
      <x:c r="S19" t="inlineStr">
        <x:is>
          <x:t xml:space="preserve">HPA antibody staining of (g) non-myelinating Schwann cell markers (CADM, GRIK2, NCAM1, ITGB4 and L1CAM)</x:t>
        </x:is>
      </x:c>
      <x:c r="T19" t="inlineStr">
        <x:is>
          <x:t xml:space="preserve">approved</x:t>
        </x:is>
      </x:c>
      <x:c r="U19" t="inlineStr">
        <x:is>
          <x:t xml:space="preserve">quick_consistency</x:t>
        </x:is>
      </x:c>
      <x:c r="V19" t="inlineStr">
        <x:is>
          <x:t xml:space="preserve">快速一致性复核：作者直接给出PNS细胞标记/注释；抽样核对原文，未做逐句全量复核</x:t>
        </x:is>
      </x:c>
      <x:c r="W19" t="inlineStr">
        <x:is>
          <x:t xml:space="preserve">scripts/extract_markers/markers_output/DOI_10.1038_s41588_022_01243_4_review.csv</x:t>
        </x:is>
      </x:c>
      <x:c r="X19" t="inlineStr">
        <x:is>
          <x:t xml:space="preserve">2026-08-14</x:t>
        </x:is>
      </x:c>
    </x:row>
    <x:row r="20">
      <x:c r="A20" t="inlineStr">
        <x:is>
          <x:t xml:space="preserve">M00019</x:t>
        </x:is>
      </x:c>
      <x:c r="B20" t="n">
        <x:v>5</x:v>
      </x:c>
      <x:c r="C20" t="inlineStr">
        <x:is>
          <x:t xml:space="preserve">CELLxGENE:093d3bfe-6f0f-4ac0-a7a1-829f94d0a49f</x:t>
        </x:is>
      </x:c>
      <x:c r="D20" t="inlineStr">
        <x:is>
          <x:t xml:space="preserve">DOI_10.1038_s41588-022-01243-4</x:t>
        </x:is>
      </x:c>
      <x:c r="E20" t="inlineStr">
        <x:is>
          <x:t xml:space="preserve">DOI_10.1038_s41588-022-01243-4</x:t>
        </x:is>
      </x:c>
      <x:c r="F20" t="inlineStr">
        <x:is>
          <x:t xml:space="preserve">primary</x:t>
        </x:is>
      </x:c>
      <x:c r="I20" t="inlineStr">
        <x:is>
          <x:t xml:space="preserve">non-myelinating Schwann cell</x:t>
        </x:is>
      </x:c>
      <x:c r="K20" t="inlineStr">
        <x:is>
          <x:t xml:space="preserve">human</x:t>
        </x:is>
      </x:c>
      <x:c r="L20" t="inlineStr">
        <x:is>
          <x:t xml:space="preserve">true</x:t>
        </x:is>
      </x:c>
      <x:c r="M20" t="inlineStr">
        <x:is>
          <x:t xml:space="preserve">NCAM1</x:t>
        </x:is>
      </x:c>
      <x:c r="N20" t="inlineStr">
        <x:is>
          <x:t xml:space="preserve">NCAM1</x:t>
        </x:is>
      </x:c>
      <x:c r="O20" t="inlineStr">
        <x:is>
          <x:t xml:space="preserve">figure_labeled</x:t>
        </x:is>
      </x:c>
      <x:c r="P20" t="inlineStr">
        <x:is>
          <x:t xml:space="preserve">positive</x:t>
        </x:is>
      </x:c>
      <x:c r="Q20" t="inlineStr">
        <x:is>
          <x:t xml:space="preserve">formal_candidate</x:t>
        </x:is>
      </x:c>
      <x:c r="R20" t="inlineStr">
        <x:is>
          <x:t xml:space="preserve">Extended Data Fig. 5g</x:t>
        </x:is>
      </x:c>
      <x:c r="S20" t="inlineStr">
        <x:is>
          <x:t xml:space="preserve">HPA antibody staining of (g) non-myelinating Schwann cell markers (CADM, GRIK2, NCAM1, ITGB4 and L1CAM)</x:t>
        </x:is>
      </x:c>
      <x:c r="T20" t="inlineStr">
        <x:is>
          <x:t xml:space="preserve">approved</x:t>
        </x:is>
      </x:c>
      <x:c r="U20" t="inlineStr">
        <x:is>
          <x:t xml:space="preserve">quick_consistency</x:t>
        </x:is>
      </x:c>
      <x:c r="V20" t="inlineStr">
        <x:is>
          <x:t xml:space="preserve">快速一致性复核：作者直接给出PNS细胞标记/注释；抽样核对原文，未做逐句全量复核</x:t>
        </x:is>
      </x:c>
      <x:c r="W20" t="inlineStr">
        <x:is>
          <x:t xml:space="preserve">scripts/extract_markers/markers_output/DOI_10.1038_s41588_022_01243_4_review.csv</x:t>
        </x:is>
      </x:c>
      <x:c r="X20" t="inlineStr">
        <x:is>
          <x:t xml:space="preserve">2026-08-14</x:t>
        </x:is>
      </x:c>
    </x:row>
    <x:row r="21">
      <x:c r="A21" t="inlineStr">
        <x:is>
          <x:t xml:space="preserve">M00020</x:t>
        </x:is>
      </x:c>
      <x:c r="B21" t="n">
        <x:v>5</x:v>
      </x:c>
      <x:c r="C21" t="inlineStr">
        <x:is>
          <x:t xml:space="preserve">CELLxGENE:093d3bfe-6f0f-4ac0-a7a1-829f94d0a49f</x:t>
        </x:is>
      </x:c>
      <x:c r="D21" t="inlineStr">
        <x:is>
          <x:t xml:space="preserve">DOI_10.1038_s41588-022-01243-4</x:t>
        </x:is>
      </x:c>
      <x:c r="E21" t="inlineStr">
        <x:is>
          <x:t xml:space="preserve">DOI_10.1038_s41588-022-01243-4</x:t>
        </x:is>
      </x:c>
      <x:c r="F21" t="inlineStr">
        <x:is>
          <x:t xml:space="preserve">primary</x:t>
        </x:is>
      </x:c>
      <x:c r="I21" t="inlineStr">
        <x:is>
          <x:t xml:space="preserve">non-myelinating Schwann cell</x:t>
        </x:is>
      </x:c>
      <x:c r="K21" t="inlineStr">
        <x:is>
          <x:t xml:space="preserve">human</x:t>
        </x:is>
      </x:c>
      <x:c r="L21" t="inlineStr">
        <x:is>
          <x:t xml:space="preserve">true</x:t>
        </x:is>
      </x:c>
      <x:c r="M21" t="inlineStr">
        <x:is>
          <x:t xml:space="preserve">SCN7A</x:t>
        </x:is>
      </x:c>
      <x:c r="N21" t="inlineStr">
        <x:is>
          <x:t xml:space="preserve">SCN7A</x:t>
        </x:is>
      </x:c>
      <x:c r="O21" t="inlineStr">
        <x:is>
          <x:t xml:space="preserve">annotation_marker</x:t>
        </x:is>
      </x:c>
      <x:c r="P21" t="inlineStr">
        <x:is>
          <x:t xml:space="preserve">positive</x:t>
        </x:is>
      </x:c>
      <x:c r="Q21" t="inlineStr">
        <x:is>
          <x:t xml:space="preserve">formal_candidate</x:t>
        </x:is>
      </x:c>
      <x:c r="R21" t="inlineStr">
        <x:is>
          <x:t xml:space="preserve">Extended Data Fig. 5j</x:t>
        </x:is>
      </x:c>
      <x:c r="S21" t="inlineStr">
        <x:is>
          <x:t xml:space="preserve">RNAscope staining for myelinating (MLIP) and non-myelinating (SCN7A, SOX10) Schwann cell and perineurial (SLC2A1) NAF specific genes in bronchial nerves.</x:t>
        </x:is>
      </x:c>
      <x:c r="T21" t="inlineStr">
        <x:is>
          <x:t xml:space="preserve">approved</x:t>
        </x:is>
      </x:c>
      <x:c r="U21" t="inlineStr">
        <x:is>
          <x:t xml:space="preserve">quick_consistency</x:t>
        </x:is>
      </x:c>
      <x:c r="V21" t="inlineStr">
        <x:is>
          <x:t xml:space="preserve">快速一致性复核：作者直接给出PNS细胞标记/注释；抽样核对原文，未做逐句全量复核</x:t>
        </x:is>
      </x:c>
      <x:c r="W21" t="inlineStr">
        <x:is>
          <x:t xml:space="preserve">scripts/extract_markers/markers_output/DOI_10.1038_s41588_022_01243_4_review.csv</x:t>
        </x:is>
      </x:c>
      <x:c r="X21" t="inlineStr">
        <x:is>
          <x:t xml:space="preserve">2026-08-14</x:t>
        </x:is>
      </x:c>
    </x:row>
    <x:row r="22">
      <x:c r="A22" t="inlineStr">
        <x:is>
          <x:t xml:space="preserve">M00021</x:t>
        </x:is>
      </x:c>
      <x:c r="B22" t="n">
        <x:v>5</x:v>
      </x:c>
      <x:c r="C22" t="inlineStr">
        <x:is>
          <x:t xml:space="preserve">CELLxGENE:093d3bfe-6f0f-4ac0-a7a1-829f94d0a49f</x:t>
        </x:is>
      </x:c>
      <x:c r="D22" t="inlineStr">
        <x:is>
          <x:t xml:space="preserve">DOI_10.1038_s41588-022-01243-4</x:t>
        </x:is>
      </x:c>
      <x:c r="E22" t="inlineStr">
        <x:is>
          <x:t xml:space="preserve">DOI_10.1038_s41588-022-01243-4</x:t>
        </x:is>
      </x:c>
      <x:c r="F22" t="inlineStr">
        <x:is>
          <x:t xml:space="preserve">primary</x:t>
        </x:is>
      </x:c>
      <x:c r="I22" t="inlineStr">
        <x:is>
          <x:t xml:space="preserve">non-myelinating Schwann cell</x:t>
        </x:is>
      </x:c>
      <x:c r="K22" t="inlineStr">
        <x:is>
          <x:t xml:space="preserve">human</x:t>
        </x:is>
      </x:c>
      <x:c r="L22" t="inlineStr">
        <x:is>
          <x:t xml:space="preserve">true</x:t>
        </x:is>
      </x:c>
      <x:c r="M22" t="inlineStr">
        <x:is>
          <x:t xml:space="preserve">SOX10</x:t>
        </x:is>
      </x:c>
      <x:c r="N22" t="inlineStr">
        <x:is>
          <x:t xml:space="preserve">SOX10</x:t>
        </x:is>
      </x:c>
      <x:c r="O22" t="inlineStr">
        <x:is>
          <x:t xml:space="preserve">annotation_marker</x:t>
        </x:is>
      </x:c>
      <x:c r="P22" t="inlineStr">
        <x:is>
          <x:t xml:space="preserve">positive</x:t>
        </x:is>
      </x:c>
      <x:c r="Q22" t="inlineStr">
        <x:is>
          <x:t xml:space="preserve">formal_candidate</x:t>
        </x:is>
      </x:c>
      <x:c r="R22" t="inlineStr">
        <x:is>
          <x:t xml:space="preserve">Extended Data Fig. 5j</x:t>
        </x:is>
      </x:c>
      <x:c r="S22" t="inlineStr">
        <x:is>
          <x:t xml:space="preserve">RNAscope staining for myelinating (MLIP) and non-myelinating (SCN7A, SOX10) Schwann cell and perineurial (SLC2A1) NAF specific genes in bronchial nerves.</x:t>
        </x:is>
      </x:c>
      <x:c r="T22" t="inlineStr">
        <x:is>
          <x:t xml:space="preserve">approved</x:t>
        </x:is>
      </x:c>
      <x:c r="U22" t="inlineStr">
        <x:is>
          <x:t xml:space="preserve">quick_consistency</x:t>
        </x:is>
      </x:c>
      <x:c r="V22" t="inlineStr">
        <x:is>
          <x:t xml:space="preserve">快速一致性复核：作者直接给出PNS细胞标记/注释；抽样核对原文，未做逐句全量复核</x:t>
        </x:is>
      </x:c>
      <x:c r="W22" t="inlineStr">
        <x:is>
          <x:t xml:space="preserve">scripts/extract_markers/markers_output/DOI_10.1038_s41588_022_01243_4_review.csv</x:t>
        </x:is>
      </x:c>
      <x:c r="X22" t="inlineStr">
        <x:is>
          <x:t xml:space="preserve">2026-08-14</x:t>
        </x:is>
      </x:c>
    </x:row>
    <x:row r="23">
      <x:c r="A23" t="inlineStr">
        <x:is>
          <x:t xml:space="preserve">M00022</x:t>
        </x:is>
      </x:c>
      <x:c r="B23" t="n">
        <x:v>5</x:v>
      </x:c>
      <x:c r="C23" t="inlineStr">
        <x:is>
          <x:t xml:space="preserve">CELLxGENE:093d3bfe-6f0f-4ac0-a7a1-829f94d0a49f</x:t>
        </x:is>
      </x:c>
      <x:c r="D23" t="inlineStr">
        <x:is>
          <x:t xml:space="preserve">DOI_10.1038_s41588-022-01243-4</x:t>
        </x:is>
      </x:c>
      <x:c r="E23" t="inlineStr">
        <x:is>
          <x:t xml:space="preserve">DOI_10.1038_s41588-022-01243-4</x:t>
        </x:is>
      </x:c>
      <x:c r="F23" t="inlineStr">
        <x:is>
          <x:t xml:space="preserve">primary</x:t>
        </x:is>
      </x:c>
      <x:c r="I23" t="inlineStr">
        <x:is>
          <x:t xml:space="preserve">nonmyelinating Schwann cells</x:t>
        </x:is>
      </x:c>
      <x:c r="K23" t="inlineStr">
        <x:is>
          <x:t xml:space="preserve">human</x:t>
        </x:is>
      </x:c>
      <x:c r="L23" t="inlineStr">
        <x:is>
          <x:t xml:space="preserve">true</x:t>
        </x:is>
      </x:c>
      <x:c r="M23" t="inlineStr">
        <x:is>
          <x:t xml:space="preserve">CHD2</x:t>
        </x:is>
      </x:c>
      <x:c r="N23" t="inlineStr">
        <x:is>
          <x:t xml:space="preserve">CHD2</x:t>
        </x:is>
      </x:c>
      <x:c r="O23" t="inlineStr">
        <x:is>
          <x:t xml:space="preserve">annotation_marker</x:t>
        </x:is>
      </x:c>
      <x:c r="P23" t="inlineStr">
        <x:is>
          <x:t xml:space="preserve">positive</x:t>
        </x:is>
      </x:c>
      <x:c r="Q23" t="inlineStr">
        <x:is>
          <x:t xml:space="preserve">formal_candidate</x:t>
        </x:is>
      </x:c>
      <x:c r="R23" t="inlineStr">
        <x:is>
          <x:t xml:space="preserve">Results (Airway peripheral nerves)</x:t>
        </x:is>
      </x:c>
      <x:c r="S23" t="inlineStr">
        <x:is>
          <x:t xml:space="preserve">nonmyelinating Schwann cells (nmSchwann) (NGFR, SCN7A, CHD2, L1CAM and NCAM1)</x:t>
        </x:is>
      </x:c>
      <x:c r="T23" t="inlineStr">
        <x:is>
          <x:t xml:space="preserve">approved</x:t>
        </x:is>
      </x:c>
      <x:c r="U23" t="inlineStr">
        <x:is>
          <x:t xml:space="preserve">quick_consistency</x:t>
        </x:is>
      </x:c>
      <x:c r="V23" t="inlineStr">
        <x:is>
          <x:t xml:space="preserve">快速一致性复核：作者直接给出PNS细胞标记/注释；抽样核对原文，未做逐句全量复核</x:t>
        </x:is>
      </x:c>
      <x:c r="W23" t="inlineStr">
        <x:is>
          <x:t xml:space="preserve">scripts/extract_markers/markers_output/DOI_10.1038_s41588_022_01243_4_review.csv</x:t>
        </x:is>
      </x:c>
      <x:c r="X23" t="inlineStr">
        <x:is>
          <x:t xml:space="preserve">2026-08-14</x:t>
        </x:is>
      </x:c>
    </x:row>
    <x:row r="24">
      <x:c r="A24" t="inlineStr">
        <x:is>
          <x:t xml:space="preserve">M00023</x:t>
        </x:is>
      </x:c>
      <x:c r="B24" t="n">
        <x:v>5</x:v>
      </x:c>
      <x:c r="C24" t="inlineStr">
        <x:is>
          <x:t xml:space="preserve">CELLxGENE:093d3bfe-6f0f-4ac0-a7a1-829f94d0a49f</x:t>
        </x:is>
      </x:c>
      <x:c r="D24" t="inlineStr">
        <x:is>
          <x:t xml:space="preserve">DOI_10.1038_s41588-022-01243-4</x:t>
        </x:is>
      </x:c>
      <x:c r="E24" t="inlineStr">
        <x:is>
          <x:t xml:space="preserve">DOI_10.1038_s41588-022-01243-4</x:t>
        </x:is>
      </x:c>
      <x:c r="F24" t="inlineStr">
        <x:is>
          <x:t xml:space="preserve">primary</x:t>
        </x:is>
      </x:c>
      <x:c r="I24" t="inlineStr">
        <x:is>
          <x:t xml:space="preserve">nonmyelinating Schwann cells</x:t>
        </x:is>
      </x:c>
      <x:c r="K24" t="inlineStr">
        <x:is>
          <x:t xml:space="preserve">human</x:t>
        </x:is>
      </x:c>
      <x:c r="L24" t="inlineStr">
        <x:is>
          <x:t xml:space="preserve">true</x:t>
        </x:is>
      </x:c>
      <x:c r="M24" t="inlineStr">
        <x:is>
          <x:t xml:space="preserve">L1CAM</x:t>
        </x:is>
      </x:c>
      <x:c r="N24" t="inlineStr">
        <x:is>
          <x:t xml:space="preserve">L1CAM</x:t>
        </x:is>
      </x:c>
      <x:c r="O24" t="inlineStr">
        <x:is>
          <x:t xml:space="preserve">annotation_marker</x:t>
        </x:is>
      </x:c>
      <x:c r="P24" t="inlineStr">
        <x:is>
          <x:t xml:space="preserve">positive</x:t>
        </x:is>
      </x:c>
      <x:c r="Q24" t="inlineStr">
        <x:is>
          <x:t xml:space="preserve">formal_candidate</x:t>
        </x:is>
      </x:c>
      <x:c r="R24" t="inlineStr">
        <x:is>
          <x:t xml:space="preserve">Results (Airway peripheral nerves)</x:t>
        </x:is>
      </x:c>
      <x:c r="S24" t="inlineStr">
        <x:is>
          <x:t xml:space="preserve">nonmyelinating Schwann cells (nmSchwann) (NGFR, SCN7A, CHD2, L1CAM and NCAM1)</x:t>
        </x:is>
      </x:c>
      <x:c r="T24" t="inlineStr">
        <x:is>
          <x:t xml:space="preserve">approved</x:t>
        </x:is>
      </x:c>
      <x:c r="U24" t="inlineStr">
        <x:is>
          <x:t xml:space="preserve">quick_consistency</x:t>
        </x:is>
      </x:c>
      <x:c r="V24" t="inlineStr">
        <x:is>
          <x:t xml:space="preserve">快速一致性复核：作者直接给出PNS细胞标记/注释；抽样核对原文，未做逐句全量复核</x:t>
        </x:is>
      </x:c>
      <x:c r="W24" t="inlineStr">
        <x:is>
          <x:t xml:space="preserve">scripts/extract_markers/markers_output/DOI_10.1038_s41588_022_01243_4_review.csv</x:t>
        </x:is>
      </x:c>
      <x:c r="X24" t="inlineStr">
        <x:is>
          <x:t xml:space="preserve">2026-08-14</x:t>
        </x:is>
      </x:c>
    </x:row>
    <x:row r="25">
      <x:c r="A25" t="inlineStr">
        <x:is>
          <x:t xml:space="preserve">M00024</x:t>
        </x:is>
      </x:c>
      <x:c r="B25" t="n">
        <x:v>5</x:v>
      </x:c>
      <x:c r="C25" t="inlineStr">
        <x:is>
          <x:t xml:space="preserve">CELLxGENE:093d3bfe-6f0f-4ac0-a7a1-829f94d0a49f</x:t>
        </x:is>
      </x:c>
      <x:c r="D25" t="inlineStr">
        <x:is>
          <x:t xml:space="preserve">DOI_10.1038_s41588-022-01243-4</x:t>
        </x:is>
      </x:c>
      <x:c r="E25" t="inlineStr">
        <x:is>
          <x:t xml:space="preserve">DOI_10.1038_s41588-022-01243-4</x:t>
        </x:is>
      </x:c>
      <x:c r="F25" t="inlineStr">
        <x:is>
          <x:t xml:space="preserve">primary</x:t>
        </x:is>
      </x:c>
      <x:c r="I25" t="inlineStr">
        <x:is>
          <x:t xml:space="preserve">nonmyelinating Schwann cells</x:t>
        </x:is>
      </x:c>
      <x:c r="K25" t="inlineStr">
        <x:is>
          <x:t xml:space="preserve">human</x:t>
        </x:is>
      </x:c>
      <x:c r="L25" t="inlineStr">
        <x:is>
          <x:t xml:space="preserve">true</x:t>
        </x:is>
      </x:c>
      <x:c r="M25" t="inlineStr">
        <x:is>
          <x:t xml:space="preserve">NCAM1</x:t>
        </x:is>
      </x:c>
      <x:c r="N25" t="inlineStr">
        <x:is>
          <x:t xml:space="preserve">NCAM1</x:t>
        </x:is>
      </x:c>
      <x:c r="O25" t="inlineStr">
        <x:is>
          <x:t xml:space="preserve">annotation_marker</x:t>
        </x:is>
      </x:c>
      <x:c r="P25" t="inlineStr">
        <x:is>
          <x:t xml:space="preserve">positive</x:t>
        </x:is>
      </x:c>
      <x:c r="Q25" t="inlineStr">
        <x:is>
          <x:t xml:space="preserve">formal_candidate</x:t>
        </x:is>
      </x:c>
      <x:c r="R25" t="inlineStr">
        <x:is>
          <x:t xml:space="preserve">Results (Airway peripheral nerves)</x:t>
        </x:is>
      </x:c>
      <x:c r="S25" t="inlineStr">
        <x:is>
          <x:t xml:space="preserve">nonmyelinating Schwann cells (nmSchwann) (NGFR, SCN7A, CHD2, L1CAM and NCAM1)</x:t>
        </x:is>
      </x:c>
      <x:c r="T25" t="inlineStr">
        <x:is>
          <x:t xml:space="preserve">approved</x:t>
        </x:is>
      </x:c>
      <x:c r="U25" t="inlineStr">
        <x:is>
          <x:t xml:space="preserve">quick_consistency</x:t>
        </x:is>
      </x:c>
      <x:c r="V25" t="inlineStr">
        <x:is>
          <x:t xml:space="preserve">快速一致性复核：作者直接给出PNS细胞标记/注释；抽样核对原文，未做逐句全量复核</x:t>
        </x:is>
      </x:c>
      <x:c r="W25" t="inlineStr">
        <x:is>
          <x:t xml:space="preserve">scripts/extract_markers/markers_output/DOI_10.1038_s41588_022_01243_4_review.csv</x:t>
        </x:is>
      </x:c>
      <x:c r="X25" t="inlineStr">
        <x:is>
          <x:t xml:space="preserve">2026-08-14</x:t>
        </x:is>
      </x:c>
    </x:row>
    <x:row r="26">
      <x:c r="A26" t="inlineStr">
        <x:is>
          <x:t xml:space="preserve">M00025</x:t>
        </x:is>
      </x:c>
      <x:c r="B26" t="n">
        <x:v>5</x:v>
      </x:c>
      <x:c r="C26" t="inlineStr">
        <x:is>
          <x:t xml:space="preserve">CELLxGENE:093d3bfe-6f0f-4ac0-a7a1-829f94d0a49f</x:t>
        </x:is>
      </x:c>
      <x:c r="D26" t="inlineStr">
        <x:is>
          <x:t xml:space="preserve">DOI_10.1038_s41588-022-01243-4</x:t>
        </x:is>
      </x:c>
      <x:c r="E26" t="inlineStr">
        <x:is>
          <x:t xml:space="preserve">DOI_10.1038_s41588-022-01243-4</x:t>
        </x:is>
      </x:c>
      <x:c r="F26" t="inlineStr">
        <x:is>
          <x:t xml:space="preserve">primary</x:t>
        </x:is>
      </x:c>
      <x:c r="I26" t="inlineStr">
        <x:is>
          <x:t xml:space="preserve">nonmyelinating Schwann cells</x:t>
        </x:is>
      </x:c>
      <x:c r="K26" t="inlineStr">
        <x:is>
          <x:t xml:space="preserve">human</x:t>
        </x:is>
      </x:c>
      <x:c r="L26" t="inlineStr">
        <x:is>
          <x:t xml:space="preserve">true</x:t>
        </x:is>
      </x:c>
      <x:c r="M26" t="inlineStr">
        <x:is>
          <x:t xml:space="preserve">NGFR</x:t>
        </x:is>
      </x:c>
      <x:c r="N26" t="inlineStr">
        <x:is>
          <x:t xml:space="preserve">NGFR</x:t>
        </x:is>
      </x:c>
      <x:c r="O26" t="inlineStr">
        <x:is>
          <x:t xml:space="preserve">annotation_marker</x:t>
        </x:is>
      </x:c>
      <x:c r="P26" t="inlineStr">
        <x:is>
          <x:t xml:space="preserve">positive</x:t>
        </x:is>
      </x:c>
      <x:c r="Q26" t="inlineStr">
        <x:is>
          <x:t xml:space="preserve">formal_candidate</x:t>
        </x:is>
      </x:c>
      <x:c r="R26" t="inlineStr">
        <x:is>
          <x:t xml:space="preserve">Results (Airway peripheral nerves)</x:t>
        </x:is>
      </x:c>
      <x:c r="S26" t="inlineStr">
        <x:is>
          <x:t xml:space="preserve">nonmyelinating Schwann cells (nmSchwann) (NGFR, SCN7A, CHD2, L1CAM and NCAM1)</x:t>
        </x:is>
      </x:c>
      <x:c r="T26" t="inlineStr">
        <x:is>
          <x:t xml:space="preserve">approved</x:t>
        </x:is>
      </x:c>
      <x:c r="U26" t="inlineStr">
        <x:is>
          <x:t xml:space="preserve">quick_consistency</x:t>
        </x:is>
      </x:c>
      <x:c r="V26" t="inlineStr">
        <x:is>
          <x:t xml:space="preserve">快速一致性复核：作者直接给出PNS细胞标记/注释；抽样核对原文，未做逐句全量复核</x:t>
        </x:is>
      </x:c>
      <x:c r="W26" t="inlineStr">
        <x:is>
          <x:t xml:space="preserve">scripts/extract_markers/markers_output/DOI_10.1038_s41588_022_01243_4_review.csv</x:t>
        </x:is>
      </x:c>
      <x:c r="X26" t="inlineStr">
        <x:is>
          <x:t xml:space="preserve">2026-08-14</x:t>
        </x:is>
      </x:c>
    </x:row>
    <x:row r="27">
      <x:c r="A27" t="inlineStr">
        <x:is>
          <x:t xml:space="preserve">M00026</x:t>
        </x:is>
      </x:c>
      <x:c r="B27" t="n">
        <x:v>5</x:v>
      </x:c>
      <x:c r="C27" t="inlineStr">
        <x:is>
          <x:t xml:space="preserve">CELLxGENE:093d3bfe-6f0f-4ac0-a7a1-829f94d0a49f</x:t>
        </x:is>
      </x:c>
      <x:c r="D27" t="inlineStr">
        <x:is>
          <x:t xml:space="preserve">DOI_10.1038_s41588-022-01243-4</x:t>
        </x:is>
      </x:c>
      <x:c r="E27" t="inlineStr">
        <x:is>
          <x:t xml:space="preserve">DOI_10.1038_s41588-022-01243-4</x:t>
        </x:is>
      </x:c>
      <x:c r="F27" t="inlineStr">
        <x:is>
          <x:t xml:space="preserve">primary</x:t>
        </x:is>
      </x:c>
      <x:c r="I27" t="inlineStr">
        <x:is>
          <x:t xml:space="preserve">nonmyelinating Schwann cells</x:t>
        </x:is>
      </x:c>
      <x:c r="K27" t="inlineStr">
        <x:is>
          <x:t xml:space="preserve">human</x:t>
        </x:is>
      </x:c>
      <x:c r="L27" t="inlineStr">
        <x:is>
          <x:t xml:space="preserve">true</x:t>
        </x:is>
      </x:c>
      <x:c r="M27" t="inlineStr">
        <x:is>
          <x:t xml:space="preserve">SCN7A</x:t>
        </x:is>
      </x:c>
      <x:c r="N27" t="inlineStr">
        <x:is>
          <x:t xml:space="preserve">SCN7A</x:t>
        </x:is>
      </x:c>
      <x:c r="O27" t="inlineStr">
        <x:is>
          <x:t xml:space="preserve">annotation_marker</x:t>
        </x:is>
      </x:c>
      <x:c r="P27" t="inlineStr">
        <x:is>
          <x:t xml:space="preserve">positive</x:t>
        </x:is>
      </x:c>
      <x:c r="Q27" t="inlineStr">
        <x:is>
          <x:t xml:space="preserve">formal_candidate</x:t>
        </x:is>
      </x:c>
      <x:c r="R27" t="inlineStr">
        <x:is>
          <x:t xml:space="preserve">Results (Airway peripheral nerves)</x:t>
        </x:is>
      </x:c>
      <x:c r="S27" t="inlineStr">
        <x:is>
          <x:t xml:space="preserve">nonmyelinating Schwann cells (nmSchwann) (NGFR, SCN7A, CHD2, L1CAM and NCAM1)</x:t>
        </x:is>
      </x:c>
      <x:c r="T27" t="inlineStr">
        <x:is>
          <x:t xml:space="preserve">approved</x:t>
        </x:is>
      </x:c>
      <x:c r="U27" t="inlineStr">
        <x:is>
          <x:t xml:space="preserve">quick_consistency</x:t>
        </x:is>
      </x:c>
      <x:c r="V27" t="inlineStr">
        <x:is>
          <x:t xml:space="preserve">快速一致性复核：作者直接给出PNS细胞标记/注释；抽样核对原文，未做逐句全量复核</x:t>
        </x:is>
      </x:c>
      <x:c r="W27" t="inlineStr">
        <x:is>
          <x:t xml:space="preserve">scripts/extract_markers/markers_output/DOI_10.1038_s41588_022_01243_4_review.csv</x:t>
        </x:is>
      </x:c>
      <x:c r="X27" t="inlineStr">
        <x:is>
          <x:t xml:space="preserve">2026-08-14</x:t>
        </x:is>
      </x:c>
    </x:row>
    <x:row r="28">
      <x:c r="A28" t="inlineStr">
        <x:is>
          <x:t xml:space="preserve">M00027</x:t>
        </x:is>
      </x:c>
      <x:c r="B28" t="n">
        <x:v>6</x:v>
      </x:c>
      <x:c r="C28" t="inlineStr">
        <x:is>
          <x:t xml:space="preserve">CELLxGENE:b61a921b-7fa3-4b42-b455-aaaf32447920</x:t>
        </x:is>
      </x:c>
      <x:c r="D28" t="inlineStr">
        <x:is>
          <x:t xml:space="preserve">DOI_10.1164_rccm.202207-1384oc</x:t>
        </x:is>
      </x:c>
      <x:c r="E28" t="inlineStr">
        <x:is>
          <x:t xml:space="preserve">DOI_10.1164_rccm.202207-1384oc</x:t>
        </x:is>
      </x:c>
      <x:c r="F28" t="inlineStr">
        <x:is>
          <x:t xml:space="preserve">primary</x:t>
        </x:is>
      </x:c>
      <x:c r="I28" t="inlineStr">
        <x:is>
          <x:t xml:space="preserve">neuroendocrine cell</x:t>
        </x:is>
      </x:c>
      <x:c r="J28" t="inlineStr">
        <x:is>
          <x:t xml:space="preserve">GHRL+</x:t>
        </x:is>
      </x:c>
      <x:c r="K28" t="inlineStr">
        <x:is>
          <x:t xml:space="preserve">human</x:t>
        </x:is>
      </x:c>
      <x:c r="L28" t="inlineStr">
        <x:is>
          <x:t xml:space="preserve">true</x:t>
        </x:is>
      </x:c>
      <x:c r="M28" t="inlineStr">
        <x:is>
          <x:t xml:space="preserve">GHRL</x:t>
        </x:is>
      </x:c>
      <x:c r="N28" t="inlineStr">
        <x:is>
          <x:t xml:space="preserve">GHRL</x:t>
        </x:is>
      </x:c>
      <x:c r="O28" t="inlineStr">
        <x:is>
          <x:t xml:space="preserve">annotation_marker</x:t>
        </x:is>
      </x:c>
      <x:c r="P28" t="inlineStr">
        <x:is>
          <x:t xml:space="preserve">positive</x:t>
        </x:is>
      </x:c>
      <x:c r="Q28" t="inlineStr">
        <x:is>
          <x:t xml:space="preserve">formal_candidate</x:t>
        </x:is>
      </x:c>
      <x:c r="R28" t="inlineStr">
        <x:is>
          <x:t xml:space="preserve">Discussion</x:t>
        </x:is>
      </x:c>
      <x:c r="S28" t="inlineStr">
        <x:is>
          <x:t xml:space="preserve">We find that GHRL+ NE cells are transcriptionally similar to the NEUROD1+ N subtype of SCLC (Figure 7).</x:t>
        </x:is>
      </x:c>
      <x:c r="T28" t="inlineStr">
        <x:is>
          <x:t xml:space="preserve">approved</x:t>
        </x:is>
      </x:c>
      <x:c r="U28" t="inlineStr">
        <x:is>
          <x:t xml:space="preserve">quick_consistency</x:t>
        </x:is>
      </x:c>
      <x:c r="V28" t="inlineStr">
        <x:is>
          <x:t xml:space="preserve">快速一致性复核：作者直接给出PNS细胞标记/注释；抽样核对原文，未做逐句全量复核</x:t>
        </x:is>
      </x:c>
      <x:c r="W28" t="inlineStr">
        <x:is>
          <x:t xml:space="preserve">scripts/extract_markers/markers_output/DOI_10.1164_rccm.202207_1384OC_review.csv</x:t>
        </x:is>
      </x:c>
      <x:c r="X28" t="inlineStr">
        <x:is>
          <x:t xml:space="preserve">2026-08-14</x:t>
        </x:is>
      </x:c>
    </x:row>
    <x:row r="29">
      <x:c r="A29" t="inlineStr">
        <x:is>
          <x:t xml:space="preserve">M00028</x:t>
        </x:is>
      </x:c>
      <x:c r="B29" t="n">
        <x:v>14</x:v>
      </x:c>
      <x:c r="C29" t="inlineStr">
        <x:is>
          <x:t xml:space="preserve">CELLxGENE:9f222629-9e39-47d0-b83f-e08d610c7479</x:t>
        </x:is>
      </x:c>
      <x:c r="D29" t="inlineStr">
        <x:is>
          <x:t xml:space="preserve">DOI_10.1038_s41591-023-02327-2</x:t>
        </x:is>
      </x:c>
      <x:c r="E29" t="inlineStr">
        <x:is>
          <x:t xml:space="preserve">DOI_10.1038_s41591-023-02327-2</x:t>
        </x:is>
      </x:c>
      <x:c r="F29" t="inlineStr">
        <x:is>
          <x:t xml:space="preserve">primary</x:t>
        </x:is>
      </x:c>
      <x:c r="I29" t="inlineStr">
        <x:is>
          <x:t xml:space="preserve">Neuroendocrine</x:t>
        </x:is>
      </x:c>
      <x:c r="K29" t="inlineStr">
        <x:is>
          <x:t xml:space="preserve">human</x:t>
        </x:is>
      </x:c>
      <x:c r="L29" t="inlineStr">
        <x:is>
          <x:t xml:space="preserve">true</x:t>
        </x:is>
      </x:c>
      <x:c r="M29" t="inlineStr">
        <x:is>
          <x:t xml:space="preserve">CALCA</x:t>
        </x:is>
      </x:c>
      <x:c r="N29" t="inlineStr">
        <x:is>
          <x:t xml:space="preserve">CALCA</x:t>
        </x:is>
      </x:c>
      <x:c r="O29" t="inlineStr">
        <x:is>
          <x:t xml:space="preserve">figure_labeled</x:t>
        </x:is>
      </x:c>
      <x:c r="P29" t="inlineStr">
        <x:is>
          <x:t xml:space="preserve">positive</x:t>
        </x:is>
      </x:c>
      <x:c r="Q29" t="inlineStr">
        <x:is>
          <x:t xml:space="preserve">formal_candidate</x:t>
        </x:is>
      </x:c>
      <x:c r="R29" t="inlineStr">
        <x:is>
          <x:t xml:space="preserve">Fig. 3f</x:t>
        </x:is>
      </x:c>
      <x:c r="S29" t="inlineStr">
        <x:is>
          <x:t xml:space="preserve">expression of neuroendocrine marker CALCA</x:t>
        </x:is>
      </x:c>
      <x:c r="T29" t="inlineStr">
        <x:is>
          <x:t xml:space="preserve">approved</x:t>
        </x:is>
      </x:c>
      <x:c r="U29" t="inlineStr">
        <x:is>
          <x:t xml:space="preserve">quick_consistency</x:t>
        </x:is>
      </x:c>
      <x:c r="V29" t="inlineStr">
        <x:is>
          <x:t xml:space="preserve">快速一致性复核：作者直接给出PNS细胞标记/注释；抽样核对原文，未做逐句全量复核</x:t>
        </x:is>
      </x:c>
      <x:c r="W29" t="inlineStr">
        <x:is>
          <x:t xml:space="preserve">scripts/extract_markers/markers_output/DOI_10.1038_s41591_023_02327_2_review.csv</x:t>
        </x:is>
      </x:c>
      <x:c r="X29" t="inlineStr">
        <x:is>
          <x:t xml:space="preserve">2026-08-14</x:t>
        </x:is>
      </x:c>
    </x:row>
    <x:row r="30">
      <x:c r="A30" t="inlineStr">
        <x:is>
          <x:t xml:space="preserve">M00029</x:t>
        </x:is>
      </x:c>
      <x:c r="B30" t="n">
        <x:v>23</x:v>
      </x:c>
      <x:c r="C30" t="inlineStr">
        <x:is>
          <x:t xml:space="preserve">CELLxGENE:2dd9d7a2-4bee-4c3f-a1f5-89bc3271c4f0</x:t>
        </x:is>
      </x:c>
      <x:c r="D30" t="inlineStr">
        <x:is>
          <x:t xml:space="preserve">DOI_10.1016_j.isci.2024.111628</x:t>
        </x:is>
      </x:c>
      <x:c r="E30" t="inlineStr">
        <x:is>
          <x:t xml:space="preserve">DOI_10.1016_j.isci.2024.111628</x:t>
        </x:is>
      </x:c>
      <x:c r="F30" t="inlineStr">
        <x:is>
          <x:t xml:space="preserve">primary</x:t>
        </x:is>
      </x:c>
      <x:c r="I30" t="inlineStr">
        <x:is>
          <x:t xml:space="preserve">Schwann cell</x:t>
        </x:is>
      </x:c>
      <x:c r="K30" t="inlineStr">
        <x:is>
          <x:t xml:space="preserve">human</x:t>
        </x:is>
      </x:c>
      <x:c r="L30" t="inlineStr">
        <x:is>
          <x:t xml:space="preserve">true</x:t>
        </x:is>
      </x:c>
      <x:c r="M30" t="inlineStr">
        <x:is>
          <x:t xml:space="preserve">CDH19</x:t>
        </x:is>
      </x:c>
      <x:c r="N30" t="inlineStr">
        <x:is>
          <x:t xml:space="preserve">CDH19</x:t>
        </x:is>
      </x:c>
      <x:c r="O30" t="inlineStr">
        <x:is>
          <x:t xml:space="preserve">annotation_marker</x:t>
        </x:is>
      </x:c>
      <x:c r="P30" t="inlineStr">
        <x:is>
          <x:t xml:space="preserve">positive</x:t>
        </x:is>
      </x:c>
      <x:c r="Q30" t="inlineStr">
        <x:is>
          <x:t xml:space="preserve">formal_candidate</x:t>
        </x:is>
      </x:c>
      <x:c r="R30" t="inlineStr">
        <x:is>
          <x:t xml:space="preserve">Results</x:t>
        </x:is>
      </x:c>
      <x:c r="S30" t="inlineStr">
        <x:is>
          <x:t xml:space="preserve">Lastly, we identified a single Schwann cell cluster (CDH19+/NRXN+/XKR4+).</x:t>
        </x:is>
      </x:c>
      <x:c r="T30" t="inlineStr">
        <x:is>
          <x:t xml:space="preserve">approved</x:t>
        </x:is>
      </x:c>
      <x:c r="U30" t="inlineStr">
        <x:is>
          <x:t xml:space="preserve">quick_consistency</x:t>
        </x:is>
      </x:c>
      <x:c r="V30" t="inlineStr">
        <x:is>
          <x:t xml:space="preserve">快速一致性复核：作者直接给出PNS细胞标记/注释；抽样核对原文，未做逐句全量复核</x:t>
        </x:is>
      </x:c>
      <x:c r="W30" t="inlineStr">
        <x:is>
          <x:t xml:space="preserve">scripts/extract_markers/markers_output/DOI_10.1016_j.isci.2024.111628_review.csv</x:t>
        </x:is>
      </x:c>
      <x:c r="X30" t="inlineStr">
        <x:is>
          <x:t xml:space="preserve">2026-08-14</x:t>
        </x:is>
      </x:c>
    </x:row>
    <x:row r="31">
      <x:c r="A31" t="inlineStr">
        <x:is>
          <x:t xml:space="preserve">M00030</x:t>
        </x:is>
      </x:c>
      <x:c r="B31" t="n">
        <x:v>23</x:v>
      </x:c>
      <x:c r="C31" t="inlineStr">
        <x:is>
          <x:t xml:space="preserve">CELLxGENE:2dd9d7a2-4bee-4c3f-a1f5-89bc3271c4f0</x:t>
        </x:is>
      </x:c>
      <x:c r="D31" t="inlineStr">
        <x:is>
          <x:t xml:space="preserve">DOI_10.1016_j.isci.2024.111628</x:t>
        </x:is>
      </x:c>
      <x:c r="E31" t="inlineStr">
        <x:is>
          <x:t xml:space="preserve">DOI_10.1016_j.isci.2024.111628</x:t>
        </x:is>
      </x:c>
      <x:c r="F31" t="inlineStr">
        <x:is>
          <x:t xml:space="preserve">primary</x:t>
        </x:is>
      </x:c>
      <x:c r="I31" t="inlineStr">
        <x:is>
          <x:t xml:space="preserve">Schwann cell</x:t>
        </x:is>
      </x:c>
      <x:c r="K31" t="inlineStr">
        <x:is>
          <x:t xml:space="preserve">human</x:t>
        </x:is>
      </x:c>
      <x:c r="L31" t="inlineStr">
        <x:is>
          <x:t xml:space="preserve">true</x:t>
        </x:is>
      </x:c>
      <x:c r="M31" t="inlineStr">
        <x:is>
          <x:t xml:space="preserve">XKR4</x:t>
        </x:is>
      </x:c>
      <x:c r="N31" t="inlineStr">
        <x:is>
          <x:t xml:space="preserve">XKR4</x:t>
        </x:is>
      </x:c>
      <x:c r="O31" t="inlineStr">
        <x:is>
          <x:t xml:space="preserve">annotation_marker</x:t>
        </x:is>
      </x:c>
      <x:c r="P31" t="inlineStr">
        <x:is>
          <x:t xml:space="preserve">positive</x:t>
        </x:is>
      </x:c>
      <x:c r="Q31" t="inlineStr">
        <x:is>
          <x:t xml:space="preserve">formal_candidate</x:t>
        </x:is>
      </x:c>
      <x:c r="R31" t="inlineStr">
        <x:is>
          <x:t xml:space="preserve">Results</x:t>
        </x:is>
      </x:c>
      <x:c r="S31" t="inlineStr">
        <x:is>
          <x:t xml:space="preserve">Lastly, we identified a single Schwann cell cluster (CDH19+/NRXN+/XKR4+).</x:t>
        </x:is>
      </x:c>
      <x:c r="T31" t="inlineStr">
        <x:is>
          <x:t xml:space="preserve">approved</x:t>
        </x:is>
      </x:c>
      <x:c r="U31" t="inlineStr">
        <x:is>
          <x:t xml:space="preserve">quick_consistency</x:t>
        </x:is>
      </x:c>
      <x:c r="V31" t="inlineStr">
        <x:is>
          <x:t xml:space="preserve">快速一致性复核：作者直接给出PNS细胞标记/注释；抽样核对原文，未做逐句全量复核</x:t>
        </x:is>
      </x:c>
      <x:c r="W31" t="inlineStr">
        <x:is>
          <x:t xml:space="preserve">scripts/extract_markers/markers_output/DOI_10.1016_j.isci.2024.111628_review.csv</x:t>
        </x:is>
      </x:c>
      <x:c r="X31" t="inlineStr">
        <x:is>
          <x:t xml:space="preserve">2026-08-14</x:t>
        </x:is>
      </x:c>
    </x:row>
    <x:row r="32">
      <x:c r="A32" t="inlineStr">
        <x:is>
          <x:t xml:space="preserve">M00031</x:t>
        </x:is>
      </x:c>
      <x:c r="B32" t="n">
        <x:v>25</x:v>
      </x:c>
      <x:c r="C32" t="inlineStr">
        <x:is>
          <x:t xml:space="preserve">CELLxGENE:c3fe3c1e-5bf8-4678-b74a-79899243ad41</x:t>
        </x:is>
      </x:c>
      <x:c r="D32" t="inlineStr">
        <x:is>
          <x:t xml:space="preserve">DOI_10.1016_j.celrep.2018.11.086</x:t>
        </x:is>
      </x:c>
      <x:c r="E32" t="inlineStr">
        <x:is>
          <x:t xml:space="preserve">DOI_10.1016_j.celrep.2018.11.086</x:t>
        </x:is>
      </x:c>
      <x:c r="F32" t="inlineStr">
        <x:is>
          <x:t xml:space="preserve">primary</x:t>
        </x:is>
      </x:c>
      <x:c r="I32" t="inlineStr">
        <x:is>
          <x:t xml:space="preserve">neuroendocrine cells</x:t>
        </x:is>
      </x:c>
      <x:c r="K32" t="inlineStr">
        <x:is>
          <x:t xml:space="preserve">human</x:t>
        </x:is>
      </x:c>
      <x:c r="L32" t="inlineStr">
        <x:is>
          <x:t xml:space="preserve">true</x:t>
        </x:is>
      </x:c>
      <x:c r="M32" t="inlineStr">
        <x:is>
          <x:t xml:space="preserve">CHGA</x:t>
        </x:is>
      </x:c>
      <x:c r="N32" t="inlineStr">
        <x:is>
          <x:t xml:space="preserve">CHGA</x:t>
        </x:is>
      </x:c>
      <x:c r="O32" t="inlineStr">
        <x:is>
          <x:t xml:space="preserve">author_declared</x:t>
        </x:is>
      </x:c>
      <x:c r="P32" t="inlineStr">
        <x:is>
          <x:t xml:space="preserve">positive</x:t>
        </x:is>
      </x:c>
      <x:c r="Q32" t="inlineStr">
        <x:is>
          <x:t xml:space="preserve">formal_candidate</x:t>
        </x:is>
      </x:c>
      <x:c r="R32" t="inlineStr">
        <x:is>
          <x:t xml:space="preserve">Results p.3534</x:t>
        </x:is>
      </x:c>
      <x:c r="S32" t="inlineStr">
        <x:is>
          <x:t xml:space="preserve">A marker gene for NE cells that was discovered in our dataset (SCG2) was tested in combination with a known NE cell marker (CHGA)</x:t>
        </x:is>
      </x:c>
      <x:c r="T32" t="inlineStr">
        <x:is>
          <x:t xml:space="preserve">approved</x:t>
        </x:is>
      </x:c>
      <x:c r="U32" t="inlineStr">
        <x:is>
          <x:t xml:space="preserve">quick_consistency</x:t>
        </x:is>
      </x:c>
      <x:c r="V32" t="inlineStr">
        <x:is>
          <x:t xml:space="preserve">快速一致性复核：作者直接给出PNS细胞标记/注释；抽样核对原文，未做逐句全量复核</x:t>
        </x:is>
      </x:c>
      <x:c r="W32" t="inlineStr">
        <x:is>
          <x:t xml:space="preserve">scripts/extract_markers/markers_output/DOI_10.1016_j.celrep.2018.11.086_review.csv</x:t>
        </x:is>
      </x:c>
      <x:c r="X32" t="inlineStr">
        <x:is>
          <x:t xml:space="preserve">2026-08-14</x:t>
        </x:is>
      </x:c>
    </x:row>
    <x:row r="33">
      <x:c r="A33" t="inlineStr">
        <x:is>
          <x:t xml:space="preserve">M00032</x:t>
        </x:is>
      </x:c>
      <x:c r="B33" t="n">
        <x:v>25</x:v>
      </x:c>
      <x:c r="C33" t="inlineStr">
        <x:is>
          <x:t xml:space="preserve">CELLxGENE:c3fe3c1e-5bf8-4678-b74a-79899243ad41</x:t>
        </x:is>
      </x:c>
      <x:c r="D33" t="inlineStr">
        <x:is>
          <x:t xml:space="preserve">DOI_10.1016_j.celrep.2018.11.086</x:t>
        </x:is>
      </x:c>
      <x:c r="E33" t="inlineStr">
        <x:is>
          <x:t xml:space="preserve">DOI_10.1016_j.celrep.2018.11.086</x:t>
        </x:is>
      </x:c>
      <x:c r="F33" t="inlineStr">
        <x:is>
          <x:t xml:space="preserve">primary</x:t>
        </x:is>
      </x:c>
      <x:c r="I33" t="inlineStr">
        <x:is>
          <x:t xml:space="preserve">neuroendocrine cells</x:t>
        </x:is>
      </x:c>
      <x:c r="K33" t="inlineStr">
        <x:is>
          <x:t xml:space="preserve">human</x:t>
        </x:is>
      </x:c>
      <x:c r="L33" t="inlineStr">
        <x:is>
          <x:t xml:space="preserve">true</x:t>
        </x:is>
      </x:c>
      <x:c r="M33" t="inlineStr">
        <x:is>
          <x:t xml:space="preserve">SCG2</x:t>
        </x:is>
      </x:c>
      <x:c r="N33" t="inlineStr">
        <x:is>
          <x:t xml:space="preserve">SCG2</x:t>
        </x:is>
      </x:c>
      <x:c r="O33" t="inlineStr">
        <x:is>
          <x:t xml:space="preserve">author_declared</x:t>
        </x:is>
      </x:c>
      <x:c r="P33" t="inlineStr">
        <x:is>
          <x:t xml:space="preserve">positive</x:t>
        </x:is>
      </x:c>
      <x:c r="Q33" t="inlineStr">
        <x:is>
          <x:t xml:space="preserve">formal_candidate</x:t>
        </x:is>
      </x:c>
      <x:c r="R33" t="inlineStr">
        <x:is>
          <x:t xml:space="preserve">Results p.3534</x:t>
        </x:is>
      </x:c>
      <x:c r="S33" t="inlineStr">
        <x:is>
          <x:t xml:space="preserve">A marker gene for NE cells that was discovered in our dataset (SCG2) was tested in combination with a known NE cell marker (CHGA)</x:t>
        </x:is>
      </x:c>
      <x:c r="T33" t="inlineStr">
        <x:is>
          <x:t xml:space="preserve">approved</x:t>
        </x:is>
      </x:c>
      <x:c r="U33" t="inlineStr">
        <x:is>
          <x:t xml:space="preserve">quick_consistency</x:t>
        </x:is>
      </x:c>
      <x:c r="V33" t="inlineStr">
        <x:is>
          <x:t xml:space="preserve">快速一致性复核：作者直接给出PNS细胞标记/注释；抽样核对原文，未做逐句全量复核</x:t>
        </x:is>
      </x:c>
      <x:c r="W33" t="inlineStr">
        <x:is>
          <x:t xml:space="preserve">scripts/extract_markers/markers_output/DOI_10.1016_j.celrep.2018.11.086_review.csv</x:t>
        </x:is>
      </x:c>
      <x:c r="X33" t="inlineStr">
        <x:is>
          <x:t xml:space="preserve">2026-08-14</x:t>
        </x:is>
      </x:c>
    </x:row>
    <x:row r="34">
      <x:c r="A34" t="inlineStr">
        <x:is>
          <x:t xml:space="preserve">M00033</x:t>
        </x:is>
      </x:c>
      <x:c r="B34" t="n">
        <x:v>26</x:v>
      </x:c>
      <x:c r="C34" t="inlineStr">
        <x:is>
          <x:t xml:space="preserve">CELLxGENE:881e0e6b-a185-45f1-9b56-81606e91e7ff</x:t>
        </x:is>
      </x:c>
      <x:c r="D34" t="inlineStr">
        <x:is>
          <x:t xml:space="preserve">DOI_10.1101_2024.10.23.619925</x:t>
        </x:is>
      </x:c>
      <x:c r="E34" t="inlineStr">
        <x:is>
          <x:t xml:space="preserve">DOI_10.1101_2024.10.23.619925</x:t>
        </x:is>
      </x:c>
      <x:c r="F34" t="inlineStr">
        <x:is>
          <x:t xml:space="preserve">primary</x:t>
        </x:is>
      </x:c>
      <x:c r="I34" t="inlineStr">
        <x:is>
          <x:t xml:space="preserve">Neuroendocrine</x:t>
        </x:is>
      </x:c>
      <x:c r="K34" t="inlineStr">
        <x:is>
          <x:t xml:space="preserve">human</x:t>
        </x:is>
      </x:c>
      <x:c r="L34" t="inlineStr">
        <x:is>
          <x:t xml:space="preserve">true</x:t>
        </x:is>
      </x:c>
      <x:c r="M34" t="inlineStr">
        <x:is>
          <x:t xml:space="preserve">CALCA</x:t>
        </x:is>
      </x:c>
      <x:c r="N34" t="inlineStr">
        <x:is>
          <x:t xml:space="preserve">CALCA</x:t>
        </x:is>
      </x:c>
      <x:c r="O34" t="inlineStr">
        <x:is>
          <x:t xml:space="preserve">annotation_marker</x:t>
        </x:is>
      </x:c>
      <x:c r="P34" t="inlineStr">
        <x:is>
          <x:t xml:space="preserve">positive</x:t>
        </x:is>
      </x:c>
      <x:c r="Q34" t="inlineStr">
        <x:is>
          <x:t xml:space="preserve">formal_candidate</x:t>
        </x:is>
      </x:c>
      <x:c r="R34" t="inlineStr">
        <x:is>
          <x:t xml:space="preserve">Results: Characterisation of the epithelial lineage</x:t>
        </x:is>
      </x:c>
      <x:c r="S34" t="inlineStr">
        <x:is>
          <x:t xml:space="preserve">The rare NE phenotype (n = 24 cells) was CHGA+CALCA+</x:t>
        </x:is>
      </x:c>
      <x:c r="T34" t="inlineStr">
        <x:is>
          <x:t xml:space="preserve">approved</x:t>
        </x:is>
      </x:c>
      <x:c r="U34" t="inlineStr">
        <x:is>
          <x:t xml:space="preserve">quick_consistency</x:t>
        </x:is>
      </x:c>
      <x:c r="V34" t="inlineStr">
        <x:is>
          <x:t xml:space="preserve">快速一致性复核：作者直接给出PNS细胞标记/注释；抽样核对原文，未做逐句全量复核</x:t>
        </x:is>
      </x:c>
      <x:c r="W34" t="inlineStr">
        <x:is>
          <x:t xml:space="preserve">scripts/extract_markers/markers_output/DOI_10.1101_2024.10.23.619925_review.csv</x:t>
        </x:is>
      </x:c>
      <x:c r="X34" t="inlineStr">
        <x:is>
          <x:t xml:space="preserve">2026-08-14</x:t>
        </x:is>
      </x:c>
    </x:row>
    <x:row r="35">
      <x:c r="A35" t="inlineStr">
        <x:is>
          <x:t xml:space="preserve">M00034</x:t>
        </x:is>
      </x:c>
      <x:c r="B35" t="n">
        <x:v>26</x:v>
      </x:c>
      <x:c r="C35" t="inlineStr">
        <x:is>
          <x:t xml:space="preserve">CELLxGENE:881e0e6b-a185-45f1-9b56-81606e91e7ff</x:t>
        </x:is>
      </x:c>
      <x:c r="D35" t="inlineStr">
        <x:is>
          <x:t xml:space="preserve">DOI_10.1101_2024.10.23.619925</x:t>
        </x:is>
      </x:c>
      <x:c r="E35" t="inlineStr">
        <x:is>
          <x:t xml:space="preserve">DOI_10.1101_2024.10.23.619925</x:t>
        </x:is>
      </x:c>
      <x:c r="F35" t="inlineStr">
        <x:is>
          <x:t xml:space="preserve">primary</x:t>
        </x:is>
      </x:c>
      <x:c r="I35" t="inlineStr">
        <x:is>
          <x:t xml:space="preserve">Neuroendocrine</x:t>
        </x:is>
      </x:c>
      <x:c r="K35" t="inlineStr">
        <x:is>
          <x:t xml:space="preserve">human</x:t>
        </x:is>
      </x:c>
      <x:c r="L35" t="inlineStr">
        <x:is>
          <x:t xml:space="preserve">true</x:t>
        </x:is>
      </x:c>
      <x:c r="M35" t="inlineStr">
        <x:is>
          <x:t xml:space="preserve">CHGA</x:t>
        </x:is>
      </x:c>
      <x:c r="N35" t="inlineStr">
        <x:is>
          <x:t xml:space="preserve">CHGA</x:t>
        </x:is>
      </x:c>
      <x:c r="O35" t="inlineStr">
        <x:is>
          <x:t xml:space="preserve">annotation_marker</x:t>
        </x:is>
      </x:c>
      <x:c r="P35" t="inlineStr">
        <x:is>
          <x:t xml:space="preserve">positive</x:t>
        </x:is>
      </x:c>
      <x:c r="Q35" t="inlineStr">
        <x:is>
          <x:t xml:space="preserve">formal_candidate</x:t>
        </x:is>
      </x:c>
      <x:c r="R35" t="inlineStr">
        <x:is>
          <x:t xml:space="preserve">Results: Characterisation of the epithelial lineage</x:t>
        </x:is>
      </x:c>
      <x:c r="S35" t="inlineStr">
        <x:is>
          <x:t xml:space="preserve">The rare NE phenotype (n = 24 cells) was CHGA+CALCA+</x:t>
        </x:is>
      </x:c>
      <x:c r="T35" t="inlineStr">
        <x:is>
          <x:t xml:space="preserve">approved</x:t>
        </x:is>
      </x:c>
      <x:c r="U35" t="inlineStr">
        <x:is>
          <x:t xml:space="preserve">quick_consistency</x:t>
        </x:is>
      </x:c>
      <x:c r="V35" t="inlineStr">
        <x:is>
          <x:t xml:space="preserve">快速一致性复核：作者直接给出PNS细胞标记/注释；抽样核对原文，未做逐句全量复核</x:t>
        </x:is>
      </x:c>
      <x:c r="W35" t="inlineStr">
        <x:is>
          <x:t xml:space="preserve">scripts/extract_markers/markers_output/DOI_10.1101_2024.10.23.619925_review.csv</x:t>
        </x:is>
      </x:c>
      <x:c r="X35" t="inlineStr">
        <x:is>
          <x:t xml:space="preserve">2026-08-14</x:t>
        </x:is>
      </x:c>
    </x:row>
    <x:row r="36">
      <x:c r="A36" t="inlineStr">
        <x:is>
          <x:t xml:space="preserve">M00035</x:t>
        </x:is>
      </x:c>
      <x:c r="B36" t="n">
        <x:v>27</x:v>
      </x:c>
      <x:c r="C36" t="inlineStr">
        <x:is>
          <x:t xml:space="preserve">CELLxGENE:e51bae9a-c747-4b64-904a-4da7cda218ab</x:t>
        </x:is>
      </x:c>
      <x:c r="D36" t="inlineStr">
        <x:is>
          <x:t xml:space="preserve">DOI_10.1101_2025.01.17.633590</x:t>
        </x:is>
      </x:c>
      <x:c r="E36" t="inlineStr">
        <x:is>
          <x:t xml:space="preserve">DOI_10.1101_2025.01.17.633590</x:t>
        </x:is>
      </x:c>
      <x:c r="F36" t="inlineStr">
        <x:is>
          <x:t xml:space="preserve">primary</x:t>
        </x:is>
      </x:c>
      <x:c r="I36" t="inlineStr">
        <x:is>
          <x:t xml:space="preserve">Schwann</x:t>
        </x:is>
      </x:c>
      <x:c r="K36" t="inlineStr">
        <x:is>
          <x:t xml:space="preserve">human</x:t>
        </x:is>
      </x:c>
      <x:c r="L36" t="inlineStr">
        <x:is>
          <x:t xml:space="preserve">true</x:t>
        </x:is>
      </x:c>
      <x:c r="M36" t="inlineStr">
        <x:is>
          <x:t xml:space="preserve">NGFR</x:t>
        </x:is>
      </x:c>
      <x:c r="N36" t="inlineStr">
        <x:is>
          <x:t xml:space="preserve">NGFR</x:t>
        </x:is>
      </x:c>
      <x:c r="O36" t="inlineStr">
        <x:is>
          <x:t xml:space="preserve">annotation_marker</x:t>
        </x:is>
      </x:c>
      <x:c r="P36" t="inlineStr">
        <x:is>
          <x:t xml:space="preserve">positive</x:t>
        </x:is>
      </x:c>
      <x:c r="Q36" t="inlineStr">
        <x:is>
          <x:t xml:space="preserve">formal_candidate</x:t>
        </x:is>
      </x:c>
      <x:c r="R36" t="inlineStr">
        <x:is>
          <x:t xml:space="preserve">Methods: Cell Annotation</x:t>
        </x:is>
      </x:c>
      <x:c r="S3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T36" t="inlineStr">
        <x:is>
          <x:t xml:space="preserve">approved</x:t>
        </x:is>
      </x:c>
      <x:c r="U36" t="inlineStr">
        <x:is>
          <x:t xml:space="preserve">quick_consistency</x:t>
        </x:is>
      </x:c>
      <x:c r="V36" t="inlineStr">
        <x:is>
          <x:t xml:space="preserve">快速一致性复核：作者直接给出PNS细胞标记/注释；抽样核对原文，未做逐句全量复核</x:t>
        </x:is>
      </x:c>
      <x:c r="W36" t="inlineStr">
        <x:is>
          <x:t xml:space="preserve">scripts/extract_markers/markers_output/DOI_10.1101_2025.01.17.633590_review.csv</x:t>
        </x:is>
      </x:c>
      <x:c r="X36" t="inlineStr">
        <x:is>
          <x:t xml:space="preserve">2026-08-14</x:t>
        </x:is>
      </x:c>
    </x:row>
    <x:row r="37">
      <x:c r="A37" t="inlineStr">
        <x:is>
          <x:t xml:space="preserve">M00036</x:t>
        </x:is>
      </x:c>
      <x:c r="B37" t="n">
        <x:v>31</x:v>
      </x:c>
      <x:c r="C37" t="inlineStr">
        <x:is>
          <x:t xml:space="preserve">CELLxGENE:afae4675-434d-4e89-b5ce-2854c9dc38a3</x:t>
        </x:is>
      </x:c>
      <x:c r="D37" t="inlineStr">
        <x:is>
          <x:t xml:space="preserve">DOI_10.1038_s41588-025-02158-6</x:t>
        </x:is>
      </x:c>
      <x:c r="E37" t="inlineStr">
        <x:is>
          <x:t xml:space="preserve">DOI_10.1038_s41588-025-02158-6</x:t>
        </x:is>
      </x:c>
      <x:c r="F37" t="inlineStr">
        <x:is>
          <x:t xml:space="preserve">primary</x:t>
        </x:is>
      </x:c>
      <x:c r="I37" t="inlineStr">
        <x:is>
          <x:t xml:space="preserve">Schwann cells</x:t>
        </x:is>
      </x:c>
      <x:c r="K37" t="inlineStr">
        <x:is>
          <x:t xml:space="preserve">human</x:t>
        </x:is>
      </x:c>
      <x:c r="L37" t="inlineStr">
        <x:is>
          <x:t xml:space="preserve">true</x:t>
        </x:is>
      </x:c>
      <x:c r="M37" t="inlineStr">
        <x:is>
          <x:t xml:space="preserve">CDH19</x:t>
        </x:is>
      </x:c>
      <x:c r="N37" t="inlineStr">
        <x:is>
          <x:t xml:space="preserve">CDH19</x:t>
        </x:is>
      </x:c>
      <x:c r="O37" t="inlineStr">
        <x:is>
          <x:t xml:space="preserve">annotation_marker</x:t>
        </x:is>
      </x:c>
      <x:c r="P37" t="inlineStr">
        <x:is>
          <x:t xml:space="preserve">positive</x:t>
        </x:is>
      </x:c>
      <x:c r="Q37" t="inlineStr">
        <x:is>
          <x:t xml:space="preserve">formal_candidate</x:t>
        </x:is>
      </x:c>
      <x:c r="R37" t="inlineStr">
        <x:is>
          <x:t xml:space="preserve">Fig. 1d</x:t>
        </x:is>
      </x:c>
      <x:c r="S37" t="inlineStr">
        <x:is>
          <x:t xml:space="preserve">Dotplot showing marker genes for each annotated cell type; CDH19 is a marker for Schwann cells.</x:t>
        </x:is>
      </x:c>
      <x:c r="T37" t="inlineStr">
        <x:is>
          <x:t xml:space="preserve">approved</x:t>
        </x:is>
      </x:c>
      <x:c r="U37" t="inlineStr">
        <x:is>
          <x:t xml:space="preserve">quick_consistency</x:t>
        </x:is>
      </x:c>
      <x:c r="V37" t="inlineStr">
        <x:is>
          <x:t xml:space="preserve">快速一致性复核：作者直接给出PNS细胞标记/注释；抽样核对原文，未做逐句全量复核</x:t>
        </x:is>
      </x:c>
      <x:c r="W37" t="inlineStr">
        <x:is>
          <x:t xml:space="preserve">scripts/extract_markers/markers_output/DOI_10.1038_s41588_025_02158_6_review.csv</x:t>
        </x:is>
      </x:c>
      <x:c r="X37" t="inlineStr">
        <x:is>
          <x:t xml:space="preserve">2026-08-14</x:t>
        </x:is>
      </x:c>
    </x:row>
    <x:row r="38">
      <x:c r="A38" t="inlineStr">
        <x:is>
          <x:t xml:space="preserve">M00037</x:t>
        </x:is>
      </x:c>
      <x:c r="B38" t="n">
        <x:v>31</x:v>
      </x:c>
      <x:c r="C38" t="inlineStr">
        <x:is>
          <x:t xml:space="preserve">CELLxGENE:afae4675-434d-4e89-b5ce-2854c9dc38a3</x:t>
        </x:is>
      </x:c>
      <x:c r="D38" t="inlineStr">
        <x:is>
          <x:t xml:space="preserve">DOI_10.1038_s41588-025-02158-6</x:t>
        </x:is>
      </x:c>
      <x:c r="E38" t="inlineStr">
        <x:is>
          <x:t xml:space="preserve">DOI_10.1038_s41588-025-02158-6</x:t>
        </x:is>
      </x:c>
      <x:c r="F38" t="inlineStr">
        <x:is>
          <x:t xml:space="preserve">primary</x:t>
        </x:is>
      </x:c>
      <x:c r="I38" t="inlineStr">
        <x:is>
          <x:t xml:space="preserve">Schwann cells</x:t>
        </x:is>
      </x:c>
      <x:c r="K38" t="inlineStr">
        <x:is>
          <x:t xml:space="preserve">human</x:t>
        </x:is>
      </x:c>
      <x:c r="L38" t="inlineStr">
        <x:is>
          <x:t xml:space="preserve">true</x:t>
        </x:is>
      </x:c>
      <x:c r="M38" t="inlineStr">
        <x:is>
          <x:t xml:space="preserve">PLP1</x:t>
        </x:is>
      </x:c>
      <x:c r="N38" t="inlineStr">
        <x:is>
          <x:t xml:space="preserve">PLP1</x:t>
        </x:is>
      </x:c>
      <x:c r="O38" t="inlineStr">
        <x:is>
          <x:t xml:space="preserve">annotation_marker</x:t>
        </x:is>
      </x:c>
      <x:c r="P38" t="inlineStr">
        <x:is>
          <x:t xml:space="preserve">positive</x:t>
        </x:is>
      </x:c>
      <x:c r="Q38" t="inlineStr">
        <x:is>
          <x:t xml:space="preserve">formal_candidate</x:t>
        </x:is>
      </x:c>
      <x:c r="R38" t="inlineStr">
        <x:is>
          <x:t xml:space="preserve">Fig. 1d</x:t>
        </x:is>
      </x:c>
      <x:c r="S38" t="inlineStr">
        <x:is>
          <x:t xml:space="preserve">Dotplot showing marker genes for each annotated cell type; PLP1 is a marker for Schwann cells.</x:t>
        </x:is>
      </x:c>
      <x:c r="T38" t="inlineStr">
        <x:is>
          <x:t xml:space="preserve">approved</x:t>
        </x:is>
      </x:c>
      <x:c r="U38" t="inlineStr">
        <x:is>
          <x:t xml:space="preserve">quick_consistency</x:t>
        </x:is>
      </x:c>
      <x:c r="V38" t="inlineStr">
        <x:is>
          <x:t xml:space="preserve">快速一致性复核：作者直接给出PNS细胞标记/注释；抽样核对原文，未做逐句全量复核</x:t>
        </x:is>
      </x:c>
      <x:c r="W38" t="inlineStr">
        <x:is>
          <x:t xml:space="preserve">scripts/extract_markers/markers_output/DOI_10.1038_s41588_025_02158_6_review.csv</x:t>
        </x:is>
      </x:c>
      <x:c r="X38" t="inlineStr">
        <x:is>
          <x:t xml:space="preserve">2026-08-14</x:t>
        </x:is>
      </x:c>
    </x:row>
    <x:row r="39">
      <x:c r="A39" t="inlineStr">
        <x:is>
          <x:t xml:space="preserve">M00038</x:t>
        </x:is>
      </x:c>
      <x:c r="B39" t="n">
        <x:v>36</x:v>
      </x:c>
      <x:c r="C39" t="inlineStr">
        <x:is>
          <x:t xml:space="preserve">CELLxGENE:b6f472f1-a58d-43a7-a898-2d6822a0b2b2</x:t>
        </x:is>
      </x:c>
      <x:c r="D39" t="inlineStr">
        <x:is>
          <x:t xml:space="preserve">DOI_10.1038_s41467-024-52052-8</x:t>
        </x:is>
      </x:c>
      <x:c r="E39" t="inlineStr">
        <x:is>
          <x:t xml:space="preserve">DOI_10.1038_s41467-024-52052-8</x:t>
        </x:is>
      </x:c>
      <x:c r="F39" t="inlineStr">
        <x:is>
          <x:t xml:space="preserve">primary</x:t>
        </x:is>
      </x:c>
      <x:c r="I39" t="inlineStr">
        <x:is>
          <x:t xml:space="preserve">nociceptors</x:t>
        </x:is>
      </x:c>
      <x:c r="J39" t="inlineStr">
        <x:is>
          <x:t xml:space="preserve">SST</x:t>
        </x:is>
      </x:c>
      <x:c r="K39" t="inlineStr">
        <x:is>
          <x:t xml:space="preserve">mouse</x:t>
        </x:is>
      </x:c>
      <x:c r="L39" t="inlineStr">
        <x:is>
          <x:t xml:space="preserve">true</x:t>
        </x:is>
      </x:c>
      <x:c r="M39" t="inlineStr">
        <x:is>
          <x:t xml:space="preserve">Sst</x:t>
        </x:is>
      </x:c>
      <x:c r="N39" t="inlineStr">
        <x:is>
          <x:t xml:space="preserve">SST</x:t>
        </x:is>
      </x:c>
      <x:c r="O39" t="inlineStr">
        <x:is>
          <x:t xml:space="preserve">annotation_marker</x:t>
        </x:is>
      </x:c>
      <x:c r="P39" t="inlineStr">
        <x:is>
          <x:t xml:space="preserve">positive</x:t>
        </x:is>
      </x:c>
      <x:c r="Q39" t="inlineStr">
        <x:is>
          <x:t xml:space="preserve">formal_candidate</x:t>
        </x:is>
      </x:c>
      <x:c r="R39" t="inlineStr">
        <x:is>
          <x:t xml:space="preserve">Introduction</x:t>
        </x:is>
      </x:c>
      <x:c r="S39" t="inlineStr">
        <x:is>
          <x:t xml:space="preserve">Those neurons are of different subtypes that are classified as peptidergic (PEPs), non-peptidergic (NPs), C-Low Threshold mechanoreceptor (C-LTMRs), and a subtype of somatostatin positive neurons (SST)4–6.</x:t>
        </x:is>
      </x:c>
      <x:c r="T39" t="inlineStr">
        <x:is>
          <x:t xml:space="preserve">approved</x:t>
        </x:is>
      </x:c>
      <x:c r="U39" t="inlineStr">
        <x:is>
          <x:t xml:space="preserve">quick_consistency</x:t>
        </x:is>
      </x:c>
      <x:c r="V39" t="inlineStr">
        <x:is>
          <x:t xml:space="preserve">快速一致性复核：作者直接给出PNS细胞标记/注释；抽样核对原文，未做逐句全量复核</x:t>
        </x:is>
      </x:c>
      <x:c r="W39" t="inlineStr">
        <x:is>
          <x:t xml:space="preserve">scripts/extract_markers/markers_output/DOI_10.1038_s41467_024_52052_8_review.csv</x:t>
        </x:is>
      </x:c>
      <x:c r="X39" t="inlineStr">
        <x:is>
          <x:t xml:space="preserve">2026-08-14</x:t>
        </x:is>
      </x:c>
    </x:row>
    <x:row r="40">
      <x:c r="A40" t="inlineStr">
        <x:is>
          <x:t xml:space="preserve">M00039</x:t>
        </x:is>
      </x:c>
      <x:c r="B40" t="n">
        <x:v>41</x:v>
      </x:c>
      <x:c r="C40" t="inlineStr">
        <x:is>
          <x:t xml:space="preserve">CELLxGENE:49e4ffcc-5444-406d-bdee-577127404ba8</x:t>
        </x:is>
      </x:c>
      <x:c r="D40" t="inlineStr">
        <x:is>
          <x:t xml:space="preserve">DOI_10.1038_s42255-023-00876-x</x:t>
        </x:is>
      </x:c>
      <x:c r="E40" t="inlineStr">
        <x:is>
          <x:t xml:space="preserve">DOI_10.1038_s42255-023-00876-x</x:t>
        </x:is>
      </x:c>
      <x:c r="F40" t="inlineStr">
        <x:is>
          <x:t xml:space="preserve">primary</x:t>
        </x:is>
      </x:c>
      <x:c r="I40" t="inlineStr">
        <x:is>
          <x:t xml:space="preserve">Schwann</x:t>
        </x:is>
      </x:c>
      <x:c r="K40" t="inlineStr">
        <x:is>
          <x:t xml:space="preserve">mouse</x:t>
        </x:is>
      </x:c>
      <x:c r="L40" t="inlineStr">
        <x:is>
          <x:t xml:space="preserve">true</x:t>
        </x:is>
      </x:c>
      <x:c r="M40" t="inlineStr">
        <x:is>
          <x:t xml:space="preserve">Cryab</x:t>
        </x:is>
      </x:c>
      <x:c r="N40" t="inlineStr">
        <x:is>
          <x:t xml:space="preserve">Cryab</x:t>
        </x:is>
      </x:c>
      <x:c r="O40" t="inlineStr">
        <x:is>
          <x:t xml:space="preserve">annotation_marker</x:t>
        </x:is>
      </x:c>
      <x:c r="P40" t="inlineStr">
        <x:is>
          <x:t xml:space="preserve">positive</x:t>
        </x:is>
      </x:c>
      <x:c r="Q40" t="inlineStr">
        <x:is>
          <x:t xml:space="preserve">formal_candidate</x:t>
        </x:is>
      </x:c>
      <x:c r="R40" t="inlineStr">
        <x:is>
          <x:t xml:space="preserve">Methods: Dataset-wise cell annotation</x:t>
        </x:is>
      </x:c>
      <x:c r="S40" t="inlineStr">
        <x:is>
          <x:t xml:space="preserve">The marker list is acinar: Cpa1, Prss2; α: Gcg ; β: Ins1, Ins2; δ: Sst; ductal: Krt19 , Muc1, Sox9; endothelial: Pecam1, Plvap; ε: Ghrl; γ: Ppy; immune: Cd52, Lyz2 , Ptprc; stellate-activated: Col1a2, Bicc1, Pdgfra; stellate-quiescent: Ndufa4l2, Acta2, Cspg4, Rgs5; and Schwann: Cryab, Plp1, Sox10.</x:t>
        </x:is>
      </x:c>
      <x:c r="T40" t="inlineStr">
        <x:is>
          <x:t xml:space="preserve">approved</x:t>
        </x:is>
      </x:c>
      <x:c r="U40" t="inlineStr">
        <x:is>
          <x:t xml:space="preserve">quick_consistency</x:t>
        </x:is>
      </x:c>
      <x:c r="V40" t="inlineStr">
        <x:is>
          <x:t xml:space="preserve">快速一致性复核：作者直接给出PNS细胞标记/注释；抽样核对原文，未做逐句全量复核</x:t>
        </x:is>
      </x:c>
      <x:c r="W40" t="inlineStr">
        <x:is>
          <x:t xml:space="preserve">scripts/extract_markers/markers_output/DOI_10.1038_s42255_023_00876_x_review.csv</x:t>
        </x:is>
      </x:c>
      <x:c r="X40" t="inlineStr">
        <x:is>
          <x:t xml:space="preserve">2026-08-14</x:t>
        </x:is>
      </x:c>
    </x:row>
    <x:row r="41">
      <x:c r="A41" t="inlineStr">
        <x:is>
          <x:t xml:space="preserve">M00040</x:t>
        </x:is>
      </x:c>
      <x:c r="B41" t="n">
        <x:v>41</x:v>
      </x:c>
      <x:c r="C41" t="inlineStr">
        <x:is>
          <x:t xml:space="preserve">CELLxGENE:49e4ffcc-5444-406d-bdee-577127404ba8</x:t>
        </x:is>
      </x:c>
      <x:c r="D41" t="inlineStr">
        <x:is>
          <x:t xml:space="preserve">DOI_10.1038_s42255-023-00876-x</x:t>
        </x:is>
      </x:c>
      <x:c r="E41" t="inlineStr">
        <x:is>
          <x:t xml:space="preserve">DOI_10.1038_s42255-023-00876-x</x:t>
        </x:is>
      </x:c>
      <x:c r="F41" t="inlineStr">
        <x:is>
          <x:t xml:space="preserve">primary</x:t>
        </x:is>
      </x:c>
      <x:c r="I41" t="inlineStr">
        <x:is>
          <x:t xml:space="preserve">Schwann</x:t>
        </x:is>
      </x:c>
      <x:c r="K41" t="inlineStr">
        <x:is>
          <x:t xml:space="preserve">mouse</x:t>
        </x:is>
      </x:c>
      <x:c r="L41" t="inlineStr">
        <x:is>
          <x:t xml:space="preserve">true</x:t>
        </x:is>
      </x:c>
      <x:c r="M41" t="inlineStr">
        <x:is>
          <x:t xml:space="preserve">Plp1</x:t>
        </x:is>
      </x:c>
      <x:c r="N41" t="inlineStr">
        <x:is>
          <x:t xml:space="preserve">Plp1</x:t>
        </x:is>
      </x:c>
      <x:c r="O41" t="inlineStr">
        <x:is>
          <x:t xml:space="preserve">annotation_marker</x:t>
        </x:is>
      </x:c>
      <x:c r="P41" t="inlineStr">
        <x:is>
          <x:t xml:space="preserve">positive</x:t>
        </x:is>
      </x:c>
      <x:c r="Q41" t="inlineStr">
        <x:is>
          <x:t xml:space="preserve">formal_candidate</x:t>
        </x:is>
      </x:c>
      <x:c r="R41" t="inlineStr">
        <x:is>
          <x:t xml:space="preserve">Methods: Dataset-wise cell annotation</x:t>
        </x:is>
      </x:c>
      <x:c r="S41" t="inlineStr">
        <x:is>
          <x:t xml:space="preserve">The marker list is acinar: Cpa1, Prss2; α: Gcg ; β: Ins1, Ins2; δ: Sst; ductal: Krt19 , Muc1, Sox9; endothelial: Pecam1, Plvap; ε: Ghrl; γ: Ppy; immune: Cd52, Lyz2 , Ptprc; stellate-activated: Col1a2, Bicc1, Pdgfra; stellate-quiescent: Ndufa4l2, Acta2, Cspg4, Rgs5; and Schwann: Cryab, Plp1, Sox10.</x:t>
        </x:is>
      </x:c>
      <x:c r="T41" t="inlineStr">
        <x:is>
          <x:t xml:space="preserve">approved</x:t>
        </x:is>
      </x:c>
      <x:c r="U41" t="inlineStr">
        <x:is>
          <x:t xml:space="preserve">quick_consistency</x:t>
        </x:is>
      </x:c>
      <x:c r="V41" t="inlineStr">
        <x:is>
          <x:t xml:space="preserve">快速一致性复核：作者直接给出PNS细胞标记/注释；抽样核对原文，未做逐句全量复核</x:t>
        </x:is>
      </x:c>
      <x:c r="W41" t="inlineStr">
        <x:is>
          <x:t xml:space="preserve">scripts/extract_markers/markers_output/DOI_10.1038_s42255_023_00876_x_review.csv</x:t>
        </x:is>
      </x:c>
      <x:c r="X41" t="inlineStr">
        <x:is>
          <x:t xml:space="preserve">2026-08-14</x:t>
        </x:is>
      </x:c>
    </x:row>
    <x:row r="42">
      <x:c r="A42" t="inlineStr">
        <x:is>
          <x:t xml:space="preserve">M00041</x:t>
        </x:is>
      </x:c>
      <x:c r="B42" t="n">
        <x:v>41</x:v>
      </x:c>
      <x:c r="C42" t="inlineStr">
        <x:is>
          <x:t xml:space="preserve">CELLxGENE:49e4ffcc-5444-406d-bdee-577127404ba8</x:t>
        </x:is>
      </x:c>
      <x:c r="D42" t="inlineStr">
        <x:is>
          <x:t xml:space="preserve">DOI_10.1038_s42255-023-00876-x</x:t>
        </x:is>
      </x:c>
      <x:c r="E42" t="inlineStr">
        <x:is>
          <x:t xml:space="preserve">DOI_10.1038_s42255-023-00876-x</x:t>
        </x:is>
      </x:c>
      <x:c r="F42" t="inlineStr">
        <x:is>
          <x:t xml:space="preserve">primary</x:t>
        </x:is>
      </x:c>
      <x:c r="I42" t="inlineStr">
        <x:is>
          <x:t xml:space="preserve">Schwann</x:t>
        </x:is>
      </x:c>
      <x:c r="K42" t="inlineStr">
        <x:is>
          <x:t xml:space="preserve">mouse</x:t>
        </x:is>
      </x:c>
      <x:c r="L42" t="inlineStr">
        <x:is>
          <x:t xml:space="preserve">true</x:t>
        </x:is>
      </x:c>
      <x:c r="M42" t="inlineStr">
        <x:is>
          <x:t xml:space="preserve">Sox10</x:t>
        </x:is>
      </x:c>
      <x:c r="N42" t="inlineStr">
        <x:is>
          <x:t xml:space="preserve">Sox10</x:t>
        </x:is>
      </x:c>
      <x:c r="O42" t="inlineStr">
        <x:is>
          <x:t xml:space="preserve">annotation_marker</x:t>
        </x:is>
      </x:c>
      <x:c r="P42" t="inlineStr">
        <x:is>
          <x:t xml:space="preserve">positive</x:t>
        </x:is>
      </x:c>
      <x:c r="Q42" t="inlineStr">
        <x:is>
          <x:t xml:space="preserve">formal_candidate</x:t>
        </x:is>
      </x:c>
      <x:c r="R42" t="inlineStr">
        <x:is>
          <x:t xml:space="preserve">Methods: Dataset-wise cell annotation</x:t>
        </x:is>
      </x:c>
      <x:c r="S42" t="inlineStr">
        <x:is>
          <x:t xml:space="preserve">The marker list is acinar: Cpa1, Prss2; α: Gcg ; β: Ins1, Ins2; δ: Sst; ductal: Krt19 , Muc1, Sox9; endothelial: Pecam1, Plvap; ε: Ghrl; γ: Ppy; immune: Cd52, Lyz2 , Ptprc; stellate-activated: Col1a2, Bicc1, Pdgfra; stellate-quiescent: Ndufa4l2, Acta2, Cspg4, Rgs5; and Schwann: Cryab, Plp1, Sox10.</x:t>
        </x:is>
      </x:c>
      <x:c r="T42" t="inlineStr">
        <x:is>
          <x:t xml:space="preserve">approved</x:t>
        </x:is>
      </x:c>
      <x:c r="U42" t="inlineStr">
        <x:is>
          <x:t xml:space="preserve">quick_consistency</x:t>
        </x:is>
      </x:c>
      <x:c r="V42" t="inlineStr">
        <x:is>
          <x:t xml:space="preserve">快速一致性复核：作者直接给出PNS细胞标记/注释；抽样核对原文，未做逐句全量复核</x:t>
        </x:is>
      </x:c>
      <x:c r="W42" t="inlineStr">
        <x:is>
          <x:t xml:space="preserve">scripts/extract_markers/markers_output/DOI_10.1038_s42255_023_00876_x_review.csv</x:t>
        </x:is>
      </x:c>
      <x:c r="X42" t="inlineStr">
        <x:is>
          <x:t xml:space="preserve">2026-08-14</x:t>
        </x:is>
      </x:c>
    </x:row>
    <x:row r="43">
      <x:c r="A43" t="inlineStr">
        <x:is>
          <x:t xml:space="preserve">M00042</x:t>
        </x:is>
      </x:c>
      <x:c r="B43" t="n">
        <x:v>42</x:v>
      </x:c>
      <x:c r="C43" t="inlineStr">
        <x:is>
          <x:t xml:space="preserve">CELLxGENE:dcfd4feb-18a3-4b30-81d7-1b0c544a8ab3</x:t>
        </x:is>
      </x:c>
      <x:c r="D43" t="inlineStr">
        <x:is>
          <x:t xml:space="preserve">DOI_10.1038_s41586-024-07069-w</x:t>
        </x:is>
      </x:c>
      <x:c r="E43" t="inlineStr">
        <x:is>
          <x:t xml:space="preserve">DOI_10.1038_s41586-024-07069-w</x:t>
        </x:is>
      </x:c>
      <x:c r="F43" t="inlineStr">
        <x:is>
          <x:t xml:space="preserve">primary</x:t>
        </x:is>
      </x:c>
      <x:c r="I43" t="inlineStr">
        <x:is>
          <x:t xml:space="preserve">Myelinating Schwann cells</x:t>
        </x:is>
      </x:c>
      <x:c r="J43" t="inlineStr">
        <x:is>
          <x:t xml:space="preserve">Tgfb2+</x:t>
        </x:is>
      </x:c>
      <x:c r="K43" t="inlineStr">
        <x:is>
          <x:t xml:space="preserve">mouse</x:t>
        </x:is>
      </x:c>
      <x:c r="L43" t="inlineStr">
        <x:is>
          <x:t xml:space="preserve">true</x:t>
        </x:is>
      </x:c>
      <x:c r="M43" t="inlineStr">
        <x:is>
          <x:t xml:space="preserve">Tgfb2</x:t>
        </x:is>
      </x:c>
      <x:c r="N43" t="inlineStr">
        <x:is>
          <x:t xml:space="preserve">Tgfb2</x:t>
        </x:is>
      </x:c>
      <x:c r="O43" t="inlineStr">
        <x:is>
          <x:t xml:space="preserve">annotation_marker</x:t>
        </x:is>
      </x:c>
      <x:c r="P43" t="inlineStr">
        <x:is>
          <x:t xml:space="preserve">positive</x:t>
        </x:is>
      </x:c>
      <x:c r="Q43" t="inlineStr">
        <x:is>
          <x:t xml:space="preserve">formal_candidate</x:t>
        </x:is>
      </x:c>
      <x:c r="R43" t="inlineStr">
        <x:is>
          <x:t xml:space="preserve">Fig.5g</x:t>
        </x:is>
      </x:c>
      <x:c r="S43" t="inlineStr">
        <x:is>
          <x:t xml:space="preserve">Cell type name listed as 'Myelinating Schwann cells (Tgfb2+)' in the tree node labels.</x:t>
        </x:is>
      </x:c>
      <x:c r="T43" t="inlineStr">
        <x:is>
          <x:t xml:space="preserve">approved</x:t>
        </x:is>
      </x:c>
      <x:c r="U43" t="inlineStr">
        <x:is>
          <x:t xml:space="preserve">quick_consistency</x:t>
        </x:is>
      </x:c>
      <x:c r="V43" t="inlineStr">
        <x:is>
          <x:t xml:space="preserve">快速一致性复核：作者直接给出PNS细胞标记/注释；抽样核对原文，未做逐句全量复核</x:t>
        </x:is>
      </x:c>
      <x:c r="W43" t="inlineStr">
        <x:is>
          <x:t xml:space="preserve">scripts/extract_markers/markers_output/DOI_10.1038_s41586_024_07069_w_review.csv</x:t>
        </x:is>
      </x:c>
      <x:c r="X43" t="inlineStr">
        <x:is>
          <x:t xml:space="preserve">2026-08-14</x:t>
        </x:is>
      </x:c>
    </x:row>
    <x:row r="44">
      <x:c r="A44" t="inlineStr">
        <x:is>
          <x:t xml:space="preserve">M00043</x:t>
        </x:is>
      </x:c>
      <x:c r="B44" t="n">
        <x:v>9</x:v>
      </x:c>
      <x:c r="C44" t="inlineStr">
        <x:is>
          <x:t xml:space="preserve">CELLxGENE:3dc61ca1-ce40-46b6-8337-f27260fd9a03</x:t>
        </x:is>
      </x:c>
      <x:c r="D44" t="inlineStr">
        <x:is>
          <x:t xml:space="preserve">DOI_10.1016_j.cell.2022.11.005</x:t>
        </x:is>
      </x:c>
      <x:c r="E44" t="inlineStr">
        <x:is>
          <x:t xml:space="preserve">DOI_10.1016_j.cell.2022.11.005</x:t>
        </x:is>
      </x:c>
      <x:c r="F44" t="inlineStr">
        <x:is>
          <x:t xml:space="preserve">primary</x:t>
        </x:is>
      </x:c>
      <x:c r="I44" t="inlineStr">
        <x:is>
          <x:t xml:space="preserve">neuroendocrine cell</x:t>
        </x:is>
      </x:c>
      <x:c r="K44" t="inlineStr">
        <x:is>
          <x:t xml:space="preserve">human</x:t>
        </x:is>
      </x:c>
      <x:c r="L44" t="inlineStr">
        <x:is>
          <x:t xml:space="preserve">true</x:t>
        </x:is>
      </x:c>
      <x:c r="M44" t="inlineStr">
        <x:is>
          <x:t xml:space="preserve">GHRL</x:t>
        </x:is>
      </x:c>
      <x:c r="N44" t="inlineStr">
        <x:is>
          <x:t xml:space="preserve">GHRL</x:t>
        </x:is>
      </x:c>
      <x:c r="O44" t="inlineStr">
        <x:is>
          <x:t xml:space="preserve">figure_labeled</x:t>
        </x:is>
      </x:c>
      <x:c r="P44" t="inlineStr">
        <x:is>
          <x:t xml:space="preserve">positive</x:t>
        </x:is>
      </x:c>
      <x:c r="Q44" t="inlineStr">
        <x:is>
          <x:t xml:space="preserve">formal_candidate</x:t>
        </x:is>
      </x:c>
      <x:c r="R44" t="inlineStr">
        <x:is>
          <x:t xml:space="preserve">Figure 2F</x:t>
        </x:is>
      </x:c>
      <x:c r="S44" t="inlineStr">
        <x:is>
          <x:t xml:space="preserve">GHRL+ neuroendocrine cells are shown in red in fetal human lung in situ HCR.</x:t>
        </x:is>
      </x:c>
      <x:c r="T44" t="inlineStr">
        <x:is>
          <x:t xml:space="preserve">approved</x:t>
        </x:is>
      </x:c>
      <x:c r="U44" t="inlineStr">
        <x:is>
          <x:t xml:space="preserve">quick_consistency</x:t>
        </x:is>
      </x:c>
      <x:c r="V44" t="inlineStr">
        <x:is>
          <x:t xml:space="preserve">GLM预筛后定向复核：作者图注明确标注GHRL+ neuroendocrine；未逐句全文复核</x:t>
        </x:is>
      </x:c>
      <x:c r="W44" t="inlineStr">
        <x:is>
          <x:t xml:space="preserve">scripts/extract_markers/review_md/DOI_10.1016_j.cell.2022.11.005.md</x:t>
        </x:is>
      </x:c>
      <x:c r="X44" t="inlineStr">
        <x:is>
          <x:t xml:space="preserve">2026-08-14</x:t>
        </x:is>
      </x:c>
    </x:row>
    <x:row r="45">
      <x:c r="A45" t="inlineStr">
        <x:is>
          <x:t xml:space="preserve">M00044</x:t>
        </x:is>
      </x:c>
      <x:c r="B45" t="n">
        <x:v>9</x:v>
      </x:c>
      <x:c r="C45" t="inlineStr">
        <x:is>
          <x:t xml:space="preserve">CELLxGENE:3dc61ca1-ce40-46b6-8337-f27260fd9a03</x:t>
        </x:is>
      </x:c>
      <x:c r="D45" t="inlineStr">
        <x:is>
          <x:t xml:space="preserve">DOI_10.1016_j.cell.2022.11.005</x:t>
        </x:is>
      </x:c>
      <x:c r="E45" t="inlineStr">
        <x:is>
          <x:t xml:space="preserve">DOI_10.1016_j.cell.2022.11.005</x:t>
        </x:is>
      </x:c>
      <x:c r="F45" t="inlineStr">
        <x:is>
          <x:t xml:space="preserve">primary</x:t>
        </x:is>
      </x:c>
      <x:c r="I45" t="inlineStr">
        <x:is>
          <x:t xml:space="preserve">pulmonary neuroendocrine cell</x:t>
        </x:is>
      </x:c>
      <x:c r="K45" t="inlineStr">
        <x:is>
          <x:t xml:space="preserve">human</x:t>
        </x:is>
      </x:c>
      <x:c r="L45" t="inlineStr">
        <x:is>
          <x:t xml:space="preserve">true</x:t>
        </x:is>
      </x:c>
      <x:c r="M45" t="inlineStr">
        <x:is>
          <x:t xml:space="preserve">GRP</x:t>
        </x:is>
      </x:c>
      <x:c r="N45" t="inlineStr">
        <x:is>
          <x:t xml:space="preserve">GRP</x:t>
        </x:is>
      </x:c>
      <x:c r="O45" t="inlineStr">
        <x:is>
          <x:t xml:space="preserve">figure_labeled</x:t>
        </x:is>
      </x:c>
      <x:c r="P45" t="inlineStr">
        <x:is>
          <x:t xml:space="preserve">positive</x:t>
        </x:is>
      </x:c>
      <x:c r="Q45" t="inlineStr">
        <x:is>
          <x:t xml:space="preserve">formal_candidate</x:t>
        </x:is>
      </x:c>
      <x:c r="R45" t="inlineStr">
        <x:is>
          <x:t xml:space="preserve">Figure 2F</x:t>
        </x:is>
      </x:c>
      <x:c r="S45" t="inlineStr">
        <x:is>
          <x:t xml:space="preserve">GRP+ pulmonary neuroendocrine cells are shown in green in fetal human lung in situ HCR.</x:t>
        </x:is>
      </x:c>
      <x:c r="T45" t="inlineStr">
        <x:is>
          <x:t xml:space="preserve">approved</x:t>
        </x:is>
      </x:c>
      <x:c r="U45" t="inlineStr">
        <x:is>
          <x:t xml:space="preserve">quick_consistency</x:t>
        </x:is>
      </x:c>
      <x:c r="V45" t="inlineStr">
        <x:is>
          <x:t xml:space="preserve">GLM预筛后定向复核：作者图注明确标注GRP+ pulmonary neuroendocrine</x:t>
        </x:is>
      </x:c>
      <x:c r="W45" t="inlineStr">
        <x:is>
          <x:t xml:space="preserve">scripts/extract_markers/review_md/DOI_10.1016_j.cell.2022.11.005.md</x:t>
        </x:is>
      </x:c>
      <x:c r="X45" t="inlineStr">
        <x:is>
          <x:t xml:space="preserve">2026-08-14</x:t>
        </x:is>
      </x:c>
    </x:row>
    <x:row r="46">
      <x:c r="A46" t="inlineStr">
        <x:is>
          <x:t xml:space="preserve">M00045</x:t>
        </x:is>
      </x:c>
      <x:c r="B46" t="n">
        <x:v>9</x:v>
      </x:c>
      <x:c r="C46" t="inlineStr">
        <x:is>
          <x:t xml:space="preserve">CELLxGENE:3dc61ca1-ce40-46b6-8337-f27260fd9a03</x:t>
        </x:is>
      </x:c>
      <x:c r="D46" t="inlineStr">
        <x:is>
          <x:t xml:space="preserve">DOI_10.1016_j.cell.2022.11.005</x:t>
        </x:is>
      </x:c>
      <x:c r="E46" t="inlineStr">
        <x:is>
          <x:t xml:space="preserve">DOI_10.1016_j.cell.2022.11.005</x:t>
        </x:is>
      </x:c>
      <x:c r="F46" t="inlineStr">
        <x:is>
          <x:t xml:space="preserve">primary</x:t>
        </x:is>
      </x:c>
      <x:c r="I46" t="inlineStr">
        <x:is>
          <x:t xml:space="preserve">pulmonary neuroendocrine cell</x:t>
        </x:is>
      </x:c>
      <x:c r="K46" t="inlineStr">
        <x:is>
          <x:t xml:space="preserve">human</x:t>
        </x:is>
      </x:c>
      <x:c r="L46" t="inlineStr">
        <x:is>
          <x:t xml:space="preserve">true</x:t>
        </x:is>
      </x:c>
      <x:c r="M46" t="inlineStr">
        <x:is>
          <x:t xml:space="preserve">ASCL1</x:t>
        </x:is>
      </x:c>
      <x:c r="N46" t="inlineStr">
        <x:is>
          <x:t xml:space="preserve">ASCL1</x:t>
        </x:is>
      </x:c>
      <x:c r="O46" t="inlineStr">
        <x:is>
          <x:t xml:space="preserve">figure_labeled</x:t>
        </x:is>
      </x:c>
      <x:c r="P46" t="inlineStr">
        <x:is>
          <x:t xml:space="preserve">positive</x:t>
        </x:is>
      </x:c>
      <x:c r="Q46" t="inlineStr">
        <x:is>
          <x:t xml:space="preserve">formal_candidate</x:t>
        </x:is>
      </x:c>
      <x:c r="R46" t="inlineStr">
        <x:is>
          <x:t xml:space="preserve">Figure S3K</x:t>
        </x:is>
      </x:c>
      <x:c r="S46" t="inlineStr">
        <x:is>
          <x:t xml:space="preserve">ASCL1+ pulmonary neuroendocrine cells are identified in fetal lung airway regions.</x:t>
        </x:is>
      </x:c>
      <x:c r="T46" t="inlineStr">
        <x:is>
          <x:t xml:space="preserve">approved</x:t>
        </x:is>
      </x:c>
      <x:c r="U46" t="inlineStr">
        <x:is>
          <x:t xml:space="preserve">quick_consistency</x:t>
        </x:is>
      </x:c>
      <x:c r="V46" t="inlineStr">
        <x:is>
          <x:t xml:space="preserve">GLM预筛后定向复核：作者图注明确标注ASCL1+ pulmonary neuroendocrine</x:t>
        </x:is>
      </x:c>
      <x:c r="W46" t="inlineStr">
        <x:is>
          <x:t xml:space="preserve">scripts/extract_markers/review_md/DOI_10.1016_j.cell.2022.11.005.md</x:t>
        </x:is>
      </x:c>
      <x:c r="X46" t="inlineStr">
        <x:is>
          <x:t xml:space="preserve">2026-08-14</x:t>
        </x:is>
      </x:c>
    </x:row>
    <x:row r="47">
      <x:c r="A47" t="inlineStr">
        <x:is>
          <x:t xml:space="preserve">M00046</x:t>
        </x:is>
      </x:c>
      <x:c r="B47" t="n">
        <x:v>9</x:v>
      </x:c>
      <x:c r="C47" t="inlineStr">
        <x:is>
          <x:t xml:space="preserve">CELLxGENE:3dc61ca1-ce40-46b6-8337-f27260fd9a03</x:t>
        </x:is>
      </x:c>
      <x:c r="D47" t="inlineStr">
        <x:is>
          <x:t xml:space="preserve">DOI_10.1016_j.cell.2022.11.005</x:t>
        </x:is>
      </x:c>
      <x:c r="E47" t="inlineStr">
        <x:is>
          <x:t xml:space="preserve">DOI_10.1016_j.cell.2022.11.005</x:t>
        </x:is>
      </x:c>
      <x:c r="F47" t="inlineStr">
        <x:is>
          <x:t xml:space="preserve">primary</x:t>
        </x:is>
      </x:c>
      <x:c r="I47" t="inlineStr">
        <x:is>
          <x:t xml:space="preserve">neuroendocrine cell</x:t>
        </x:is>
      </x:c>
      <x:c r="K47" t="inlineStr">
        <x:is>
          <x:t xml:space="preserve">human</x:t>
        </x:is>
      </x:c>
      <x:c r="L47" t="inlineStr">
        <x:is>
          <x:t xml:space="preserve">true</x:t>
        </x:is>
      </x:c>
      <x:c r="M47" t="inlineStr">
        <x:is>
          <x:t xml:space="preserve">NEUROD1</x:t>
        </x:is>
      </x:c>
      <x:c r="N47" t="inlineStr">
        <x:is>
          <x:t xml:space="preserve">NEUROD1</x:t>
        </x:is>
      </x:c>
      <x:c r="O47" t="inlineStr">
        <x:is>
          <x:t xml:space="preserve">figure_labeled</x:t>
        </x:is>
      </x:c>
      <x:c r="P47" t="inlineStr">
        <x:is>
          <x:t xml:space="preserve">positive</x:t>
        </x:is>
      </x:c>
      <x:c r="Q47" t="inlineStr">
        <x:is>
          <x:t xml:space="preserve">formal_candidate</x:t>
        </x:is>
      </x:c>
      <x:c r="R47" t="inlineStr">
        <x:is>
          <x:t xml:space="preserve">Figure 7E</x:t>
        </x:is>
      </x:c>
      <x:c r="S47" t="inlineStr">
        <x:is>
          <x:t xml:space="preserve">HCR and quantification identify NEUROD1+ neuroendocrine cell types in human fetal lungs.</x:t>
        </x:is>
      </x:c>
      <x:c r="T47" t="inlineStr">
        <x:is>
          <x:t xml:space="preserve">approved</x:t>
        </x:is>
      </x:c>
      <x:c r="U47" t="inlineStr">
        <x:is>
          <x:t xml:space="preserve">quick_consistency</x:t>
        </x:is>
      </x:c>
      <x:c r="V47" t="inlineStr">
        <x:is>
          <x:t xml:space="preserve">GLM预筛后定向复核：保留作者Figure 7中的NEUROD1+细胞标注</x:t>
        </x:is>
      </x:c>
      <x:c r="W47" t="inlineStr">
        <x:is>
          <x:t xml:space="preserve">scripts/extract_markers/review_md/DOI_10.1016_j.cell.2022.11.005.md</x:t>
        </x:is>
      </x:c>
      <x:c r="X47" t="inlineStr">
        <x:is>
          <x:t xml:space="preserve">2026-08-14</x:t>
        </x:is>
      </x:c>
    </x:row>
    <x:row r="48">
      <x:c r="A48" t="inlineStr">
        <x:is>
          <x:t xml:space="preserve">M00047</x:t>
        </x:is>
      </x:c>
      <x:c r="B48" t="n">
        <x:v>12</x:v>
      </x:c>
      <x:c r="C48" t="inlineStr">
        <x:is>
          <x:t xml:space="preserve">CELLxGENE:781cc817-3fd0-487c-a55a-b47b2786a05d</x:t>
        </x:is>
      </x:c>
      <x:c r="D48" t="inlineStr">
        <x:is>
          <x:t xml:space="preserve">DOI_10.1038_s44318-024-00328-6</x:t>
        </x:is>
      </x:c>
      <x:c r="E48" t="inlineStr">
        <x:is>
          <x:t xml:space="preserve">DOI_10.1038_s44318-024-00328-6</x:t>
        </x:is>
      </x:c>
      <x:c r="F48" t="inlineStr">
        <x:is>
          <x:t xml:space="preserve">primary</x:t>
        </x:is>
      </x:c>
      <x:c r="I48" t="inlineStr">
        <x:is>
          <x:t xml:space="preserve">neuroendocrine cell</x:t>
        </x:is>
      </x:c>
      <x:c r="K48" t="inlineStr">
        <x:is>
          <x:t xml:space="preserve">human</x:t>
        </x:is>
      </x:c>
      <x:c r="L48" t="inlineStr">
        <x:is>
          <x:t xml:space="preserve">true</x:t>
        </x:is>
      </x:c>
      <x:c r="M48" t="inlineStr">
        <x:is>
          <x:t xml:space="preserve">ASCL1</x:t>
        </x:is>
      </x:c>
      <x:c r="N48" t="inlineStr">
        <x:is>
          <x:t xml:space="preserve">ASCL1</x:t>
        </x:is>
      </x:c>
      <x:c r="O48" t="inlineStr">
        <x:is>
          <x:t xml:space="preserve">figure_labeled</x:t>
        </x:is>
      </x:c>
      <x:c r="P48" t="inlineStr">
        <x:is>
          <x:t xml:space="preserve">positive</x:t>
        </x:is>
      </x:c>
      <x:c r="Q48" t="inlineStr">
        <x:is>
          <x:t xml:space="preserve">formal_candidate</x:t>
        </x:is>
      </x:c>
      <x:c r="R48" t="inlineStr">
        <x:is>
          <x:t xml:space="preserve">Figure EV2H</x:t>
        </x:is>
      </x:c>
      <x:c r="S48" t="inlineStr">
        <x:is>
          <x:t xml:space="preserve">UMAP plots show transcript expression of ASCL1 for the neuroendocrine lineage in fdAT2 organoids.</x:t>
        </x:is>
      </x:c>
      <x:c r="T48" t="inlineStr">
        <x:is>
          <x:t xml:space="preserve">approved</x:t>
        </x:is>
      </x:c>
      <x:c r="U48" t="inlineStr">
        <x:is>
          <x:t xml:space="preserve">quick_consistency</x:t>
        </x:is>
      </x:c>
      <x:c r="V48" t="inlineStr">
        <x:is>
          <x:t xml:space="preserve">GLM预筛后定向复核：Figure EV2直接展示神经内分泌相关转录本</x:t>
        </x:is>
      </x:c>
      <x:c r="W48" t="inlineStr">
        <x:is>
          <x:t xml:space="preserve">scripts/extract_markers/review_md/DOI_10.1038_s44318-024-00328-6.md</x:t>
        </x:is>
      </x:c>
      <x:c r="X48" t="inlineStr">
        <x:is>
          <x:t xml:space="preserve">2026-08-14</x:t>
        </x:is>
      </x:c>
    </x:row>
    <x:row r="49">
      <x:c r="A49" t="inlineStr">
        <x:is>
          <x:t xml:space="preserve">M00048</x:t>
        </x:is>
      </x:c>
      <x:c r="B49" t="n">
        <x:v>12</x:v>
      </x:c>
      <x:c r="C49" t="inlineStr">
        <x:is>
          <x:t xml:space="preserve">CELLxGENE:781cc817-3fd0-487c-a55a-b47b2786a05d</x:t>
        </x:is>
      </x:c>
      <x:c r="D49" t="inlineStr">
        <x:is>
          <x:t xml:space="preserve">DOI_10.1038_s44318-024-00328-6</x:t>
        </x:is>
      </x:c>
      <x:c r="E49" t="inlineStr">
        <x:is>
          <x:t xml:space="preserve">DOI_10.1038_s44318-024-00328-6</x:t>
        </x:is>
      </x:c>
      <x:c r="F49" t="inlineStr">
        <x:is>
          <x:t xml:space="preserve">primary</x:t>
        </x:is>
      </x:c>
      <x:c r="I49" t="inlineStr">
        <x:is>
          <x:t xml:space="preserve">neuroendocrine cell</x:t>
        </x:is>
      </x:c>
      <x:c r="K49" t="inlineStr">
        <x:is>
          <x:t xml:space="preserve">human</x:t>
        </x:is>
      </x:c>
      <x:c r="L49" t="inlineStr">
        <x:is>
          <x:t xml:space="preserve">true</x:t>
        </x:is>
      </x:c>
      <x:c r="M49" t="inlineStr">
        <x:is>
          <x:t xml:space="preserve">NEUROD1</x:t>
        </x:is>
      </x:c>
      <x:c r="N49" t="inlineStr">
        <x:is>
          <x:t xml:space="preserve">NEUROD1</x:t>
        </x:is>
      </x:c>
      <x:c r="O49" t="inlineStr">
        <x:is>
          <x:t xml:space="preserve">figure_labeled</x:t>
        </x:is>
      </x:c>
      <x:c r="P49" t="inlineStr">
        <x:is>
          <x:t xml:space="preserve">positive</x:t>
        </x:is>
      </x:c>
      <x:c r="Q49" t="inlineStr">
        <x:is>
          <x:t xml:space="preserve">formal_candidate</x:t>
        </x:is>
      </x:c>
      <x:c r="R49" t="inlineStr">
        <x:is>
          <x:t xml:space="preserve">Figure EV2I</x:t>
        </x:is>
      </x:c>
      <x:c r="S49" t="inlineStr">
        <x:is>
          <x:t xml:space="preserve">UMAP plots label neuroendocrine cells with NEUROD1 transcript expression.</x:t>
        </x:is>
      </x:c>
      <x:c r="T49" t="inlineStr">
        <x:is>
          <x:t xml:space="preserve">approved</x:t>
        </x:is>
      </x:c>
      <x:c r="U49" t="inlineStr">
        <x:is>
          <x:t xml:space="preserve">quick_consistency</x:t>
        </x:is>
      </x:c>
      <x:c r="V49" t="inlineStr">
        <x:is>
          <x:t xml:space="preserve">GLM预筛后定向复核：Figure EV2图注明确对应neuroendocrine cells</x:t>
        </x:is>
      </x:c>
      <x:c r="W49" t="inlineStr">
        <x:is>
          <x:t xml:space="preserve">scripts/extract_markers/review_md/DOI_10.1038_s44318-024-00328-6.md</x:t>
        </x:is>
      </x:c>
      <x:c r="X49" t="inlineStr">
        <x:is>
          <x:t xml:space="preserve">2026-08-14</x:t>
        </x:is>
      </x:c>
    </x:row>
    <x:row r="50">
      <x:c r="A50" t="inlineStr">
        <x:is>
          <x:t xml:space="preserve">M00049</x:t>
        </x:is>
      </x:c>
      <x:c r="B50" t="n">
        <x:v>12</x:v>
      </x:c>
      <x:c r="C50" t="inlineStr">
        <x:is>
          <x:t xml:space="preserve">CELLxGENE:781cc817-3fd0-487c-a55a-b47b2786a05d</x:t>
        </x:is>
      </x:c>
      <x:c r="D50" t="inlineStr">
        <x:is>
          <x:t xml:space="preserve">DOI_10.1038_s44318-024-00328-6</x:t>
        </x:is>
      </x:c>
      <x:c r="E50" t="inlineStr">
        <x:is>
          <x:t xml:space="preserve">DOI_10.1038_s44318-024-00328-6</x:t>
        </x:is>
      </x:c>
      <x:c r="F50" t="inlineStr">
        <x:is>
          <x:t xml:space="preserve">primary</x:t>
        </x:is>
      </x:c>
      <x:c r="I50" t="inlineStr">
        <x:is>
          <x:t xml:space="preserve">neuroendocrine cell</x:t>
        </x:is>
      </x:c>
      <x:c r="K50" t="inlineStr">
        <x:is>
          <x:t xml:space="preserve">human</x:t>
        </x:is>
      </x:c>
      <x:c r="L50" t="inlineStr">
        <x:is>
          <x:t xml:space="preserve">true</x:t>
        </x:is>
      </x:c>
      <x:c r="M50" t="inlineStr">
        <x:is>
          <x:t xml:space="preserve">GRP</x:t>
        </x:is>
      </x:c>
      <x:c r="N50" t="inlineStr">
        <x:is>
          <x:t xml:space="preserve">GRP</x:t>
        </x:is>
      </x:c>
      <x:c r="O50" t="inlineStr">
        <x:is>
          <x:t xml:space="preserve">figure_labeled</x:t>
        </x:is>
      </x:c>
      <x:c r="P50" t="inlineStr">
        <x:is>
          <x:t xml:space="preserve">positive</x:t>
        </x:is>
      </x:c>
      <x:c r="Q50" t="inlineStr">
        <x:is>
          <x:t xml:space="preserve">formal_candidate</x:t>
        </x:is>
      </x:c>
      <x:c r="R50" t="inlineStr">
        <x:is>
          <x:t xml:space="preserve">Figure EV2I</x:t>
        </x:is>
      </x:c>
      <x:c r="S50" t="inlineStr">
        <x:is>
          <x:t xml:space="preserve">UMAP plots label neuroendocrine cells with GRP transcript expression.</x:t>
        </x:is>
      </x:c>
      <x:c r="T50" t="inlineStr">
        <x:is>
          <x:t xml:space="preserve">approved</x:t>
        </x:is>
      </x:c>
      <x:c r="U50" t="inlineStr">
        <x:is>
          <x:t xml:space="preserve">quick_consistency</x:t>
        </x:is>
      </x:c>
      <x:c r="V50" t="inlineStr">
        <x:is>
          <x:t xml:space="preserve">GLM预筛后定向复核：Figure EV2图注明确对应neuroendocrine cells</x:t>
        </x:is>
      </x:c>
      <x:c r="W50" t="inlineStr">
        <x:is>
          <x:t xml:space="preserve">scripts/extract_markers/review_md/DOI_10.1038_s44318-024-00328-6.md</x:t>
        </x:is>
      </x:c>
      <x:c r="X50" t="inlineStr">
        <x:is>
          <x:t xml:space="preserve">2026-08-14</x:t>
        </x:is>
      </x:c>
    </x:row>
    <x:row r="51">
      <x:c r="A51" t="inlineStr">
        <x:is>
          <x:t xml:space="preserve">M00050</x:t>
        </x:is>
      </x:c>
      <x:c r="B51" t="n">
        <x:v>21</x:v>
      </x:c>
      <x:c r="C51" t="inlineStr">
        <x:is>
          <x:t xml:space="preserve">CELLxGENE:fb5eeccf-3c2a-473c-b6e3-7a1dda18d42d</x:t>
        </x:is>
      </x:c>
      <x:c r="D51" t="inlineStr">
        <x:is>
          <x:t xml:space="preserve">DOI_10.64898_2025.12.18.695268</x:t>
        </x:is>
      </x:c>
      <x:c r="E51" t="inlineStr">
        <x:is>
          <x:t xml:space="preserve">DOI_10.64898_2025.12.18.695268</x:t>
        </x:is>
      </x:c>
      <x:c r="F51" t="inlineStr">
        <x:is>
          <x:t xml:space="preserve">primary</x:t>
        </x:is>
      </x:c>
      <x:c r="I51" t="inlineStr">
        <x:is>
          <x:t xml:space="preserve">Schwann cell</x:t>
        </x:is>
      </x:c>
      <x:c r="K51" t="inlineStr">
        <x:is>
          <x:t xml:space="preserve">human</x:t>
        </x:is>
      </x:c>
      <x:c r="L51" t="inlineStr">
        <x:is>
          <x:t xml:space="preserve">true</x:t>
        </x:is>
      </x:c>
      <x:c r="M51" t="inlineStr">
        <x:is>
          <x:t xml:space="preserve">XKR4</x:t>
        </x:is>
      </x:c>
      <x:c r="N51" t="inlineStr">
        <x:is>
          <x:t xml:space="preserve">XKR4</x:t>
        </x:is>
      </x:c>
      <x:c r="O51" t="inlineStr">
        <x:is>
          <x:t xml:space="preserve">author_declared</x:t>
        </x:is>
      </x:c>
      <x:c r="P51" t="inlineStr">
        <x:is>
          <x:t xml:space="preserve">positive</x:t>
        </x:is>
      </x:c>
      <x:c r="Q51" t="inlineStr">
        <x:is>
          <x:t xml:space="preserve">formal_candidate</x:t>
        </x:is>
      </x:c>
      <x:c r="R51" t="inlineStr">
        <x:is>
          <x:t xml:space="preserve">Results; Fig. 1C</x:t>
        </x:is>
      </x:c>
      <x:c r="S51" t="inlineStr">
        <x:is>
          <x:t xml:space="preserve">Additional stromal populations included Schwann cells (NRXN+/XKR4+).</x:t>
        </x:is>
      </x:c>
      <x:c r="T51" t="inlineStr">
        <x:is>
          <x:t xml:space="preserve">approved</x:t>
        </x:is>
      </x:c>
      <x:c r="U51" t="inlineStr">
        <x:is>
          <x:t xml:space="preserve">quick_consistency</x:t>
        </x:is>
      </x:c>
      <x:c r="V51" t="inlineStr">
        <x:is>
          <x:t xml:space="preserve">作者正文直接给出Schwann cell阳性标记；不完整符号NRXN未录入</x:t>
        </x:is>
      </x:c>
      <x:c r="W51" t="inlineStr">
        <x:is>
          <x:t xml:space="preserve">scripts/extract_markers/review_md/DOI_10.64898_2025.12.18.695268.md</x:t>
        </x:is>
      </x:c>
      <x:c r="X51" t="inlineStr">
        <x:is>
          <x:t xml:space="preserve">2026-08-14</x:t>
        </x:is>
      </x:c>
    </x:row>
    <x:row r="52">
      <x:c r="A52" t="inlineStr">
        <x:is>
          <x:t xml:space="preserve">M00051</x:t>
        </x:is>
      </x:c>
      <x:c r="B52" t="n">
        <x:v>21</x:v>
      </x:c>
      <x:c r="C52" t="inlineStr">
        <x:is>
          <x:t xml:space="preserve">CELLxGENE:fb5eeccf-3c2a-473c-b6e3-7a1dda18d42d</x:t>
        </x:is>
      </x:c>
      <x:c r="D52" t="inlineStr">
        <x:is>
          <x:t xml:space="preserve">DOI_10.64898_2025.12.18.695268</x:t>
        </x:is>
      </x:c>
      <x:c r="E52" t="inlineStr">
        <x:is>
          <x:t xml:space="preserve">DOI_10.64898_2025.12.18.695268</x:t>
        </x:is>
      </x:c>
      <x:c r="F52" t="inlineStr">
        <x:is>
          <x:t xml:space="preserve">primary</x:t>
        </x:is>
      </x:c>
      <x:c r="I52" t="inlineStr">
        <x:is>
          <x:t xml:space="preserve">Schwann cell</x:t>
        </x:is>
      </x:c>
      <x:c r="K52" t="inlineStr">
        <x:is>
          <x:t xml:space="preserve">human</x:t>
        </x:is>
      </x:c>
      <x:c r="L52" t="inlineStr">
        <x:is>
          <x:t xml:space="preserve">true</x:t>
        </x:is>
      </x:c>
      <x:c r="M52" t="inlineStr">
        <x:is>
          <x:t xml:space="preserve">NRXN1</x:t>
        </x:is>
      </x:c>
      <x:c r="N52" t="inlineStr">
        <x:is>
          <x:t xml:space="preserve">NRXN1</x:t>
        </x:is>
      </x:c>
      <x:c r="O52" t="inlineStr">
        <x:is>
          <x:t xml:space="preserve">author_declared</x:t>
        </x:is>
      </x:c>
      <x:c r="P52" t="inlineStr">
        <x:is>
          <x:t xml:space="preserve">positive</x:t>
        </x:is>
      </x:c>
      <x:c r="Q52" t="inlineStr">
        <x:is>
          <x:t xml:space="preserve">formal_candidate</x:t>
        </x:is>
      </x:c>
      <x:c r="R52" t="inlineStr">
        <x:is>
          <x:t xml:space="preserve">Results; Fig. S3E</x:t>
        </x:is>
      </x:c>
      <x:c r="S52" t="inlineStr">
        <x:is>
          <x:t xml:space="preserve">Regions surrounding innervating structures featured Schwann cells (NRXN1+).</x:t>
        </x:is>
      </x:c>
      <x:c r="T52" t="inlineStr">
        <x:is>
          <x:t xml:space="preserve">approved</x:t>
        </x:is>
      </x:c>
      <x:c r="U52" t="inlineStr">
        <x:is>
          <x:t xml:space="preserve">quick_consistency</x:t>
        </x:is>
      </x:c>
      <x:c r="V52" t="inlineStr">
        <x:is>
          <x:t xml:space="preserve">作者正文直接给出Schwann cells (NRXN1+)</x:t>
        </x:is>
      </x:c>
      <x:c r="W52" t="inlineStr">
        <x:is>
          <x:t xml:space="preserve">scripts/extract_markers/review_md/DOI_10.64898_2025.12.18.695268.md</x:t>
        </x:is>
      </x:c>
      <x:c r="X52" t="inlineStr">
        <x:is>
          <x:t xml:space="preserve">2026-08-14</x:t>
        </x:is>
      </x:c>
    </x:row>
    <x:row r="53">
      <x:c r="A53" t="inlineStr">
        <x:is>
          <x:t xml:space="preserve">M00052</x:t>
        </x:is>
      </x:c>
      <x:c r="B53" t="n">
        <x:v>24</x:v>
      </x:c>
      <x:c r="C53" t="inlineStr">
        <x:is>
          <x:t xml:space="preserve">CELLxGENE:8b2e5453-faf7-46ea-9073-aea69b283cb7</x:t>
        </x:is>
      </x:c>
      <x:c r="D53" t="inlineStr">
        <x:is>
          <x:t xml:space="preserve">DOI_10.1002_pros.24020</x:t>
        </x:is>
      </x:c>
      <x:c r="E53" t="inlineStr">
        <x:is>
          <x:t xml:space="preserve">DOI_10.1002_pros.24020</x:t>
        </x:is>
      </x:c>
      <x:c r="F53" t="inlineStr">
        <x:is>
          <x:t xml:space="preserve">primary</x:t>
        </x:is>
      </x:c>
      <x:c r="I53" t="inlineStr">
        <x:is>
          <x:t xml:space="preserve">neuroendocrine cell</x:t>
        </x:is>
      </x:c>
      <x:c r="K53" t="inlineStr">
        <x:is>
          <x:t xml:space="preserve">human</x:t>
        </x:is>
      </x:c>
      <x:c r="L53" t="inlineStr">
        <x:is>
          <x:t xml:space="preserve">true</x:t>
        </x:is>
      </x:c>
      <x:c r="M53" t="inlineStr">
        <x:is>
          <x:t xml:space="preserve">CALCA</x:t>
        </x:is>
      </x:c>
      <x:c r="N53" t="inlineStr">
        <x:is>
          <x:t xml:space="preserve">CGRP</x:t>
        </x:is>
      </x:c>
      <x:c r="O53" t="inlineStr">
        <x:is>
          <x:t xml:space="preserve">author_declared</x:t>
        </x:is>
      </x:c>
      <x:c r="P53" t="inlineStr">
        <x:is>
          <x:t xml:space="preserve">positive</x:t>
        </x:is>
      </x:c>
      <x:c r="Q53" t="inlineStr">
        <x:is>
          <x:t xml:space="preserve">formal_candidate</x:t>
        </x:is>
      </x:c>
      <x:c r="R53" t="inlineStr">
        <x:is>
          <x:t xml:space="preserve">Results §3.1; Figure S3A,C</x:t>
        </x:is>
      </x:c>
      <x:c r="S53" t="inlineStr">
        <x:is>
          <x:t xml:space="preserve">Neuroendocrine epithelia can be identified using known markers such as CGRP and CHGA.</x:t>
        </x:is>
      </x:c>
      <x:c r="T53" t="inlineStr">
        <x:is>
          <x:t xml:space="preserve">approved</x:t>
        </x:is>
      </x:c>
      <x:c r="U53" t="inlineStr">
        <x:is>
          <x:t xml:space="preserve">quick_consistency</x:t>
        </x:is>
      </x:c>
      <x:c r="V53" t="inlineStr">
        <x:is>
          <x:t xml:space="preserve">作者直接称为known markers；CGRP规范化为基因符号CALCA</x:t>
        </x:is>
      </x:c>
      <x:c r="W53" t="inlineStr">
        <x:is>
          <x:t xml:space="preserve">scripts/extract_markers/review_md/DOI_10.1002_pros.24020.md</x:t>
        </x:is>
      </x:c>
      <x:c r="X53" t="inlineStr">
        <x:is>
          <x:t xml:space="preserve">2026-08-14</x:t>
        </x:is>
      </x:c>
    </x:row>
    <x:row r="54">
      <x:c r="A54" t="inlineStr">
        <x:is>
          <x:t xml:space="preserve">M00053</x:t>
        </x:is>
      </x:c>
      <x:c r="B54" t="n">
        <x:v>24</x:v>
      </x:c>
      <x:c r="C54" t="inlineStr">
        <x:is>
          <x:t xml:space="preserve">CELLxGENE:8b2e5453-faf7-46ea-9073-aea69b283cb7</x:t>
        </x:is>
      </x:c>
      <x:c r="D54" t="inlineStr">
        <x:is>
          <x:t xml:space="preserve">DOI_10.1002_pros.24020</x:t>
        </x:is>
      </x:c>
      <x:c r="E54" t="inlineStr">
        <x:is>
          <x:t xml:space="preserve">DOI_10.1002_pros.24020</x:t>
        </x:is>
      </x:c>
      <x:c r="F54" t="inlineStr">
        <x:is>
          <x:t xml:space="preserve">primary</x:t>
        </x:is>
      </x:c>
      <x:c r="I54" t="inlineStr">
        <x:is>
          <x:t xml:space="preserve">neuroendocrine cell</x:t>
        </x:is>
      </x:c>
      <x:c r="K54" t="inlineStr">
        <x:is>
          <x:t xml:space="preserve">human</x:t>
        </x:is>
      </x:c>
      <x:c r="L54" t="inlineStr">
        <x:is>
          <x:t xml:space="preserve">true</x:t>
        </x:is>
      </x:c>
      <x:c r="M54" t="inlineStr">
        <x:is>
          <x:t xml:space="preserve">CHGA</x:t>
        </x:is>
      </x:c>
      <x:c r="N54" t="inlineStr">
        <x:is>
          <x:t xml:space="preserve">CHGA</x:t>
        </x:is>
      </x:c>
      <x:c r="O54" t="inlineStr">
        <x:is>
          <x:t xml:space="preserve">author_declared</x:t>
        </x:is>
      </x:c>
      <x:c r="P54" t="inlineStr">
        <x:is>
          <x:t xml:space="preserve">positive</x:t>
        </x:is>
      </x:c>
      <x:c r="Q54" t="inlineStr">
        <x:is>
          <x:t xml:space="preserve">formal_candidate</x:t>
        </x:is>
      </x:c>
      <x:c r="R54" t="inlineStr">
        <x:is>
          <x:t xml:space="preserve">Results §3.1; Figure S3A,C</x:t>
        </x:is>
      </x:c>
      <x:c r="S54" t="inlineStr">
        <x:is>
          <x:t xml:space="preserve">Neuroendocrine epithelia can be identified using known markers such as CGRP and CHGA.</x:t>
        </x:is>
      </x:c>
      <x:c r="T54" t="inlineStr">
        <x:is>
          <x:t xml:space="preserve">approved</x:t>
        </x:is>
      </x:c>
      <x:c r="U54" t="inlineStr">
        <x:is>
          <x:t xml:space="preserve">quick_consistency</x:t>
        </x:is>
      </x:c>
      <x:c r="V54" t="inlineStr">
        <x:is>
          <x:t xml:space="preserve">作者直接称为known markers</x:t>
        </x:is>
      </x:c>
      <x:c r="W54" t="inlineStr">
        <x:is>
          <x:t xml:space="preserve">scripts/extract_markers/review_md/DOI_10.1002_pros.24020.md</x:t>
        </x:is>
      </x:c>
      <x:c r="X54" t="inlineStr">
        <x:is>
          <x:t xml:space="preserve">2026-08-14</x:t>
        </x:is>
      </x:c>
    </x:row>
    <x:row r="55">
      <x:c r="A55" t="str">
        <x:v>M00054</x:v>
      </x:c>
      <x:c r="B55" t="n">
        <x:v>23</x:v>
      </x:c>
      <x:c r="C55" t="str">
        <x:v>CELLxGENE:2dd9d7a2-4bee-4c3f-a1f5-89bc3271c4f0</x:v>
      </x:c>
      <x:c r="D55" t="str">
        <x:v>DOI_10.1016_j.isci.2024.111628</x:v>
      </x:c>
      <x:c r="E55" t="str">
        <x:v>DOI_10.1016_j.isci.2024.111628</x:v>
      </x:c>
      <x:c r="F55" t="str">
        <x:v>primary</x:v>
      </x:c>
      <x:c r="G55"/>
      <x:c r="H55"/>
      <x:c r="I55" t="str">
        <x:v>Schwann cells</x:v>
      </x:c>
      <x:c r="J55"/>
      <x:c r="K55" t="str">
        <x:v>human</x:v>
      </x:c>
      <x:c r="L55" t="str">
        <x:v>true</x:v>
      </x:c>
      <x:c r="M55" t="str">
        <x:v>CDH19</x:v>
      </x:c>
      <x:c r="N55" t="str">
        <x:v>CDH19</x:v>
      </x:c>
      <x:c r="O55" t="str">
        <x:v>annotation_marker</x:v>
      </x:c>
      <x:c r="P55" t="str">
        <x:v>positive</x:v>
      </x:c>
      <x:c r="Q55" t="str">
        <x:v>formal_candidate</x:v>
      </x:c>
      <x:c r="R55" t="str">
        <x:v>Results, Classification of stromal cells, Fig. 1E UMAP/Dot Plot</x:v>
      </x:c>
      <x:c r="S55" t="str">
        <x:v>we identified a single Schwann cell cluster (CDH19+/NRXN+/XKR4+)</x:v>
      </x:c>
      <x:c r="T55" t="str">
        <x:v>approved</x:v>
      </x:c>
      <x:c r="U55" t="str">
        <x:v>spot_check_original_pdf_review_md</x:v>
      </x:c>
      <x:c r="V55" t="str">
        <x:v>抽查审核：review Markdown与原文正文（Results/Classification of stromal cells）及Fig. 1E一致；Schwann cluster明确为CDH19+/NRXN+/XKR4+。原文未细分NRXN亚型，保留原文写法。</x:v>
      </x:c>
      <x:c r="W55" t="str">
        <x:v>scripts/extract_markers/markers_output_v2/DOI_10.1016_j.isci.2024.111628_review.csv</x:v>
      </x:c>
      <x:c r="X55" t="str">
        <x:v>2026-08-21</x:v>
      </x:c>
    </x:row>
    <x:row r="56">
      <x:c r="A56" t="str">
        <x:v>M00055</x:v>
      </x:c>
      <x:c r="B56" t="n">
        <x:v>23</x:v>
      </x:c>
      <x:c r="C56" t="str">
        <x:v>CELLxGENE:2dd9d7a2-4bee-4c3f-a1f5-89bc3271c4f0</x:v>
      </x:c>
      <x:c r="D56" t="str">
        <x:v>DOI_10.1016_j.isci.2024.111628</x:v>
      </x:c>
      <x:c r="E56" t="str">
        <x:v>DOI_10.1016_j.isci.2024.111628</x:v>
      </x:c>
      <x:c r="F56" t="str">
        <x:v>primary</x:v>
      </x:c>
      <x:c r="G56"/>
      <x:c r="H56"/>
      <x:c r="I56" t="str">
        <x:v>Schwann cells</x:v>
      </x:c>
      <x:c r="J56"/>
      <x:c r="K56" t="str">
        <x:v>human</x:v>
      </x:c>
      <x:c r="L56" t="str">
        <x:v>true</x:v>
      </x:c>
      <x:c r="M56" t="str">
        <x:v>NRXN</x:v>
      </x:c>
      <x:c r="N56" t="str">
        <x:v>NRXN</x:v>
      </x:c>
      <x:c r="O56" t="str">
        <x:v>annotation_marker</x:v>
      </x:c>
      <x:c r="P56" t="str">
        <x:v>positive</x:v>
      </x:c>
      <x:c r="Q56" t="str">
        <x:v>formal_candidate</x:v>
      </x:c>
      <x:c r="R56" t="str">
        <x:v>Results, Classification of stromal cells, Fig. 1E UMAP/Dot Plot</x:v>
      </x:c>
      <x:c r="S56" t="str">
        <x:v>we identified a single Schwann cell cluster (CDH19+/NRXN+/XKR4+)</x:v>
      </x:c>
      <x:c r="T56" t="str">
        <x:v>approved</x:v>
      </x:c>
      <x:c r="U56" t="str">
        <x:v>spot_check_original_pdf_review_md</x:v>
      </x:c>
      <x:c r="V56" t="str">
        <x:v>抽查审核：review Markdown与原文正文（Results/Classification of stromal cells）及Fig. 1E一致；Schwann cluster明确为CDH19+/NRXN+/XKR4+。原文未细分NRXN亚型，保留原文写法。</x:v>
      </x:c>
      <x:c r="W56" t="str">
        <x:v>scripts/extract_markers/markers_output_v2/DOI_10.1016_j.isci.2024.111628_review.csv</x:v>
      </x:c>
      <x:c r="X56" t="str">
        <x:v>2026-08-21</x:v>
      </x:c>
    </x:row>
    <x:row r="57">
      <x:c r="A57" t="str">
        <x:v>M00056</x:v>
      </x:c>
      <x:c r="B57" t="n">
        <x:v>23</x:v>
      </x:c>
      <x:c r="C57" t="str">
        <x:v>CELLxGENE:2dd9d7a2-4bee-4c3f-a1f5-89bc3271c4f0</x:v>
      </x:c>
      <x:c r="D57" t="str">
        <x:v>DOI_10.1016_j.isci.2024.111628</x:v>
      </x:c>
      <x:c r="E57" t="str">
        <x:v>DOI_10.1016_j.isci.2024.111628</x:v>
      </x:c>
      <x:c r="F57" t="str">
        <x:v>primary</x:v>
      </x:c>
      <x:c r="G57"/>
      <x:c r="H57"/>
      <x:c r="I57" t="str">
        <x:v>Schwann cells</x:v>
      </x:c>
      <x:c r="J57"/>
      <x:c r="K57" t="str">
        <x:v>human</x:v>
      </x:c>
      <x:c r="L57" t="str">
        <x:v>true</x:v>
      </x:c>
      <x:c r="M57" t="str">
        <x:v>XKR4</x:v>
      </x:c>
      <x:c r="N57" t="str">
        <x:v>XKR4</x:v>
      </x:c>
      <x:c r="O57" t="str">
        <x:v>annotation_marker</x:v>
      </x:c>
      <x:c r="P57" t="str">
        <x:v>positive</x:v>
      </x:c>
      <x:c r="Q57" t="str">
        <x:v>formal_candidate</x:v>
      </x:c>
      <x:c r="R57" t="str">
        <x:v>Results, Classification of stromal cells, Fig. 1E UMAP/Dot Plot</x:v>
      </x:c>
      <x:c r="S57" t="str">
        <x:v>we identified a single Schwann cell cluster (CDH19+/NRXN+/XKR4+)</x:v>
      </x:c>
      <x:c r="T57" t="str">
        <x:v>approved</x:v>
      </x:c>
      <x:c r="U57" t="str">
        <x:v>spot_check_original_pdf_review_md</x:v>
      </x:c>
      <x:c r="V57" t="str">
        <x:v>抽查审核：review Markdown与原文正文（Results/Classification of stromal cells）及Fig. 1E一致；Schwann cluster明确为CDH19+/NRXN+/XKR4+。原文未细分NRXN亚型，保留原文写法。</x:v>
      </x:c>
      <x:c r="W57" t="str">
        <x:v>scripts/extract_markers/markers_output_v2/DOI_10.1016_j.isci.2024.111628_review.csv</x:v>
      </x:c>
      <x:c r="X57" t="str">
        <x:v>2026-08-21</x:v>
      </x:c>
    </x:row>
    <x:row r="58">
      <x:c r="A58" t="str">
        <x:v>M00057</x:v>
      </x:c>
      <x:c r="B58" t="n">
        <x:v>36</x:v>
      </x:c>
      <x:c r="C58" t="str">
        <x:v>CELLxGENE:b6f472f1-a58d-43a7-a898-2d6822a0b2b2</x:v>
      </x:c>
      <x:c r="D58" t="str">
        <x:v>DOI_10.1038_s41467-024-52052-8</x:v>
      </x:c>
      <x:c r="E58" t="str">
        <x:v>DOI_10.1038_s41467-024-52052-8</x:v>
      </x:c>
      <x:c r="F58" t="str">
        <x:v>primary</x:v>
      </x:c>
      <x:c r="G58"/>
      <x:c r="H58"/>
      <x:c r="I58" t="str">
        <x:v>senescent nociceptors</x:v>
      </x:c>
      <x:c r="J58"/>
      <x:c r="K58" t="str">
        <x:v>mouse</x:v>
      </x:c>
      <x:c r="L58" t="str">
        <x:v>true</x:v>
      </x:c>
      <x:c r="M58" t="str">
        <x:v>NeuN</x:v>
      </x:c>
      <x:c r="N58" t="str">
        <x:v>NeuN</x:v>
      </x:c>
      <x:c r="O58" t="str">
        <x:v>author_declared</x:v>
      </x:c>
      <x:c r="P58" t="str">
        <x:v>positive</x:v>
      </x:c>
      <x:c r="Q58" t="str">
        <x:v>formal_candidate</x:v>
      </x:c>
      <x:c r="R58" t="str">
        <x:v>Results section 'Development and persistence of pain and senescence of pain-sensing neurons', Fig.3i</x:v>
      </x:c>
      <x:c r="S58" t="str">
        <x:v>We identified a senescent phenotype in a subset of nociceptors, which were characterized by high expression of the neuronal nuclei marker (NeuN) and their smaller size (Fig.3i).</x:v>
      </x:c>
      <x:c r="T58" t="str">
        <x:v>pending</x:v>
      </x:c>
      <x:c r="U58" t="str">
        <x:v>spot_check_original_pdf_review_md</x:v>
      </x:c>
      <x:c r="V58" t="str">
        <x:v>抽查审核：原文Results/Fig. 3i明确将NeuN称为neuronal nuclei marker，证据成立；但NeuN是蛋白/抗体命名，不是标准基因符号，需确认是否按项目规范映射为RBFOX3后再批准。</x:v>
      </x:c>
      <x:c r="W58" t="str">
        <x:v>scripts/extract_markers/markers_output_v2/DOI_10.1038_s41467-024-52052-8_review.csv</x:v>
      </x:c>
      <x:c r="X58" t="str">
        <x:v>2026-08-21</x:v>
      </x:c>
    </x:row>
    <x:row r="59">
      <x:c r="A59" t="str">
        <x:v>M00058</x:v>
      </x:c>
      <x:c r="B59" t="n">
        <x:v>36</x:v>
      </x:c>
      <x:c r="C59" t="str">
        <x:v>CELLxGENE:b6f472f1-a58d-43a7-a898-2d6822a0b2b2</x:v>
      </x:c>
      <x:c r="D59" t="str">
        <x:v>DOI_10.1038_s41467-024-52052-8</x:v>
      </x:c>
      <x:c r="E59" t="str">
        <x:v>DOI_10.1038_s41467-024-52052-8</x:v>
      </x:c>
      <x:c r="F59" t="str">
        <x:v>primary</x:v>
      </x:c>
      <x:c r="G59"/>
      <x:c r="H59"/>
      <x:c r="I59" t="str">
        <x:v>senescent nociceptors</x:v>
      </x:c>
      <x:c r="J59"/>
      <x:c r="K59" t="str">
        <x:v>mouse</x:v>
      </x:c>
      <x:c r="L59" t="str">
        <x:v>true</x:v>
      </x:c>
      <x:c r="M59" t="str">
        <x:v>p21</x:v>
      </x:c>
      <x:c r="N59" t="str">
        <x:v>p21</x:v>
      </x:c>
      <x:c r="O59" t="str">
        <x:v>author_declared</x:v>
      </x:c>
      <x:c r="P59" t="str">
        <x:v>positive</x:v>
      </x:c>
      <x:c r="Q59" t="str">
        <x:v>formal_candidate</x:v>
      </x:c>
      <x:c r="R59" t="str">
        <x:v>Results section 'Development and persistence of pain and senescence of pain-sensing neurons', Supplementary Fig.5g,h</x:v>
      </x:c>
      <x:c r="S59" t="str">
        <x:v>the injury was accompanied by an increased nuclear expression of the senescence marker p21 starting from day 7 post-injury (Supplementary Fig. 5g, h).</x:v>
      </x:c>
      <x:c r="T59" t="str">
        <x:v>pending</x:v>
      </x:c>
      <x:c r="U59" t="str">
        <x:v>spot_check_original_pdf_review_md</x:v>
      </x:c>
      <x:c r="V59" t="str">
        <x:v>抽查审核：原文Results/Supplementary Fig. 5g,h明确将p21称为senescence marker，证据成立；但p21是蛋白/通用命名，不是标准基因符号，需确认是否按项目规范映射为CDKN1A后再批准。</x:v>
      </x:c>
      <x:c r="W59" t="str">
        <x:v>scripts/extract_markers/markers_output_v2/DOI_10.1038_s41467-024-52052-8_review.csv</x:v>
      </x:c>
      <x:c r="X59" t="str">
        <x:v>2026-08-21</x:v>
      </x:c>
    </x:row>
    <x:row r="60">
      <x:c r="A60" t="str">
        <x:v>M00059</x:v>
      </x:c>
      <x:c r="B60" t="n">
        <x:v>5</x:v>
      </x:c>
      <x:c r="C60" t="str">
        <x:v>CELLxGENE:093d3bfe-6f0f-4ac0-a7a1-829f94d0a49f</x:v>
      </x:c>
      <x:c r="D60" t="str">
        <x:v>DOI_10.1038_s41588-022-01243-4</x:v>
      </x:c>
      <x:c r="E60" t="str">
        <x:v>DOI_10.1038_s41588-022-01243-4</x:v>
      </x:c>
      <x:c r="F60" t="str">
        <x:v>primary</x:v>
      </x:c>
      <x:c r="G60"/>
      <x:c r="H60"/>
      <x:c r="I60" t="str">
        <x:v>myelinating Schwann cells (mSchwann)</x:v>
      </x:c>
      <x:c r="J60"/>
      <x:c r="K60" t="str">
        <x:v>human</x:v>
      </x:c>
      <x:c r="L60" t="str">
        <x:v>true</x:v>
      </x:c>
      <x:c r="M60" t="str">
        <x:v>MBP</x:v>
      </x:c>
      <x:c r="N60" t="str">
        <x:v>MBP</x:v>
      </x:c>
      <x:c r="O60" t="str">
        <x:v>annotation_marker</x:v>
      </x:c>
      <x:c r="P60" t="str">
        <x:v>positive</x:v>
      </x:c>
      <x:c r="Q60" t="str">
        <x:v>formal_candidate</x:v>
      </x:c>
      <x:c r="R60" t="str">
        <x:v>Results, section 'Four distinct cell types in airway peripheral nerves'</x:v>
      </x:c>
      <x:c r="S60" t="str">
        <x:v>identified the following four new clusters relating to airway peripheral nerves: myelinating Schwann cells (mSchwann) (NFASC, NCMAP, MBP and PRX)</x:v>
      </x:c>
      <x:c r="T60" t="str">
        <x:v>approved</x:v>
      </x:c>
      <x:c r="U60" t="str">
        <x:v>spot_check_original_pdf_review_md</x:v>
      </x:c>
      <x:c r="V60" t="str">
        <x:v>抽查审核：review Markdown与原文Results“Four distinct cell types in airway peripheral nerves”一致；mSchwann明确列出NFASC、NCMAP、MBP、PRX。</x:v>
      </x:c>
      <x:c r="W60" t="str">
        <x:v>scripts/extract_markers/markers_output_v2/DOI_10.1038_s41588-022-01243-4_review.csv</x:v>
      </x:c>
      <x:c r="X60" t="str">
        <x:v>2026-08-21</x:v>
      </x:c>
    </x:row>
    <x:row r="61">
      <x:c r="A61" t="str">
        <x:v>M00060</x:v>
      </x:c>
      <x:c r="B61" t="n">
        <x:v>5</x:v>
      </x:c>
      <x:c r="C61" t="str">
        <x:v>CELLxGENE:093d3bfe-6f0f-4ac0-a7a1-829f94d0a49f</x:v>
      </x:c>
      <x:c r="D61" t="str">
        <x:v>DOI_10.1038_s41588-022-01243-4</x:v>
      </x:c>
      <x:c r="E61" t="str">
        <x:v>DOI_10.1038_s41588-022-01243-4</x:v>
      </x:c>
      <x:c r="F61" t="str">
        <x:v>primary</x:v>
      </x:c>
      <x:c r="G61"/>
      <x:c r="H61"/>
      <x:c r="I61" t="str">
        <x:v>myelinating Schwann cells (mSchwann)</x:v>
      </x:c>
      <x:c r="J61"/>
      <x:c r="K61" t="str">
        <x:v>human</x:v>
      </x:c>
      <x:c r="L61" t="str">
        <x:v>true</x:v>
      </x:c>
      <x:c r="M61" t="str">
        <x:v>NCMAP</x:v>
      </x:c>
      <x:c r="N61" t="str">
        <x:v>NCMAP</x:v>
      </x:c>
      <x:c r="O61" t="str">
        <x:v>annotation_marker</x:v>
      </x:c>
      <x:c r="P61" t="str">
        <x:v>positive</x:v>
      </x:c>
      <x:c r="Q61" t="str">
        <x:v>formal_candidate</x:v>
      </x:c>
      <x:c r="R61" t="str">
        <x:v>Results, section 'Four distinct cell types in airway peripheral nerves'</x:v>
      </x:c>
      <x:c r="S61" t="str">
        <x:v>identified the following four new clusters relating to airway peripheral nerves: myelinating Schwann cells (mSchwann) (NFASC, NCMAP, MBP and PRX)</x:v>
      </x:c>
      <x:c r="T61" t="str">
        <x:v>approved</x:v>
      </x:c>
      <x:c r="U61" t="str">
        <x:v>spot_check_original_pdf_review_md</x:v>
      </x:c>
      <x:c r="V61" t="str">
        <x:v>抽查审核：review Markdown与原文Results“Four distinct cell types in airway peripheral nerves”一致；mSchwann明确列出NFASC、NCMAP、MBP、PRX。</x:v>
      </x:c>
      <x:c r="W61" t="str">
        <x:v>scripts/extract_markers/markers_output_v2/DOI_10.1038_s41588-022-01243-4_review.csv</x:v>
      </x:c>
      <x:c r="X61" t="str">
        <x:v>2026-08-21</x:v>
      </x:c>
    </x:row>
    <x:row r="62">
      <x:c r="A62" t="str">
        <x:v>M00061</x:v>
      </x:c>
      <x:c r="B62" t="n">
        <x:v>5</x:v>
      </x:c>
      <x:c r="C62" t="str">
        <x:v>CELLxGENE:093d3bfe-6f0f-4ac0-a7a1-829f94d0a49f</x:v>
      </x:c>
      <x:c r="D62" t="str">
        <x:v>DOI_10.1038_s41588-022-01243-4</x:v>
      </x:c>
      <x:c r="E62" t="str">
        <x:v>DOI_10.1038_s41588-022-01243-4</x:v>
      </x:c>
      <x:c r="F62" t="str">
        <x:v>primary</x:v>
      </x:c>
      <x:c r="G62"/>
      <x:c r="H62"/>
      <x:c r="I62" t="str">
        <x:v>myelinating Schwann cells (mSchwann)</x:v>
      </x:c>
      <x:c r="J62"/>
      <x:c r="K62" t="str">
        <x:v>human</x:v>
      </x:c>
      <x:c r="L62" t="str">
        <x:v>true</x:v>
      </x:c>
      <x:c r="M62" t="str">
        <x:v>NFASC</x:v>
      </x:c>
      <x:c r="N62" t="str">
        <x:v>NFASC</x:v>
      </x:c>
      <x:c r="O62" t="str">
        <x:v>annotation_marker</x:v>
      </x:c>
      <x:c r="P62" t="str">
        <x:v>positive</x:v>
      </x:c>
      <x:c r="Q62" t="str">
        <x:v>formal_candidate</x:v>
      </x:c>
      <x:c r="R62" t="str">
        <x:v>Results, section 'Four distinct cell types in airway peripheral nerves'</x:v>
      </x:c>
      <x:c r="S62" t="str">
        <x:v>identified the following four new clusters relating to airway peripheral nerves: myelinating Schwann cells (mSchwann) (NFASC, NCMAP, MBP and PRX)</x:v>
      </x:c>
      <x:c r="T62" t="str">
        <x:v>approved</x:v>
      </x:c>
      <x:c r="U62" t="str">
        <x:v>spot_check_original_pdf_review_md</x:v>
      </x:c>
      <x:c r="V62" t="str">
        <x:v>抽查审核：review Markdown与原文Results“Four distinct cell types in airway peripheral nerves”一致；mSchwann明确列出NFASC、NCMAP、MBP、PRX。</x:v>
      </x:c>
      <x:c r="W62" t="str">
        <x:v>scripts/extract_markers/markers_output_v2/DOI_10.1038_s41588-022-01243-4_review.csv</x:v>
      </x:c>
      <x:c r="X62" t="str">
        <x:v>2026-08-21</x:v>
      </x:c>
    </x:row>
    <x:row r="63">
      <x:c r="A63" t="str">
        <x:v>M00062</x:v>
      </x:c>
      <x:c r="B63" t="n">
        <x:v>5</x:v>
      </x:c>
      <x:c r="C63" t="str">
        <x:v>CELLxGENE:093d3bfe-6f0f-4ac0-a7a1-829f94d0a49f</x:v>
      </x:c>
      <x:c r="D63" t="str">
        <x:v>DOI_10.1038_s41588-022-01243-4</x:v>
      </x:c>
      <x:c r="E63" t="str">
        <x:v>DOI_10.1038_s41588-022-01243-4</x:v>
      </x:c>
      <x:c r="F63" t="str">
        <x:v>primary</x:v>
      </x:c>
      <x:c r="G63"/>
      <x:c r="H63"/>
      <x:c r="I63" t="str">
        <x:v>myelinating Schwann cells (mSchwann)</x:v>
      </x:c>
      <x:c r="J63"/>
      <x:c r="K63" t="str">
        <x:v>human</x:v>
      </x:c>
      <x:c r="L63" t="str">
        <x:v>true</x:v>
      </x:c>
      <x:c r="M63" t="str">
        <x:v>PRX</x:v>
      </x:c>
      <x:c r="N63" t="str">
        <x:v>PRX</x:v>
      </x:c>
      <x:c r="O63" t="str">
        <x:v>annotation_marker</x:v>
      </x:c>
      <x:c r="P63" t="str">
        <x:v>positive</x:v>
      </x:c>
      <x:c r="Q63" t="str">
        <x:v>formal_candidate</x:v>
      </x:c>
      <x:c r="R63" t="str">
        <x:v>Results, section 'Four distinct cell types in airway peripheral nerves'</x:v>
      </x:c>
      <x:c r="S63" t="str">
        <x:v>identified the following four new clusters relating to airway peripheral nerves: myelinating Schwann cells (mSchwann) (NFASC, NCMAP, MBP and PRX)</x:v>
      </x:c>
      <x:c r="T63" t="str">
        <x:v>approved</x:v>
      </x:c>
      <x:c r="U63" t="str">
        <x:v>spot_check_original_pdf_review_md</x:v>
      </x:c>
      <x:c r="V63" t="str">
        <x:v>抽查审核：review Markdown与原文Results“Four distinct cell types in airway peripheral nerves”一致；mSchwann明确列出NFASC、NCMAP、MBP、PRX。</x:v>
      </x:c>
      <x:c r="W63" t="str">
        <x:v>scripts/extract_markers/markers_output_v2/DOI_10.1038_s41588-022-01243-4_review.csv</x:v>
      </x:c>
      <x:c r="X63" t="str">
        <x:v>2026-08-21</x:v>
      </x:c>
    </x:row>
    <x:row r="64">
      <x:c r="A64" t="str">
        <x:v>M00063</x:v>
      </x:c>
      <x:c r="B64" t="n">
        <x:v>31</x:v>
      </x:c>
      <x:c r="C64" t="str">
        <x:v>CELLxGENE:afae4675-434d-4e89-b5ce-2854c9dc38a3</x:v>
      </x:c>
      <x:c r="D64" t="str">
        <x:v>DOI_10.1038_s41588-025-02158-6</x:v>
      </x:c>
      <x:c r="E64" t="str">
        <x:v>DOI_10.1038_s41588-025-02158-6</x:v>
      </x:c>
      <x:c r="F64" t="str">
        <x:v>primary</x:v>
      </x:c>
      <x:c r="G64"/>
      <x:c r="H64"/>
      <x:c r="I64" t="str">
        <x:v>Neuroblasts</x:v>
      </x:c>
      <x:c r="J64" t="str">
        <x:v>Mesenchymal neuroblastic</x:v>
      </x:c>
      <x:c r="K64" t="str">
        <x:v>human</x:v>
      </x:c>
      <x:c r="L64" t="str">
        <x:v>true</x:v>
      </x:c>
      <x:c r="M64" t="str">
        <x:v>VIM</x:v>
      </x:c>
      <x:c r="N64" t="str">
        <x:v>VIM</x:v>
      </x:c>
      <x:c r="O64" t="str">
        <x:v>annotation_marker</x:v>
      </x:c>
      <x:c r="P64" t="str">
        <x:v>positive</x:v>
      </x:c>
      <x:c r="Q64" t="str">
        <x:v>formal_candidate</x:v>
      </x:c>
      <x:c r="R64" t="str">
        <x:v>Results, 'Macrophages differentially interact with neoplastic cell states'</x:v>
      </x:c>
      <x:c r="S64" t="str">
        <x:v>We also identified a mesenchymal neuroblastic population expressing vimentin</x:v>
      </x:c>
      <x:c r="T64" t="str">
        <x:v>approved</x:v>
      </x:c>
      <x:c r="U64" t="str">
        <x:v>spot_check_original_pdf_review_md</x:v>
      </x:c>
      <x:c r="V64" t="str">
        <x:v>抽查审核：review Markdown与原文Results一致；作者明确写出mesenchymal neuroblastic population expressing vimentin。</x:v>
      </x:c>
      <x:c r="W64" t="str">
        <x:v>scripts/extract_markers/markers_output_v2/DOI_10.1038_s41588-025-02158-6_review.csv</x:v>
      </x:c>
      <x:c r="X64" t="str">
        <x:v>2026-08-21</x:v>
      </x:c>
    </x:row>
    <x:row r="65">
      <x:c r="A65" t="str">
        <x:v>M00064</x:v>
      </x:c>
      <x:c r="B65" t="n">
        <x:v>31</x:v>
      </x:c>
      <x:c r="C65" t="str">
        <x:v>CELLxGENE:afae4675-434d-4e89-b5ce-2854c9dc38a3</x:v>
      </x:c>
      <x:c r="D65" t="str">
        <x:v>DOI_10.1038_s41588-025-02158-6</x:v>
      </x:c>
      <x:c r="E65" t="str">
        <x:v>DOI_10.1038_s41588-025-02158-6</x:v>
      </x:c>
      <x:c r="F65" t="str">
        <x:v>primary</x:v>
      </x:c>
      <x:c r="G65"/>
      <x:c r="H65"/>
      <x:c r="I65" t="str">
        <x:v>Neuroblasts</x:v>
      </x:c>
      <x:c r="J65"/>
      <x:c r="K65" t="str">
        <x:v>mouse</x:v>
      </x:c>
      <x:c r="L65" t="str">
        <x:v>true</x:v>
      </x:c>
      <x:c r="M65" t="str">
        <x:v>Hand2</x:v>
      </x:c>
      <x:c r="N65" t="str">
        <x:v>Hand2</x:v>
      </x:c>
      <x:c r="O65" t="str">
        <x:v>figure_labeled</x:v>
      </x:c>
      <x:c r="P65" t="str">
        <x:v>positive</x:v>
      </x:c>
      <x:c r="Q65" t="str">
        <x:v>formal_candidate</x:v>
      </x:c>
      <x:c r="R65" t="str">
        <x:v>Fig. 5c legend</x:v>
      </x:c>
      <x:c r="S65" t="str">
        <x:v>Dotplot showing the normalized expression levels of marker genes and the percentages of cells expressing them for each annotated cell type</x:v>
      </x:c>
      <x:c r="T65" t="str">
        <x:v>approved</x:v>
      </x:c>
      <x:c r="U65" t="str">
        <x:v>spot_check_original_pdf_review_md</x:v>
      </x:c>
      <x:c r="V65" t="str">
        <x:v>抽查审核：原文Fig. 5c marker dotplot行标签包含Hand2，且图注明确该面板展示各注释细胞类型的marker genes；mouse物种映射正确。</x:v>
      </x:c>
      <x:c r="W65" t="str">
        <x:v>scripts/extract_markers/markers_output_v2/DOI_10.1038_s41588-025-02158-6_review.csv</x:v>
      </x:c>
      <x:c r="X65" t="str">
        <x:v>2026-08-21</x:v>
      </x:c>
    </x:row>
    <x:row r="66">
      <x:c r="A66" t="str">
        <x:v>M00065</x:v>
      </x:c>
      <x:c r="B66" t="n">
        <x:v>31</x:v>
      </x:c>
      <x:c r="C66" t="str">
        <x:v>CELLxGENE:afae4675-434d-4e89-b5ce-2854c9dc38a3</x:v>
      </x:c>
      <x:c r="D66" t="str">
        <x:v>DOI_10.1038_s41588-025-02158-6</x:v>
      </x:c>
      <x:c r="E66" t="str">
        <x:v>DOI_10.1038_s41588-025-02158-6</x:v>
      </x:c>
      <x:c r="F66" t="str">
        <x:v>primary</x:v>
      </x:c>
      <x:c r="G66"/>
      <x:c r="H66"/>
      <x:c r="I66" t="str">
        <x:v>Neuroblasts</x:v>
      </x:c>
      <x:c r="J66"/>
      <x:c r="K66" t="str">
        <x:v>human</x:v>
      </x:c>
      <x:c r="L66" t="str">
        <x:v>true</x:v>
      </x:c>
      <x:c r="M66" t="str">
        <x:v>ISL1</x:v>
      </x:c>
      <x:c r="N66" t="str">
        <x:v>ISL1</x:v>
      </x:c>
      <x:c r="O66" t="str">
        <x:v>figure_labeled</x:v>
      </x:c>
      <x:c r="P66" t="str">
        <x:v>positive</x:v>
      </x:c>
      <x:c r="Q66" t="str">
        <x:v>formal_candidate</x:v>
      </x:c>
      <x:c r="R66" t="str">
        <x:v>Fig. 1d legend</x:v>
      </x:c>
      <x:c r="S66" t="str">
        <x:v>Dotplot showing the mean expression of marker genes and the percentage of cells expressing them for each annotated cell type</x:v>
      </x:c>
      <x:c r="T66" t="str">
        <x:v>approved</x:v>
      </x:c>
      <x:c r="U66" t="str">
        <x:v>spot_check_original_pdf_review_md</x:v>
      </x:c>
      <x:c r="V66" t="str">
        <x:v>抽查审核：原文Fig. 1d marker dotplot行标签包含ISL1，且图注明确该面板展示各注释细胞类型的marker genes；human物种映射正确。</x:v>
      </x:c>
      <x:c r="W66" t="str">
        <x:v>scripts/extract_markers/markers_output_v2/DOI_10.1038_s41588-025-02158-6_review.csv</x:v>
      </x:c>
      <x:c r="X66" t="str">
        <x:v>2026-08-21</x:v>
      </x:c>
    </x:row>
    <x:row r="67">
      <x:c r="A67" t="str">
        <x:v>M00066</x:v>
      </x:c>
      <x:c r="B67" t="n">
        <x:v>31</x:v>
      </x:c>
      <x:c r="C67" t="str">
        <x:v>CELLxGENE:afae4675-434d-4e89-b5ce-2854c9dc38a3</x:v>
      </x:c>
      <x:c r="D67" t="str">
        <x:v>DOI_10.1038_s41588-025-02158-6</x:v>
      </x:c>
      <x:c r="E67" t="str">
        <x:v>DOI_10.1038_s41588-025-02158-6</x:v>
      </x:c>
      <x:c r="F67" t="str">
        <x:v>primary</x:v>
      </x:c>
      <x:c r="G67"/>
      <x:c r="H67"/>
      <x:c r="I67" t="str">
        <x:v>Neuroblasts</x:v>
      </x:c>
      <x:c r="J67"/>
      <x:c r="K67" t="str">
        <x:v>mouse</x:v>
      </x:c>
      <x:c r="L67" t="str">
        <x:v>true</x:v>
      </x:c>
      <x:c r="M67" t="str">
        <x:v>Isl1</x:v>
      </x:c>
      <x:c r="N67" t="str">
        <x:v>Isl1</x:v>
      </x:c>
      <x:c r="O67" t="str">
        <x:v>figure_labeled</x:v>
      </x:c>
      <x:c r="P67" t="str">
        <x:v>positive</x:v>
      </x:c>
      <x:c r="Q67" t="str">
        <x:v>formal_candidate</x:v>
      </x:c>
      <x:c r="R67" t="str">
        <x:v>Fig. 5c legend</x:v>
      </x:c>
      <x:c r="S67" t="str">
        <x:v>Dotplot showing the normalized expression levels of marker genes and the percentages of cells expressing them for each annotated cell type</x:v>
      </x:c>
      <x:c r="T67" t="str">
        <x:v>approved</x:v>
      </x:c>
      <x:c r="U67" t="str">
        <x:v>spot_check_original_pdf_review_md</x:v>
      </x:c>
      <x:c r="V67" t="str">
        <x:v>抽查审核：原文Fig. 5c marker dotplot行标签包含Isl1，且图注明确该面板展示各注释细胞类型的marker genes；mouse物种映射正确。</x:v>
      </x:c>
      <x:c r="W67" t="str">
        <x:v>scripts/extract_markers/markers_output_v2/DOI_10.1038_s41588-025-02158-6_review.csv</x:v>
      </x:c>
      <x:c r="X67" t="str">
        <x:v>2026-08-21</x:v>
      </x:c>
    </x:row>
    <x:row r="68">
      <x:c r="A68" t="str">
        <x:v>M00067</x:v>
      </x:c>
      <x:c r="B68" t="n">
        <x:v>31</x:v>
      </x:c>
      <x:c r="C68" t="str">
        <x:v>CELLxGENE:afae4675-434d-4e89-b5ce-2854c9dc38a3</x:v>
      </x:c>
      <x:c r="D68" t="str">
        <x:v>DOI_10.1038_s41588-025-02158-6</x:v>
      </x:c>
      <x:c r="E68" t="str">
        <x:v>DOI_10.1038_s41588-025-02158-6</x:v>
      </x:c>
      <x:c r="F68" t="str">
        <x:v>primary</x:v>
      </x:c>
      <x:c r="G68"/>
      <x:c r="H68"/>
      <x:c r="I68" t="str">
        <x:v>Neuroblasts</x:v>
      </x:c>
      <x:c r="J68"/>
      <x:c r="K68" t="str">
        <x:v>human</x:v>
      </x:c>
      <x:c r="L68" t="str">
        <x:v>true</x:v>
      </x:c>
      <x:c r="M68" t="str">
        <x:v>PHOX2B</x:v>
      </x:c>
      <x:c r="N68" t="str">
        <x:v>PHOX2B</x:v>
      </x:c>
      <x:c r="O68" t="str">
        <x:v>figure_labeled</x:v>
      </x:c>
      <x:c r="P68" t="str">
        <x:v>positive</x:v>
      </x:c>
      <x:c r="Q68" t="str">
        <x:v>formal_candidate</x:v>
      </x:c>
      <x:c r="R68" t="str">
        <x:v>Fig. 1d legend</x:v>
      </x:c>
      <x:c r="S68" t="str">
        <x:v>Dotplot showing the mean expression of marker genes and the percentage of cells expressing them for each annotated cell type</x:v>
      </x:c>
      <x:c r="T68" t="str">
        <x:v>approved</x:v>
      </x:c>
      <x:c r="U68" t="str">
        <x:v>spot_check_original_pdf_review_md</x:v>
      </x:c>
      <x:c r="V68" t="str">
        <x:v>抽查审核：原文Fig. 1d marker dotplot行标签包含PHOX2B，且图注明确该面板展示各注释细胞类型的marker genes；human物种映射正确。</x:v>
      </x:c>
      <x:c r="W68" t="str">
        <x:v>scripts/extract_markers/markers_output_v2/DOI_10.1038_s41588-025-02158-6_review.csv</x:v>
      </x:c>
      <x:c r="X68" t="str">
        <x:v>2026-08-21</x:v>
      </x:c>
    </x:row>
    <x:row r="69">
      <x:c r="A69" t="str">
        <x:v>M00068</x:v>
      </x:c>
      <x:c r="B69" t="n">
        <x:v>31</x:v>
      </x:c>
      <x:c r="C69" t="str">
        <x:v>CELLxGENE:afae4675-434d-4e89-b5ce-2854c9dc38a3</x:v>
      </x:c>
      <x:c r="D69" t="str">
        <x:v>DOI_10.1038_s41588-025-02158-6</x:v>
      </x:c>
      <x:c r="E69" t="str">
        <x:v>DOI_10.1038_s41588-025-02158-6</x:v>
      </x:c>
      <x:c r="F69" t="str">
        <x:v>primary</x:v>
      </x:c>
      <x:c r="G69"/>
      <x:c r="H69"/>
      <x:c r="I69" t="str">
        <x:v>Neuroblasts</x:v>
      </x:c>
      <x:c r="J69"/>
      <x:c r="K69" t="str">
        <x:v>mouse</x:v>
      </x:c>
      <x:c r="L69" t="str">
        <x:v>true</x:v>
      </x:c>
      <x:c r="M69" t="str">
        <x:v>Phox2b</x:v>
      </x:c>
      <x:c r="N69" t="str">
        <x:v>Phox2b</x:v>
      </x:c>
      <x:c r="O69" t="str">
        <x:v>figure_labeled</x:v>
      </x:c>
      <x:c r="P69" t="str">
        <x:v>positive</x:v>
      </x:c>
      <x:c r="Q69" t="str">
        <x:v>formal_candidate</x:v>
      </x:c>
      <x:c r="R69" t="str">
        <x:v>Fig. 5c legend</x:v>
      </x:c>
      <x:c r="S69" t="str">
        <x:v>Dotplot showing the normalized expression levels of marker genes and the percentages of cells expressing them for each annotated cell type</x:v>
      </x:c>
      <x:c r="T69" t="str">
        <x:v>approved</x:v>
      </x:c>
      <x:c r="U69" t="str">
        <x:v>spot_check_original_pdf_review_md</x:v>
      </x:c>
      <x:c r="V69" t="str">
        <x:v>抽查审核：原文Fig. 5c marker dotplot行标签包含Phox2b，且图注明确该面板展示各注释细胞类型的marker genes；mouse物种映射正确。</x:v>
      </x:c>
      <x:c r="W69" t="str">
        <x:v>scripts/extract_markers/markers_output_v2/DOI_10.1038_s41588-025-02158-6_review.csv</x:v>
      </x:c>
      <x:c r="X69" t="str">
        <x:v>2026-08-21</x:v>
      </x:c>
    </x:row>
    <x:row r="70">
      <x:c r="A70" t="str">
        <x:v>M00069</x:v>
      </x:c>
      <x:c r="B70" t="n">
        <x:v>6</x:v>
      </x:c>
      <x:c r="C70" t="str">
        <x:v>CELLxGENE:b61a921b-7fa3-4b42-b455-aaaf32447920</x:v>
      </x:c>
      <x:c r="D70" t="str">
        <x:v>DOI_10.1164_rccm.202207-1384oc</x:v>
      </x:c>
      <x:c r="E70" t="str">
        <x:v>DOI_10.1164_rccm.202207-1384oc</x:v>
      </x:c>
      <x:c r="F70" t="str">
        <x:v>primary</x:v>
      </x:c>
      <x:c r="G70"/>
      <x:c r="H70"/>
      <x:c r="I70" t="str">
        <x:v>Gli</x:v>
      </x:c>
      <x:c r="J70" t="str">
        <x:v>glial / Schwann cell</x:v>
      </x:c>
      <x:c r="K70" t="str">
        <x:v>human</x:v>
      </x:c>
      <x:c r="L70" t="str">
        <x:v>true</x:v>
      </x:c>
      <x:c r="M70" t="str">
        <x:v>CDH19</x:v>
      </x:c>
      <x:c r="N70" t="str">
        <x:v>CDH19</x:v>
      </x:c>
      <x:c r="O70" t="str">
        <x:v>author_declared</x:v>
      </x:c>
      <x:c r="P70" t="str">
        <x:v>positive</x:v>
      </x:c>
      <x:c r="Q70" t="str">
        <x:v>formal_candidate</x:v>
      </x:c>
      <x:c r="R70" t="str">
        <x:v>Results, 'Cellular Diversity along the Proximal–Distal Airway Axis'</x:v>
      </x:c>
      <x:c r="S70" t="str">
        <x:v>Cells expressing markers of neuronal and glial/Schwann cells (Gli; CDH19, MPZ, NRXN1)</x:v>
      </x:c>
      <x:c r="T70" t="str">
        <x:v>approved</x:v>
      </x:c>
      <x:c r="U70" t="str">
        <x:v>spot_check_original_pdf_review_md</x:v>
      </x:c>
      <x:c r="V70" t="str">
        <x:v>抽查审核：review Markdown与原文Results“Cellular Diversity along the Proximal–Distal Airway Axis”一致；Gli明确为CDH19、MPZ、NRXN1。</x:v>
      </x:c>
      <x:c r="W70" t="str">
        <x:v>scripts/extract_markers/markers_output_v2/DOI_10.1164_rccm.202207-1384oc_review.csv</x:v>
      </x:c>
      <x:c r="X70" t="str">
        <x:v>2026-08-21</x:v>
      </x:c>
    </x:row>
    <x:row r="71">
      <x:c r="A71" t="str">
        <x:v>M00070</x:v>
      </x:c>
      <x:c r="B71" t="n">
        <x:v>6</x:v>
      </x:c>
      <x:c r="C71" t="str">
        <x:v>CELLxGENE:b61a921b-7fa3-4b42-b455-aaaf32447920</x:v>
      </x:c>
      <x:c r="D71" t="str">
        <x:v>DOI_10.1164_rccm.202207-1384oc</x:v>
      </x:c>
      <x:c r="E71" t="str">
        <x:v>DOI_10.1164_rccm.202207-1384oc</x:v>
      </x:c>
      <x:c r="F71" t="str">
        <x:v>primary</x:v>
      </x:c>
      <x:c r="G71"/>
      <x:c r="H71"/>
      <x:c r="I71" t="str">
        <x:v>Gli</x:v>
      </x:c>
      <x:c r="J71" t="str">
        <x:v>glial / Schwann cell</x:v>
      </x:c>
      <x:c r="K71" t="str">
        <x:v>human</x:v>
      </x:c>
      <x:c r="L71" t="str">
        <x:v>true</x:v>
      </x:c>
      <x:c r="M71" t="str">
        <x:v>MPZ</x:v>
      </x:c>
      <x:c r="N71" t="str">
        <x:v>MPZ</x:v>
      </x:c>
      <x:c r="O71" t="str">
        <x:v>author_declared</x:v>
      </x:c>
      <x:c r="P71" t="str">
        <x:v>positive</x:v>
      </x:c>
      <x:c r="Q71" t="str">
        <x:v>formal_candidate</x:v>
      </x:c>
      <x:c r="R71" t="str">
        <x:v>Results, 'Cellular Diversity along the Proximal–Distal Airway Axis'</x:v>
      </x:c>
      <x:c r="S71" t="str">
        <x:v>Cells expressing markers of neuronal and glial/Schwann cells (Gli; CDH19, MPZ, NRXN1)</x:v>
      </x:c>
      <x:c r="T71" t="str">
        <x:v>approved</x:v>
      </x:c>
      <x:c r="U71" t="str">
        <x:v>spot_check_original_pdf_review_md</x:v>
      </x:c>
      <x:c r="V71" t="str">
        <x:v>抽查审核：review Markdown与原文Results“Cellular Diversity along the Proximal–Distal Airway Axis”一致；Gli明确为CDH19、MPZ、NRXN1。</x:v>
      </x:c>
      <x:c r="W71" t="str">
        <x:v>scripts/extract_markers/markers_output_v2/DOI_10.1164_rccm.202207-1384oc_review.csv</x:v>
      </x:c>
      <x:c r="X71" t="str">
        <x:v>2026-08-21</x:v>
      </x:c>
    </x:row>
    <x:row r="72">
      <x:c r="A72" t="str">
        <x:v>M00071</x:v>
      </x:c>
      <x:c r="B72" t="n">
        <x:v>6</x:v>
      </x:c>
      <x:c r="C72" t="str">
        <x:v>CELLxGENE:b61a921b-7fa3-4b42-b455-aaaf32447920</x:v>
      </x:c>
      <x:c r="D72" t="str">
        <x:v>DOI_10.1164_rccm.202207-1384oc</x:v>
      </x:c>
      <x:c r="E72" t="str">
        <x:v>DOI_10.1164_rccm.202207-1384oc</x:v>
      </x:c>
      <x:c r="F72" t="str">
        <x:v>primary</x:v>
      </x:c>
      <x:c r="G72"/>
      <x:c r="H72"/>
      <x:c r="I72" t="str">
        <x:v>Gli</x:v>
      </x:c>
      <x:c r="J72" t="str">
        <x:v>glial / Schwann cell</x:v>
      </x:c>
      <x:c r="K72" t="str">
        <x:v>human</x:v>
      </x:c>
      <x:c r="L72" t="str">
        <x:v>true</x:v>
      </x:c>
      <x:c r="M72" t="str">
        <x:v>NRXN1</x:v>
      </x:c>
      <x:c r="N72" t="str">
        <x:v>NRXN1</x:v>
      </x:c>
      <x:c r="O72" t="str">
        <x:v>author_declared</x:v>
      </x:c>
      <x:c r="P72" t="str">
        <x:v>positive</x:v>
      </x:c>
      <x:c r="Q72" t="str">
        <x:v>formal_candidate</x:v>
      </x:c>
      <x:c r="R72" t="str">
        <x:v>Results, 'Cellular Diversity along the Proximal–Distal Airway Axis'</x:v>
      </x:c>
      <x:c r="S72" t="str">
        <x:v>Cells expressing markers of neuronal and glial/Schwann cells (Gli; CDH19, MPZ, NRXN1)</x:v>
      </x:c>
      <x:c r="T72" t="str">
        <x:v>approved</x:v>
      </x:c>
      <x:c r="U72" t="str">
        <x:v>spot_check_original_pdf_review_md</x:v>
      </x:c>
      <x:c r="V72" t="str">
        <x:v>抽查审核：review Markdown与原文Results“Cellular Diversity along the Proximal–Distal Airway Axis”一致；Gli明确为CDH19、MPZ、NRXN1。</x:v>
      </x:c>
      <x:c r="W72" t="str">
        <x:v>scripts/extract_markers/markers_output_v2/DOI_10.1164_rccm.202207-1384oc_review.csv</x:v>
      </x:c>
      <x:c r="X72" t="str">
        <x:v>2026-08-21</x:v>
      </x:c>
    </x:row>
    <x:row r="73">
      <x:c r="A73" t="str">
        <x:v>M00072</x:v>
      </x:c>
      <x:c r="B73" t="n">
        <x:v>21</x:v>
      </x:c>
      <x:c r="C73" t="str">
        <x:v>CELLxGENE:fb5eeccf-3c2a-473c-b6e3-7a1dda18d42d</x:v>
      </x:c>
      <x:c r="D73" t="str">
        <x:v>DOI_10.64898_2025.12.18.695268</x:v>
      </x:c>
      <x:c r="E73" t="str">
        <x:v>DOI_10.64898_2025.12.18.695268</x:v>
      </x:c>
      <x:c r="F73" t="str">
        <x:v>primary</x:v>
      </x:c>
      <x:c r="G73"/>
      <x:c r="H73"/>
      <x:c r="I73" t="str">
        <x:v>nerve cells (nerve bundle)</x:v>
      </x:c>
      <x:c r="J73"/>
      <x:c r="K73" t="str">
        <x:v>human</x:v>
      </x:c>
      <x:c r="L73" t="str">
        <x:v>true</x:v>
      </x:c>
      <x:c r="M73" t="str">
        <x:v>NRXN1</x:v>
      </x:c>
      <x:c r="N73" t="str">
        <x:v>NRXN1</x:v>
      </x:c>
      <x:c r="O73" t="str">
        <x:v>figure_labeled</x:v>
      </x:c>
      <x:c r="P73" t="str">
        <x:v>positive</x:v>
      </x:c>
      <x:c r="Q73" t="str">
        <x:v>formal_candidate</x:v>
      </x:c>
      <x:c r="R73" t="str">
        <x:v>Fig. S3E legend</x:v>
      </x:c>
      <x:c r="S73" t="str">
        <x:v>expression of nerve marker gene (NRXN1)</x:v>
      </x:c>
      <x:c r="T73" t="str">
        <x:v>approved</x:v>
      </x:c>
      <x:c r="U73" t="str">
        <x:v>spot_check_original_pdf_review_md</x:v>
      </x:c>
      <x:c r="V73" t="str">
        <x:v>抽查审核：review Markdown与原文Fig. S3E关联文字一致；nerve bundle中的Schwann cells明确标为NRXN1+。</x:v>
      </x:c>
      <x:c r="W73" t="str">
        <x:v>scripts/extract_markers/markers_output_v2/DOI_10.64898_2025.12.18.695268_review.csv</x:v>
      </x:c>
      <x:c r="X73" t="str">
        <x:v>2026-08-21</x:v>
      </x:c>
    </x:row>
    <x:row r="74">
      <x:c r="A74" t="str">
        <x:v>M00073</x:v>
      </x:c>
      <x:c r="B74" t="n">
        <x:v>38</x:v>
      </x:c>
      <x:c r="C74" t="str">
        <x:v>GSE182098</x:v>
      </x:c>
      <x:c r="D74" t="str">
        <x:v>PMID_35115729</x:v>
      </x:c>
      <x:c r="E74" t="str">
        <x:v>PMID_35115729</x:v>
      </x:c>
      <x:c r="F74" t="str">
        <x:v>primary</x:v>
      </x:c>
      <x:c r="G74"/>
      <x:c r="H74"/>
      <x:c r="I74" t="str">
        <x:v>myelinating Schwann cell (mSC)</x:v>
      </x:c>
      <x:c r="J74" t="str">
        <x:v>cluster 3 (SC-enriched Cldn14/Adamtsl1/Pmp2)</x:v>
      </x:c>
      <x:c r="K74" t="str">
        <x:v>mouse</x:v>
      </x:c>
      <x:c r="L74" t="str">
        <x:v>true</x:v>
      </x:c>
      <x:c r="M74" t="str">
        <x:v>Adamtsl1</x:v>
      </x:c>
      <x:c r="N74" t="str">
        <x:v>Adamtsl1</x:v>
      </x:c>
      <x:c r="O74" t="str">
        <x:v>author_declared</x:v>
      </x:c>
      <x:c r="P74" t="str">
        <x:v>positive</x:v>
      </x:c>
      <x:c r="Q74" t="str">
        <x:v>formal_candidate</x:v>
      </x:c>
      <x:c r="R74" t="str">
        <x:v>Results p.5, Fig. 4a</x:v>
      </x:c>
      <x:c r="S74" t="str">
        <x:v>cluster 3, which is defined by co-expression of the integral membrane protein Cldn14, the secreted protein Adamtsl1, and the myelin protein Pmp2</x:v>
      </x:c>
      <x:c r="T74" t="str">
        <x:v>approved</x:v>
      </x:c>
      <x:c r="U74" t="str">
        <x:v>spot_check_original_pdf_review_md</x:v>
      </x:c>
      <x:c r="V74" t="str">
        <x:v>抽查审核：review Markdown与原文Results p.5/Fig. 4a一致；cluster 3由Cldn14、Adamtsl1、Pmp2共表达定义。</x:v>
      </x:c>
      <x:c r="W74" t="str">
        <x:v>scripts/extract_markers/markers_output_v2/PMID_35115729_review.csv</x:v>
      </x:c>
      <x:c r="X74" t="str">
        <x:v>2026-08-21</x:v>
      </x:c>
    </x:row>
    <x:row r="75">
      <x:c r="A75" t="str">
        <x:v>M00074</x:v>
      </x:c>
      <x:c r="B75" t="n">
        <x:v>38</x:v>
      </x:c>
      <x:c r="C75" t="str">
        <x:v>GSE182098</x:v>
      </x:c>
      <x:c r="D75" t="str">
        <x:v>PMID_35115729</x:v>
      </x:c>
      <x:c r="E75" t="str">
        <x:v>PMID_35115729</x:v>
      </x:c>
      <x:c r="F75" t="str">
        <x:v>primary</x:v>
      </x:c>
      <x:c r="G75"/>
      <x:c r="H75"/>
      <x:c r="I75" t="str">
        <x:v>myelinating Schwann cell (mSC)</x:v>
      </x:c>
      <x:c r="J75" t="str">
        <x:v>cluster 3 (SC-enriched Cldn14/Adamtsl1/Pmp2)</x:v>
      </x:c>
      <x:c r="K75" t="str">
        <x:v>mouse</x:v>
      </x:c>
      <x:c r="L75" t="str">
        <x:v>true</x:v>
      </x:c>
      <x:c r="M75" t="str">
        <x:v>Cldn14</x:v>
      </x:c>
      <x:c r="N75" t="str">
        <x:v>Cldn14</x:v>
      </x:c>
      <x:c r="O75" t="str">
        <x:v>author_declared</x:v>
      </x:c>
      <x:c r="P75" t="str">
        <x:v>positive</x:v>
      </x:c>
      <x:c r="Q75" t="str">
        <x:v>formal_candidate</x:v>
      </x:c>
      <x:c r="R75" t="str">
        <x:v>Results p.5, Fig. 4a</x:v>
      </x:c>
      <x:c r="S75" t="str">
        <x:v>cluster 3, which is defined by co-expression of the integral membrane protein Cldn14, the secreted protein Adamtsl1, and the myelin protein Pmp2</x:v>
      </x:c>
      <x:c r="T75" t="str">
        <x:v>approved</x:v>
      </x:c>
      <x:c r="U75" t="str">
        <x:v>spot_check_original_pdf_review_md</x:v>
      </x:c>
      <x:c r="V75" t="str">
        <x:v>抽查审核：review Markdown与原文Results p.5/Fig. 4a一致；cluster 3由Cldn14、Adamtsl1、Pmp2共表达定义。</x:v>
      </x:c>
      <x:c r="W75" t="str">
        <x:v>scripts/extract_markers/markers_output_v2/PMID_35115729_review.csv</x:v>
      </x:c>
      <x:c r="X75" t="str">
        <x:v>2026-08-21</x:v>
      </x:c>
    </x:row>
    <x:row r="76">
      <x:c r="A76" t="str">
        <x:v>M00075</x:v>
      </x:c>
      <x:c r="B76" t="n">
        <x:v>38</x:v>
      </x:c>
      <x:c r="C76" t="str">
        <x:v>GSE182098</x:v>
      </x:c>
      <x:c r="D76" t="str">
        <x:v>PMID_35115729</x:v>
      </x:c>
      <x:c r="E76" t="str">
        <x:v>PMID_35115729</x:v>
      </x:c>
      <x:c r="F76" t="str">
        <x:v>primary</x:v>
      </x:c>
      <x:c r="G76"/>
      <x:c r="H76"/>
      <x:c r="I76" t="str">
        <x:v>myelinating Schwann cell (mSC)</x:v>
      </x:c>
      <x:c r="J76" t="str">
        <x:v>cluster 3 (SC-enriched Cldn14/Adamtsl1/Pmp2)</x:v>
      </x:c>
      <x:c r="K76" t="str">
        <x:v>mouse</x:v>
      </x:c>
      <x:c r="L76" t="str">
        <x:v>true</x:v>
      </x:c>
      <x:c r="M76" t="str">
        <x:v>Pmp2</x:v>
      </x:c>
      <x:c r="N76" t="str">
        <x:v>Pmp2</x:v>
      </x:c>
      <x:c r="O76" t="str">
        <x:v>author_declared</x:v>
      </x:c>
      <x:c r="P76" t="str">
        <x:v>positive</x:v>
      </x:c>
      <x:c r="Q76" t="str">
        <x:v>formal_candidate</x:v>
      </x:c>
      <x:c r="R76" t="str">
        <x:v>Results p.5, Fig. 4a</x:v>
      </x:c>
      <x:c r="S76" t="str">
        <x:v>cluster 3, which is defined by co-expression of the integral membrane protein Cldn14, the secreted protein Adamtsl1, and the myelin protein Pmp2</x:v>
      </x:c>
      <x:c r="T76" t="str">
        <x:v>approved</x:v>
      </x:c>
      <x:c r="U76" t="str">
        <x:v>spot_check_original_pdf_review_md</x:v>
      </x:c>
      <x:c r="V76" t="str">
        <x:v>抽查审核：review Markdown与原文Results p.5/Fig. 4a一致；cluster 3由Cldn14、Adamtsl1、Pmp2共表达定义。</x:v>
      </x:c>
      <x:c r="W76" t="str">
        <x:v>scripts/extract_markers/markers_output_v2/PMID_35115729_review.csv</x:v>
      </x:c>
      <x:c r="X76" t="str">
        <x:v>2026-08-21</x:v>
      </x:c>
    </x:row>
    <x:row r="77">
      <x:c r="A77" t="str">
        <x:v>M00076</x:v>
      </x:c>
      <x:c r="B77" t="n">
        <x:v>38</x:v>
      </x:c>
      <x:c r="C77" t="str">
        <x:v>GSE182098</x:v>
      </x:c>
      <x:c r="D77" t="str">
        <x:v>PMID_35115729</x:v>
      </x:c>
      <x:c r="E77" t="str">
        <x:v>PMID_35115729</x:v>
      </x:c>
      <x:c r="F77" t="str">
        <x:v>primary</x:v>
      </x:c>
      <x:c r="G77"/>
      <x:c r="H77"/>
      <x:c r="I77" t="str">
        <x:v>non-myelinating Schwann cell (nmSC)</x:v>
      </x:c>
      <x:c r="J77"/>
      <x:c r="K77" t="str">
        <x:v>mouse</x:v>
      </x:c>
      <x:c r="L77" t="str">
        <x:v>true</x:v>
      </x:c>
      <x:c r="M77" t="str">
        <x:v>Csmd1</x:v>
      </x:c>
      <x:c r="N77" t="str">
        <x:v>Csmd1</x:v>
      </x:c>
      <x:c r="O77" t="str">
        <x:v>author_declared</x:v>
      </x:c>
      <x:c r="P77" t="str">
        <x:v>positive</x:v>
      </x:c>
      <x:c r="Q77" t="str">
        <x:v>formal_candidate</x:v>
      </x:c>
      <x:c r="R77" t="str">
        <x:v>Results p.2, Fig. 1e-f</x:v>
      </x:c>
      <x:c r="S77" t="str">
        <x:v>nmSCs, marked by canonical markers such as Ncam1 and Slc35f1, as well as additional markers Scn7a and Csmd1</x:v>
      </x:c>
      <x:c r="T77" t="str">
        <x:v>approved</x:v>
      </x:c>
      <x:c r="U77" t="str">
        <x:v>spot_check_original_pdf_review_md</x:v>
      </x:c>
      <x:c r="V77" t="str">
        <x:v>抽查审核：review Markdown与原文Results p.2/Fig. 1e-f一致；nmSC明确由Ncam1、Slc35f1及附加marker Scn7a、Csmd1标记。</x:v>
      </x:c>
      <x:c r="W77" t="str">
        <x:v>scripts/extract_markers/markers_output_v2/PMID_35115729_review.csv</x:v>
      </x:c>
      <x:c r="X77" t="str">
        <x:v>2026-08-21</x:v>
      </x:c>
    </x:row>
    <x:row r="78">
      <x:c r="A78" t="str">
        <x:v>M00077</x:v>
      </x:c>
      <x:c r="B78" t="n">
        <x:v>38</x:v>
      </x:c>
      <x:c r="C78" t="str">
        <x:v>GSE182098</x:v>
      </x:c>
      <x:c r="D78" t="str">
        <x:v>PMID_35115729</x:v>
      </x:c>
      <x:c r="E78" t="str">
        <x:v>PMID_35115729</x:v>
      </x:c>
      <x:c r="F78" t="str">
        <x:v>primary</x:v>
      </x:c>
      <x:c r="G78"/>
      <x:c r="H78"/>
      <x:c r="I78" t="str">
        <x:v>non-myelinating Schwann cell (nmSC)</x:v>
      </x:c>
      <x:c r="J78"/>
      <x:c r="K78" t="str">
        <x:v>mouse</x:v>
      </x:c>
      <x:c r="L78" t="str">
        <x:v>true</x:v>
      </x:c>
      <x:c r="M78" t="str">
        <x:v>Dbi</x:v>
      </x:c>
      <x:c r="N78" t="str">
        <x:v>Dbi</x:v>
      </x:c>
      <x:c r="O78" t="str">
        <x:v>author_declared</x:v>
      </x:c>
      <x:c r="P78" t="str">
        <x:v>positive</x:v>
      </x:c>
      <x:c r="Q78" t="str">
        <x:v>formal_candidate</x:v>
      </x:c>
      <x:c r="R78" t="str">
        <x:v>Results p.5, Fig. 4c</x:v>
      </x:c>
      <x:c r="S78" t="str">
        <x:v>nmSC markers identified by peripheral nerve snRNAseq, including Scn7a, Prnp, Dbi, and Marcks</x:v>
      </x:c>
      <x:c r="T78" t="str">
        <x:v>approved</x:v>
      </x:c>
      <x:c r="U78" t="str">
        <x:v>spot_check_original_pdf_review_md</x:v>
      </x:c>
      <x:c r="V78" t="str">
        <x:v>抽查审核：review Markdown与原文Results p.5/Fig. 4c一致；作者明确称Dbi为nmSC marker。</x:v>
      </x:c>
      <x:c r="W78" t="str">
        <x:v>scripts/extract_markers/markers_output_v2/PMID_35115729_review.csv</x:v>
      </x:c>
      <x:c r="X78" t="str">
        <x:v>2026-08-21</x:v>
      </x:c>
    </x:row>
    <x:row r="79">
      <x:c r="A79" t="str">
        <x:v>M00078</x:v>
      </x:c>
      <x:c r="B79" t="n">
        <x:v>38</x:v>
      </x:c>
      <x:c r="C79" t="str">
        <x:v>GSE182098</x:v>
      </x:c>
      <x:c r="D79" t="str">
        <x:v>PMID_35115729</x:v>
      </x:c>
      <x:c r="E79" t="str">
        <x:v>PMID_35115729</x:v>
      </x:c>
      <x:c r="F79" t="str">
        <x:v>primary</x:v>
      </x:c>
      <x:c r="G79"/>
      <x:c r="H79"/>
      <x:c r="I79" t="str">
        <x:v>non-myelinating Schwann cell (nmSC)</x:v>
      </x:c>
      <x:c r="J79"/>
      <x:c r="K79" t="str">
        <x:v>mouse</x:v>
      </x:c>
      <x:c r="L79" t="str">
        <x:v>true</x:v>
      </x:c>
      <x:c r="M79" t="str">
        <x:v>Marcks</x:v>
      </x:c>
      <x:c r="N79" t="str">
        <x:v>Marcks</x:v>
      </x:c>
      <x:c r="O79" t="str">
        <x:v>author_declared</x:v>
      </x:c>
      <x:c r="P79" t="str">
        <x:v>positive</x:v>
      </x:c>
      <x:c r="Q79" t="str">
        <x:v>formal_candidate</x:v>
      </x:c>
      <x:c r="R79" t="str">
        <x:v>Results p.5, Fig. 4c</x:v>
      </x:c>
      <x:c r="S79" t="str">
        <x:v>nmSC markers identified by peripheral nerve snRNAseq, including Scn7a, Prnp, Dbi, and Marcks</x:v>
      </x:c>
      <x:c r="T79" t="str">
        <x:v>approved</x:v>
      </x:c>
      <x:c r="U79" t="str">
        <x:v>spot_check_original_pdf_review_md</x:v>
      </x:c>
      <x:c r="V79" t="str">
        <x:v>抽查审核：review Markdown与原文Results p.5/Fig. 4c一致；作者明确称Marcks为nmSC marker。</x:v>
      </x:c>
      <x:c r="W79" t="str">
        <x:v>scripts/extract_markers/markers_output_v2/PMID_35115729_review.csv</x:v>
      </x:c>
      <x:c r="X79" t="str">
        <x:v>2026-08-21</x:v>
      </x:c>
    </x:row>
    <x:row r="80">
      <x:c r="A80" t="str">
        <x:v>M00079</x:v>
      </x:c>
      <x:c r="B80" t="n">
        <x:v>38</x:v>
      </x:c>
      <x:c r="C80" t="str">
        <x:v>GSE182098</x:v>
      </x:c>
      <x:c r="D80" t="str">
        <x:v>PMID_35115729</x:v>
      </x:c>
      <x:c r="E80" t="str">
        <x:v>PMID_35115729</x:v>
      </x:c>
      <x:c r="F80" t="str">
        <x:v>primary</x:v>
      </x:c>
      <x:c r="G80"/>
      <x:c r="H80"/>
      <x:c r="I80" t="str">
        <x:v>non-myelinating Schwann cell (nmSC)</x:v>
      </x:c>
      <x:c r="J80" t="str">
        <x:v>cluster 5</x:v>
      </x:c>
      <x:c r="K80" t="str">
        <x:v>mouse</x:v>
      </x:c>
      <x:c r="L80" t="str">
        <x:v>true</x:v>
      </x:c>
      <x:c r="M80" t="str">
        <x:v>Marcks</x:v>
      </x:c>
      <x:c r="N80" t="str">
        <x:v>Marcks</x:v>
      </x:c>
      <x:c r="O80" t="str">
        <x:v>author_declared</x:v>
      </x:c>
      <x:c r="P80" t="str">
        <x:v>positive</x:v>
      </x:c>
      <x:c r="Q80" t="str">
        <x:v>formal_candidate</x:v>
      </x:c>
      <x:c r="R80" t="str">
        <x:v>Results p.5, Fig. 4a</x:v>
      </x:c>
      <x:c r="S80" t="str">
        <x:v>cluster 5 expressing additional unique markers including Marcks and Prnp</x:v>
      </x:c>
      <x:c r="T80" t="str">
        <x:v>approved</x:v>
      </x:c>
      <x:c r="U80" t="str">
        <x:v>spot_check_original_pdf_review_md</x:v>
      </x:c>
      <x:c r="V80" t="str">
        <x:v>抽查审核：review Markdown与原文Results p.5/Fig. 4a一致；cluster 5明确表达独特marker Marcks、Prnp。</x:v>
      </x:c>
      <x:c r="W80" t="str">
        <x:v>scripts/extract_markers/markers_output_v2/PMID_35115729_review.csv</x:v>
      </x:c>
      <x:c r="X80" t="str">
        <x:v>2026-08-21</x:v>
      </x:c>
    </x:row>
    <x:row r="81">
      <x:c r="A81" t="str">
        <x:v>M00080</x:v>
      </x:c>
      <x:c r="B81" t="n">
        <x:v>38</x:v>
      </x:c>
      <x:c r="C81" t="str">
        <x:v>GSE182098</x:v>
      </x:c>
      <x:c r="D81" t="str">
        <x:v>PMID_35115729</x:v>
      </x:c>
      <x:c r="E81" t="str">
        <x:v>PMID_35115729</x:v>
      </x:c>
      <x:c r="F81" t="str">
        <x:v>primary</x:v>
      </x:c>
      <x:c r="G81"/>
      <x:c r="H81"/>
      <x:c r="I81" t="str">
        <x:v>non-myelinating Schwann cell (nmSC)</x:v>
      </x:c>
      <x:c r="J81"/>
      <x:c r="K81" t="str">
        <x:v>mouse</x:v>
      </x:c>
      <x:c r="L81" t="str">
        <x:v>true</x:v>
      </x:c>
      <x:c r="M81" t="str">
        <x:v>Ncam1</x:v>
      </x:c>
      <x:c r="N81" t="str">
        <x:v>Ncam1</x:v>
      </x:c>
      <x:c r="O81" t="str">
        <x:v>author_declared</x:v>
      </x:c>
      <x:c r="P81" t="str">
        <x:v>positive</x:v>
      </x:c>
      <x:c r="Q81" t="str">
        <x:v>formal_candidate</x:v>
      </x:c>
      <x:c r="R81" t="str">
        <x:v>Results p.2, Fig. 1e-f</x:v>
      </x:c>
      <x:c r="S81" t="str">
        <x:v>nmSCs, marked by canonical markers such as Ncam1 and Slc35f1, as well as additional markers Scn7a and Csmd1</x:v>
      </x:c>
      <x:c r="T81" t="str">
        <x:v>approved</x:v>
      </x:c>
      <x:c r="U81" t="str">
        <x:v>spot_check_original_pdf_review_md</x:v>
      </x:c>
      <x:c r="V81" t="str">
        <x:v>抽查审核：review Markdown与原文Results p.2/Fig. 1e-f一致；作者明确称Ncam1为nmSC canonical marker。</x:v>
      </x:c>
      <x:c r="W81" t="str">
        <x:v>scripts/extract_markers/markers_output_v2/PMID_35115729_review.csv</x:v>
      </x:c>
      <x:c r="X81" t="str">
        <x:v>2026-08-21</x:v>
      </x:c>
    </x:row>
    <x:row r="82">
      <x:c r="A82" t="str">
        <x:v>M00081</x:v>
      </x:c>
      <x:c r="B82" t="n">
        <x:v>38</x:v>
      </x:c>
      <x:c r="C82" t="str">
        <x:v>GSE182098</x:v>
      </x:c>
      <x:c r="D82" t="str">
        <x:v>PMID_35115729</x:v>
      </x:c>
      <x:c r="E82" t="str">
        <x:v>PMID_35115729</x:v>
      </x:c>
      <x:c r="F82" t="str">
        <x:v>primary</x:v>
      </x:c>
      <x:c r="G82"/>
      <x:c r="H82"/>
      <x:c r="I82" t="str">
        <x:v>non-myelinating Schwann cell (nmSC)</x:v>
      </x:c>
      <x:c r="J82"/>
      <x:c r="K82" t="str">
        <x:v>mouse</x:v>
      </x:c>
      <x:c r="L82" t="str">
        <x:v>true</x:v>
      </x:c>
      <x:c r="M82" t="str">
        <x:v>Ngfr</x:v>
      </x:c>
      <x:c r="N82" t="str">
        <x:v>Ngfr</x:v>
      </x:c>
      <x:c r="O82" t="str">
        <x:v>author_declared</x:v>
      </x:c>
      <x:c r="P82" t="str">
        <x:v>positive</x:v>
      </x:c>
      <x:c r="Q82" t="str">
        <x:v>formal_candidate</x:v>
      </x:c>
      <x:c r="R82" t="str">
        <x:v>Results p.4, Fig. 2c</x:v>
      </x:c>
      <x:c r="S82" t="str">
        <x:v>EFs express the fibroblast marker Pdgfra as well as the stem cell markers Cd34 and nmSC marker Ngfr</x:v>
      </x:c>
      <x:c r="T82" t="str">
        <x:v>approved</x:v>
      </x:c>
      <x:c r="U82" t="str">
        <x:v>spot_check_original_pdf_review_md</x:v>
      </x:c>
      <x:c r="V82" t="str">
        <x:v>抽查审核：review Markdown与原文Results p.4/Fig. 2c一致；作者明确称Ngfr为nmSC marker。该记录保留nmSC归属，未误归为EF。</x:v>
      </x:c>
      <x:c r="W82" t="str">
        <x:v>scripts/extract_markers/markers_output_v2/PMID_35115729_review.csv</x:v>
      </x:c>
      <x:c r="X82" t="str">
        <x:v>2026-08-21</x:v>
      </x:c>
    </x:row>
    <x:row r="83">
      <x:c r="A83" t="str">
        <x:v>M00082</x:v>
      </x:c>
      <x:c r="B83" t="n">
        <x:v>38</x:v>
      </x:c>
      <x:c r="C83" t="str">
        <x:v>GSE182098</x:v>
      </x:c>
      <x:c r="D83" t="str">
        <x:v>PMID_35115729</x:v>
      </x:c>
      <x:c r="E83" t="str">
        <x:v>PMID_35115729</x:v>
      </x:c>
      <x:c r="F83" t="str">
        <x:v>primary</x:v>
      </x:c>
      <x:c r="G83"/>
      <x:c r="H83"/>
      <x:c r="I83" t="str">
        <x:v>non-myelinating Schwann cell (nmSC)</x:v>
      </x:c>
      <x:c r="J83"/>
      <x:c r="K83" t="str">
        <x:v>mouse</x:v>
      </x:c>
      <x:c r="L83" t="str">
        <x:v>true</x:v>
      </x:c>
      <x:c r="M83" t="str">
        <x:v>Prnp</x:v>
      </x:c>
      <x:c r="N83" t="str">
        <x:v>Prnp</x:v>
      </x:c>
      <x:c r="O83" t="str">
        <x:v>author_declared</x:v>
      </x:c>
      <x:c r="P83" t="str">
        <x:v>positive</x:v>
      </x:c>
      <x:c r="Q83" t="str">
        <x:v>formal_candidate</x:v>
      </x:c>
      <x:c r="R83" t="str">
        <x:v>Results p.5, Fig. 4c</x:v>
      </x:c>
      <x:c r="S83" t="str">
        <x:v>nmSC markers identified by peripheral nerve snRNAseq, including Scn7a, Prnp, Dbi, and Marcks</x:v>
      </x:c>
      <x:c r="T83" t="str">
        <x:v>approved</x:v>
      </x:c>
      <x:c r="U83" t="str">
        <x:v>spot_check_original_pdf_review_md</x:v>
      </x:c>
      <x:c r="V83" t="str">
        <x:v>抽查审核：review Markdown与原文Results p.5/Fig. 4c一致；作者明确称Prnp为nmSC marker。</x:v>
      </x:c>
      <x:c r="W83" t="str">
        <x:v>scripts/extract_markers/markers_output_v2/PMID_35115729_review.csv</x:v>
      </x:c>
      <x:c r="X83" t="str">
        <x:v>2026-08-21</x:v>
      </x:c>
    </x:row>
    <x:row r="84">
      <x:c r="A84" t="str">
        <x:v>M00083</x:v>
      </x:c>
      <x:c r="B84" t="n">
        <x:v>38</x:v>
      </x:c>
      <x:c r="C84" t="str">
        <x:v>GSE182098</x:v>
      </x:c>
      <x:c r="D84" t="str">
        <x:v>PMID_35115729</x:v>
      </x:c>
      <x:c r="E84" t="str">
        <x:v>PMID_35115729</x:v>
      </x:c>
      <x:c r="F84" t="str">
        <x:v>primary</x:v>
      </x:c>
      <x:c r="G84"/>
      <x:c r="H84"/>
      <x:c r="I84" t="str">
        <x:v>non-myelinating Schwann cell (nmSC)</x:v>
      </x:c>
      <x:c r="J84" t="str">
        <x:v>cluster 5</x:v>
      </x:c>
      <x:c r="K84" t="str">
        <x:v>mouse</x:v>
      </x:c>
      <x:c r="L84" t="str">
        <x:v>true</x:v>
      </x:c>
      <x:c r="M84" t="str">
        <x:v>Prnp</x:v>
      </x:c>
      <x:c r="N84" t="str">
        <x:v>Prnp</x:v>
      </x:c>
      <x:c r="O84" t="str">
        <x:v>author_declared</x:v>
      </x:c>
      <x:c r="P84" t="str">
        <x:v>positive</x:v>
      </x:c>
      <x:c r="Q84" t="str">
        <x:v>formal_candidate</x:v>
      </x:c>
      <x:c r="R84" t="str">
        <x:v>Results p.5, Fig. 4a</x:v>
      </x:c>
      <x:c r="S84" t="str">
        <x:v>cluster 5 expressing additional unique markers including Marcks and Prnp</x:v>
      </x:c>
      <x:c r="T84" t="str">
        <x:v>approved</x:v>
      </x:c>
      <x:c r="U84" t="str">
        <x:v>spot_check_original_pdf_review_md</x:v>
      </x:c>
      <x:c r="V84" t="str">
        <x:v>抽查审核：review Markdown与原文Results p.5/Fig. 4a一致；cluster 5明确表达独特marker Marcks、Prnp。</x:v>
      </x:c>
      <x:c r="W84" t="str">
        <x:v>scripts/extract_markers/markers_output_v2/PMID_35115729_review.csv</x:v>
      </x:c>
      <x:c r="X84" t="str">
        <x:v>2026-08-21</x:v>
      </x:c>
    </x:row>
    <x:row r="85">
      <x:c r="A85" t="str">
        <x:v>M00084</x:v>
      </x:c>
      <x:c r="B85" t="n">
        <x:v>38</x:v>
      </x:c>
      <x:c r="C85" t="str">
        <x:v>GSE182098</x:v>
      </x:c>
      <x:c r="D85" t="str">
        <x:v>PMID_35115729</x:v>
      </x:c>
      <x:c r="E85" t="str">
        <x:v>PMID_35115729</x:v>
      </x:c>
      <x:c r="F85" t="str">
        <x:v>primary</x:v>
      </x:c>
      <x:c r="G85"/>
      <x:c r="H85"/>
      <x:c r="I85" t="str">
        <x:v>non-myelinating Schwann cell (nmSC)</x:v>
      </x:c>
      <x:c r="J85"/>
      <x:c r="K85" t="str">
        <x:v>mouse</x:v>
      </x:c>
      <x:c r="L85" t="str">
        <x:v>true</x:v>
      </x:c>
      <x:c r="M85" t="str">
        <x:v>Scn7a</x:v>
      </x:c>
      <x:c r="N85" t="str">
        <x:v>Scn7a</x:v>
      </x:c>
      <x:c r="O85" t="str">
        <x:v>author_declared</x:v>
      </x:c>
      <x:c r="P85" t="str">
        <x:v>positive</x:v>
      </x:c>
      <x:c r="Q85" t="str">
        <x:v>formal_candidate</x:v>
      </x:c>
      <x:c r="R85" t="str">
        <x:v>Results p.2, Fig. 1e-f</x:v>
      </x:c>
      <x:c r="S85" t="str">
        <x:v>nmSCs, marked by canonical markers such as Ncam1 and Slc35f1, as well as additional markers Scn7a and Csmd1</x:v>
      </x:c>
      <x:c r="T85" t="str">
        <x:v>approved</x:v>
      </x:c>
      <x:c r="U85" t="str">
        <x:v>spot_check_original_pdf_review_md</x:v>
      </x:c>
      <x:c r="V85" t="str">
        <x:v>抽查审核：review Markdown与原文Results p.2/Fig. 1e-f一致；作者明确称Scn7a为nmSC additional marker，并在正文称其为useful marker。</x:v>
      </x:c>
      <x:c r="W85" t="str">
        <x:v>scripts/extract_markers/markers_output_v2/PMID_35115729_review.csv</x:v>
      </x:c>
      <x:c r="X85" t="str">
        <x:v>2026-08-21</x:v>
      </x:c>
    </x:row>
    <x:row r="86">
      <x:c r="A86" t="str">
        <x:v>M00085</x:v>
      </x:c>
      <x:c r="B86" t="n">
        <x:v>38</x:v>
      </x:c>
      <x:c r="C86" t="str">
        <x:v>GSE182098</x:v>
      </x:c>
      <x:c r="D86" t="str">
        <x:v>PMID_35115729</x:v>
      </x:c>
      <x:c r="E86" t="str">
        <x:v>PMID_35115729</x:v>
      </x:c>
      <x:c r="F86" t="str">
        <x:v>primary</x:v>
      </x:c>
      <x:c r="G86"/>
      <x:c r="H86"/>
      <x:c r="I86" t="str">
        <x:v>non-myelinating Schwann cell (nmSC)</x:v>
      </x:c>
      <x:c r="J86"/>
      <x:c r="K86" t="str">
        <x:v>mouse</x:v>
      </x:c>
      <x:c r="L86" t="str">
        <x:v>true</x:v>
      </x:c>
      <x:c r="M86" t="str">
        <x:v>Slc35f1</x:v>
      </x:c>
      <x:c r="N86" t="str">
        <x:v>Slc35f1</x:v>
      </x:c>
      <x:c r="O86" t="str">
        <x:v>author_declared</x:v>
      </x:c>
      <x:c r="P86" t="str">
        <x:v>positive</x:v>
      </x:c>
      <x:c r="Q86" t="str">
        <x:v>formal_candidate</x:v>
      </x:c>
      <x:c r="R86" t="str">
        <x:v>Results p.2, Fig. 1e-f</x:v>
      </x:c>
      <x:c r="S86" t="str">
        <x:v>nmSCs, marked by canonical markers such as Ncam1 and Slc35f1, as well as additional markers Scn7a and Csmd1</x:v>
      </x:c>
      <x:c r="T86" t="str">
        <x:v>approved</x:v>
      </x:c>
      <x:c r="U86" t="str">
        <x:v>spot_check_original_pdf_review_md</x:v>
      </x:c>
      <x:c r="V86" t="str">
        <x:v>抽查审核：review Markdown与原文Results p.2/Fig. 1e-f一致；作者明确称Slc35f1为nmSC canonical marker。</x:v>
      </x:c>
      <x:c r="W86" t="str">
        <x:v>scripts/extract_markers/markers_output_v2/PMID_35115729_review.csv</x:v>
      </x:c>
      <x:c r="X86" t="str">
        <x:v>2026-08-21</x:v>
      </x:c>
    </x:row>
    <x:row r="87">
      <x:c r="A87" t="str">
        <x:v>M00086</x:v>
      </x:c>
      <x:c r="B87" t="n">
        <x:v>38</x:v>
      </x:c>
      <x:c r="C87" t="str">
        <x:v>GSE182098</x:v>
      </x:c>
      <x:c r="D87" t="str">
        <x:v>PMID_35115729</x:v>
      </x:c>
      <x:c r="E87" t="str">
        <x:v>PMID_35115729</x:v>
      </x:c>
      <x:c r="F87" t="str">
        <x:v>primary</x:v>
      </x:c>
      <x:c r="G87"/>
      <x:c r="H87"/>
      <x:c r="I87" t="str">
        <x:v>Schwann cell</x:v>
      </x:c>
      <x:c r="J87" t="str">
        <x:v>myelinating-SC</x:v>
      </x:c>
      <x:c r="K87" t="str">
        <x:v>mouse</x:v>
      </x:c>
      <x:c r="L87" t="str">
        <x:v>true</x:v>
      </x:c>
      <x:c r="M87" t="str">
        <x:v>Adamtsl1</x:v>
      </x:c>
      <x:c r="N87" t="str">
        <x:v>Adamtsl1</x:v>
      </x:c>
      <x:c r="O87" t="str">
        <x:v>annotation_marker</x:v>
      </x:c>
      <x:c r="P87" t="str">
        <x:v>positive</x:v>
      </x:c>
      <x:c r="Q87" t="str">
        <x:v>formal_candidate</x:v>
      </x:c>
      <x:c r="R87" t="str">
        <x:v>Abstract</x:v>
      </x:c>
      <x:c r="S87" t="str">
        <x:v>We identified a distinct myelinating-SC subtype that expresses Cldn14, Adamtsl1, and Pmp2</x:v>
      </x:c>
      <x:c r="T87" t="str">
        <x:v>approved</x:v>
      </x:c>
      <x:c r="U87" t="str">
        <x:v>spot_check_original_pdf_review_md</x:v>
      </x:c>
      <x:c r="V87" t="str">
        <x:v>抽查审核：review Markdown与原文Abstract一致；distinct myelinating-SC subtype明确表达Cldn14、Adamtsl1、Pmp2。</x:v>
      </x:c>
      <x:c r="W87" t="str">
        <x:v>scripts/extract_markers/markers_output_v2/PMID_35115729_review.csv</x:v>
      </x:c>
      <x:c r="X87" t="str">
        <x:v>2026-08-21</x:v>
      </x:c>
    </x:row>
    <x:row r="88">
      <x:c r="A88" t="str">
        <x:v>M00087</x:v>
      </x:c>
      <x:c r="B88" t="n">
        <x:v>38</x:v>
      </x:c>
      <x:c r="C88" t="str">
        <x:v>GSE182098</x:v>
      </x:c>
      <x:c r="D88" t="str">
        <x:v>PMID_35115729</x:v>
      </x:c>
      <x:c r="E88" t="str">
        <x:v>PMID_35115729</x:v>
      </x:c>
      <x:c r="F88" t="str">
        <x:v>primary</x:v>
      </x:c>
      <x:c r="G88"/>
      <x:c r="H88"/>
      <x:c r="I88" t="str">
        <x:v>Schwann cell</x:v>
      </x:c>
      <x:c r="J88" t="str">
        <x:v>myelinating-SC</x:v>
      </x:c>
      <x:c r="K88" t="str">
        <x:v>mouse</x:v>
      </x:c>
      <x:c r="L88" t="str">
        <x:v>true</x:v>
      </x:c>
      <x:c r="M88" t="str">
        <x:v>Cldn14</x:v>
      </x:c>
      <x:c r="N88" t="str">
        <x:v>Cldn14</x:v>
      </x:c>
      <x:c r="O88" t="str">
        <x:v>annotation_marker</x:v>
      </x:c>
      <x:c r="P88" t="str">
        <x:v>positive</x:v>
      </x:c>
      <x:c r="Q88" t="str">
        <x:v>formal_candidate</x:v>
      </x:c>
      <x:c r="R88" t="str">
        <x:v>Abstract</x:v>
      </x:c>
      <x:c r="S88" t="str">
        <x:v>We identified a distinct myelinating-SC subtype that expresses Cldn14, Adamtsl1, and Pmp2</x:v>
      </x:c>
      <x:c r="T88" t="str">
        <x:v>approved</x:v>
      </x:c>
      <x:c r="U88" t="str">
        <x:v>spot_check_original_pdf_review_md</x:v>
      </x:c>
      <x:c r="V88" t="str">
        <x:v>抽查审核：review Markdown与原文Abstract一致；distinct myelinating-SC subtype明确表达Cldn14、Adamtsl1、Pmp2。</x:v>
      </x:c>
      <x:c r="W88" t="str">
        <x:v>scripts/extract_markers/markers_output_v2/PMID_35115729_review.csv</x:v>
      </x:c>
      <x:c r="X88" t="str">
        <x:v>2026-08-21</x:v>
      </x:c>
    </x:row>
    <x:row r="89">
      <x:c r="A89" t="str">
        <x:v>M00088</x:v>
      </x:c>
      <x:c r="B89" t="n">
        <x:v>38</x:v>
      </x:c>
      <x:c r="C89" t="str">
        <x:v>GSE182098</x:v>
      </x:c>
      <x:c r="D89" t="str">
        <x:v>PMID_35115729</x:v>
      </x:c>
      <x:c r="E89" t="str">
        <x:v>PMID_35115729</x:v>
      </x:c>
      <x:c r="F89" t="str">
        <x:v>primary</x:v>
      </x:c>
      <x:c r="G89"/>
      <x:c r="H89"/>
      <x:c r="I89" t="str">
        <x:v>Schwann cell</x:v>
      </x:c>
      <x:c r="J89" t="str">
        <x:v>myelinating-SC</x:v>
      </x:c>
      <x:c r="K89" t="str">
        <x:v>mouse</x:v>
      </x:c>
      <x:c r="L89" t="str">
        <x:v>true</x:v>
      </x:c>
      <x:c r="M89" t="str">
        <x:v>Pmp2</x:v>
      </x:c>
      <x:c r="N89" t="str">
        <x:v>Pmp2</x:v>
      </x:c>
      <x:c r="O89" t="str">
        <x:v>annotation_marker</x:v>
      </x:c>
      <x:c r="P89" t="str">
        <x:v>positive</x:v>
      </x:c>
      <x:c r="Q89" t="str">
        <x:v>formal_candidate</x:v>
      </x:c>
      <x:c r="R89" t="str">
        <x:v>Abstract</x:v>
      </x:c>
      <x:c r="S89" t="str">
        <x:v>We identified a distinct myelinating-SC subtype that expresses Cldn14, Adamtsl1, and Pmp2; The number of these motor-associated, Pmp2+ SCs is reduced...</x:v>
      </x:c>
      <x:c r="T89" t="str">
        <x:v>approved</x:v>
      </x:c>
      <x:c r="U89" t="str">
        <x:v>spot_check_original_pdf_review_md</x:v>
      </x:c>
      <x:c r="V89" t="str">
        <x:v>抽查审核：review Markdown与原文Abstract一致；distinct myelinating-SC subtype明确表达Cldn14、Adamtsl1、Pmp2；Pmp2+表型在后文进一步验证。</x:v>
      </x:c>
      <x:c r="W89" t="str">
        <x:v>scripts/extract_markers/markers_output_v2/PMID_35115729_review.csv</x:v>
      </x:c>
      <x:c r="X89" t="str">
        <x:v>2026-08-21</x:v>
      </x:c>
    </x:row>
  </x:sheetData>
  <x:conditionalFormatting sqref="T2:T1000">
    <x:cfRule type="containsText" dxfId="0" priority="1" operator="containsText" text="approved"/>
    <x:cfRule type="containsText" dxfId="1" priority="2" operator="containsText" text="needs_followup"/>
    <x:cfRule type="containsText" dxfId="2" priority="3" operator="containsText" text="rejected"/>
  </x:conditionalFormatting>
  <x:dataValidations count="4">
    <x:dataValidation type="list" allowBlank="0" showDropDown="0" showInputMessage="0" showErrorMessage="0" sqref="T2:T1000">
      <x:formula1>"approved,modified,rejected,needs_followup"</x:formula1>
    </x:dataValidation>
    <x:dataValidation type="list" allowBlank="0" showDropDown="0" showInputMessage="0" showErrorMessage="0" sqref="U2:U1000">
      <x:formula1>"quick_consistency,full_review"</x:formula1>
    </x:dataValidation>
    <x:dataValidation type="list" allowBlank="0" showDropDown="0" showInputMessage="0" showErrorMessage="0" sqref="O2:O1000">
      <x:formula1>"author_declared,annotation_marker,figure_labeled,supplementary_marker"</x:formula1>
    </x:dataValidation>
    <x:dataValidation type="list" allowBlank="0" showDropDown="0" showInputMessage="0" showErrorMessage="0" sqref="P2:P1000">
      <x:formula1>"positive,negative,unknown"</x:formula1>
    </x:dataValidation>
  </x:dataValidations>
  <x:pageMargins left="0.7" right="0.7" top="0.75" bottom="0.75" header="0.3" footer="0.3"/>
  <x:tableParts count="1">
    <x:tablePart xmlns:r="http://schemas.openxmlformats.org/officeDocument/2006/relationships" r:id="Rd147617f2d4e4040"/>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 customWidth="1"/>
    <x:col min="3" max="3" width="28" customWidth="1"/>
    <x:col min="4" max="4" width="28" customWidth="1"/>
    <x:col min="5" max="5" width="46" customWidth="1"/>
    <x:col min="6" max="6" width="20" customWidth="1"/>
    <x:col min="7" max="7" width="18" customWidth="1"/>
    <x:col min="8" max="8" width="16" customWidth="1"/>
    <x:col min="9" max="9" width="16" customWidth="1"/>
    <x:col min="10" max="10" width="16" customWidth="1"/>
    <x:col min="11" max="11" width="14" customWidth="1"/>
    <x:col min="12" max="12" width="16" customWidth="1"/>
    <x:col min="13" max="13" width="48" customWidth="1"/>
    <x:col min="14" max="14" width="13" customWidth="1"/>
    <x:col min="15" max="15" width="58" customWidth="1"/>
  </x:cols>
  <x:sheetData>
    <x:row r="1">
      <x:c r="A1" s="45" t="inlineStr">
        <x:is>
          <x:t xml:space="preserve">batch_id</x:t>
        </x:is>
      </x:c>
      <x:c r="B1" s="45" t="inlineStr">
        <x:is>
          <x:t xml:space="preserve">task_no</x:t>
        </x:is>
      </x:c>
      <x:c r="C1" s="45" t="inlineStr">
        <x:is>
          <x:t xml:space="preserve">paper_id</x:t>
        </x:is>
      </x:c>
      <x:c r="D1" s="45" t="inlineStr">
        <x:is>
          <x:t xml:space="preserve">document_id</x:t>
        </x:is>
      </x:c>
      <x:c r="E1" s="45" t="inlineStr">
        <x:is>
          <x:t xml:space="preserve">paper_title</x:t>
        </x:is>
      </x:c>
      <x:c r="F1" s="45" t="inlineStr">
        <x:is>
          <x:t xml:space="preserve">review_method</x:t>
        </x:is>
      </x:c>
      <x:c r="G1" s="45" t="inlineStr">
        <x:is>
          <x:t xml:space="preserve">extracted_candidates</x:t>
        </x:is>
      </x:c>
      <x:c r="H1" s="45" t="inlineStr">
        <x:is>
          <x:t xml:space="preserve">formal_candidates</x:t>
        </x:is>
      </x:c>
      <x:c r="I1" s="45" t="inlineStr">
        <x:is>
          <x:t xml:space="preserve">quick_approved</x:t>
        </x:is>
      </x:c>
      <x:c r="J1" s="45" t="inlineStr">
        <x:is>
          <x:t xml:space="preserve">rejected_scope</x:t>
        </x:is>
      </x:c>
      <x:c r="K1" s="45" t="inlineStr">
        <x:is>
          <x:t xml:space="preserve">context_only</x:t>
        </x:is>
      </x:c>
      <x:c r="L1" s="45" t="inlineStr">
        <x:is>
          <x:t xml:space="preserve">imported_count</x:t>
        </x:is>
      </x:c>
      <x:c r="M1" s="45" t="inlineStr">
        <x:is>
          <x:t xml:space="preserve">source_file</x:t>
        </x:is>
      </x:c>
      <x:c r="N1" s="45" t="inlineStr">
        <x:is>
          <x:t xml:space="preserve">imported_at</x:t>
        </x:is>
      </x:c>
      <x:c r="O1" s="45" t="inlineStr">
        <x:is>
          <x:t xml:space="preserve">notes</x:t>
        </x:is>
      </x:c>
    </x:row>
    <x:row r="2" ht="56" customHeight="1">
      <x:c r="A2" s="47" t="inlineStr">
        <x:is>
          <x:t xml:space="preserve">B20260814-001</x:t>
        </x:is>
      </x:c>
      <x:c r="B2" s="47" t="n">
        <x:v>3</x:v>
      </x:c>
      <x:c r="C2" s="47" t="inlineStr">
        <x:is>
          <x:t xml:space="preserve">DOI_10.7554_elife.71752</x:t>
        </x:is>
      </x:c>
      <x:c r="D2" s="47" t="inlineStr">
        <x:is>
          <x:t xml:space="preserve">DOI_10.7554_elife.71752</x:t>
        </x:is>
      </x:c>
      <x:c r="E2" s="47" t="inlineStr">
        <x:is>
          <x:t xml:space="preserve">Single-nucleus transcriptomic analysis of human dorsal root ganglion neurons.</x:t>
        </x:is>
      </x:c>
      <x:c r="F2" s="47" t="inlineStr">
        <x:is>
          <x:t xml:space="preserve">quick_consistency</x:t>
        </x:is>
      </x:c>
      <x:c r="G2" s="47" t="n">
        <x:v>121</x:v>
      </x:c>
      <x:c r="H2" s="47" t="n">
        <x:v>19</x:v>
      </x:c>
      <x:c r="I2" s="47" t="n">
        <x:v>10</x:v>
      </x:c>
      <x:c r="J2" s="47" t="n">
        <x:v>9</x:v>
      </x:c>
      <x:c r="K2" s="47" t="n">
        <x:v>102</x:v>
      </x:c>
      <x:c r="L2" s="47" t="n">
        <x:v>10</x:v>
      </x:c>
      <x:c r="M2" s="47" t="inlineStr">
        <x:is>
          <x:t xml:space="preserve">scripts/extract_markers/markers_output_v2/DOI_10.7554_elife.71752_review.csv</x:t>
        </x:is>
      </x:c>
      <x:c r="N2" s="55" t="n">
        <x:v>46248</x:v>
      </x:c>
      <x:c r="O2" s="47" t="inlineStr">
        <x:is>
          <x:t xml:space="preserve">首批快速复核：暂缓2条比较物种 mouse marker、5条 is_pns_cell=NA 的非神经元 marker 和2条 species=unknown 记录；其余10条PNS human正式候选录入。</x:t>
        </x:is>
      </x:c>
    </x:row>
    <x:row r="3">
      <x:c r="A3" t="inlineStr">
        <x:is>
          <x:t xml:space="preserve">B20260814-002</x:t>
        </x:is>
      </x:c>
      <x:c r="B3" t="n">
        <x:v>1</x:v>
      </x:c>
      <x:c r="C3" t="inlineStr">
        <x:is>
          <x:t xml:space="preserve">DOI_10.1038_s41586-021-03710-0</x:t>
        </x:is>
      </x:c>
      <x:c r="D3" t="inlineStr">
        <x:is>
          <x:t xml:space="preserve">DOI_10.1038_s41586-021-03710-0</x:t>
        </x:is>
      </x:c>
      <x:c r="E3" t="inlineStr">
        <x:is>
          <x:t xml:space="preserve">Dysregulation of brain and choroid plexus cell types in severe COVID-19.</x:t>
        </x:is>
      </x:c>
      <x:c r="F3" t="inlineStr">
        <x:is>
          <x:t xml:space="preserve">quick_consistency</x:t>
        </x:is>
      </x:c>
      <x:c r="G3" t="n">
        <x:v>19</x:v>
      </x:c>
      <x:c r="H3" t="n">
        <x:v>0</x:v>
      </x:c>
      <x:c r="I3" t="n">
        <x:v>0</x:v>
      </x:c>
      <x:c r="J3" t="n">
        <x:v>0</x:v>
      </x:c>
      <x:c r="K3" t="n">
        <x:v>19</x:v>
      </x:c>
      <x:c r="L3" t="n">
        <x:v>0</x:v>
      </x:c>
      <x:c r="M3" t="inlineStr">
        <x:is>
          <x:t xml:space="preserve">scripts/extract_markers/markers_output/DOI_10.1038_s41586_021_03710_0_review.csv</x:t>
        </x:is>
      </x:c>
      <x:c r="N3" t="inlineStr">
        <x:is>
          <x:t xml:space="preserve">2026-08-14</x:t>
        </x:is>
      </x:c>
      <x:c r="O3" t="inlineStr">
        <x:is>
          <x:t xml:space="preserve">reviewed_no_formal_pns_marker: 仅复用明确PNS细胞且作者直接给出marker/注释语境的旧候选</x:t>
        </x:is>
      </x:c>
    </x:row>
    <x:row r="4">
      <x:c r="A4" t="inlineStr">
        <x:is>
          <x:t xml:space="preserve">B20260814-002</x:t>
        </x:is>
      </x:c>
      <x:c r="B4" t="n">
        <x:v>4</x:v>
      </x:c>
      <x:c r="C4" t="inlineStr">
        <x:is>
          <x:t xml:space="preserve">DOI_10.1038_s41586-020-2922-4</x:t>
        </x:is>
      </x:c>
      <x:c r="D4" t="inlineStr">
        <x:is>
          <x:t xml:space="preserve">DOI_10.1038_s41586-020-2922-4</x:t>
        </x:is>
      </x:c>
      <x:c r="E4" t="inlineStr">
        <x:is>
          <x:t xml:space="preserve">A molecular cell atlas of the human lung from single-cell RNA sequencing.</x:t>
        </x:is>
      </x:c>
      <x:c r="F4" t="inlineStr">
        <x:is>
          <x:t xml:space="preserve">legacy_unusable</x:t>
        </x:is>
      </x:c>
      <x:c r="G4" t="n">
        <x:v>0</x:v>
      </x:c>
      <x:c r="H4" t="n">
        <x:v>0</x:v>
      </x:c>
      <x:c r="I4" t="n">
        <x:v>0</x:v>
      </x:c>
      <x:c r="J4" t="n">
        <x:v>0</x:v>
      </x:c>
      <x:c r="K4" t="n">
        <x:v>0</x:v>
      </x:c>
      <x:c r="L4" t="n">
        <x:v>0</x:v>
      </x:c>
      <x:c r="N4" t="inlineStr">
        <x:is>
          <x:t xml:space="preserve">2026-08-14</x:t>
        </x:is>
      </x:c>
      <x:c r="O4" t="inlineStr">
        <x:is>
          <x:t xml:space="preserve">needs_reextract: 旧结果存在已确认的论文映射污染，未复用</x:t>
        </x:is>
      </x:c>
    </x:row>
    <x:row r="5">
      <x:c r="A5" t="inlineStr">
        <x:is>
          <x:t xml:space="preserve">B20260814-002</x:t>
        </x:is>
      </x:c>
      <x:c r="B5" t="n">
        <x:v>5</x:v>
      </x:c>
      <x:c r="C5" t="inlineStr">
        <x:is>
          <x:t xml:space="preserve">DOI_10.1038_s41588-022-01243-4</x:t>
        </x:is>
      </x:c>
      <x:c r="D5" t="inlineStr">
        <x:is>
          <x:t xml:space="preserve">DOI_10.1038_s41588-022-01243-4</x:t>
        </x:is>
      </x:c>
      <x:c r="E5" t="inlineStr">
        <x:is>
          <x:t xml:space="preserve">A spatially resolved atlas of the human lung characterizes a gland-associated immune niche.</x:t>
        </x:is>
      </x:c>
      <x:c r="F5" t="inlineStr">
        <x:is>
          <x:t xml:space="preserve">quick_consistency</x:t>
        </x:is>
      </x:c>
      <x:c r="G5" t="n">
        <x:v>79</x:v>
      </x:c>
      <x:c r="H5" t="n">
        <x:v>17</x:v>
      </x:c>
      <x:c r="I5" t="n">
        <x:v>16</x:v>
      </x:c>
      <x:c r="J5" t="n">
        <x:v>1</x:v>
      </x:c>
      <x:c r="K5" t="n">
        <x:v>62</x:v>
      </x:c>
      <x:c r="L5" t="n">
        <x:v>16</x:v>
      </x:c>
      <x:c r="M5" t="inlineStr">
        <x:is>
          <x:t xml:space="preserve">scripts/extract_markers/markers_output/DOI_10.1038_s41588_022_01243_4_review.csv</x:t>
        </x:is>
      </x:c>
      <x:c r="N5" t="inlineStr">
        <x:is>
          <x:t xml:space="preserve">2026-08-14</x:t>
        </x:is>
      </x:c>
      <x:c r="O5" t="inlineStr">
        <x:is>
          <x:t xml:space="preserve">ready_to_import: 仅复用明确PNS细胞且作者直接给出marker/注释语境的旧候选</x:t>
        </x:is>
      </x:c>
    </x:row>
    <x:row r="6">
      <x:c r="A6" t="inlineStr">
        <x:is>
          <x:t xml:space="preserve">B20260814-002</x:t>
        </x:is>
      </x:c>
      <x:c r="B6" t="n">
        <x:v>6</x:v>
      </x:c>
      <x:c r="C6" t="inlineStr">
        <x:is>
          <x:t xml:space="preserve">DOI_10.1164_rccm.202207-1384oc</x:t>
        </x:is>
      </x:c>
      <x:c r="D6" t="inlineStr">
        <x:is>
          <x:t xml:space="preserve">DOI_10.1164_rccm.202207-1384oc</x:t>
        </x:is>
      </x:c>
      <x:c r="E6" t="inlineStr">
        <x:is>
          <x:t xml:space="preserve">A Unique Cellular Organization of Human Distal Airways and Its Disarray in Chronic Obstructive Pulmonary Disease.</x:t>
        </x:is>
      </x:c>
      <x:c r="F6" t="inlineStr">
        <x:is>
          <x:t xml:space="preserve">quick_consistency</x:t>
        </x:is>
      </x:c>
      <x:c r="G6" t="n">
        <x:v>122</x:v>
      </x:c>
      <x:c r="H6" t="n">
        <x:v>1</x:v>
      </x:c>
      <x:c r="I6" t="n">
        <x:v>1</x:v>
      </x:c>
      <x:c r="J6" t="n">
        <x:v>0</x:v>
      </x:c>
      <x:c r="K6" t="n">
        <x:v>121</x:v>
      </x:c>
      <x:c r="L6" t="n">
        <x:v>1</x:v>
      </x:c>
      <x:c r="M6" t="inlineStr">
        <x:is>
          <x:t xml:space="preserve">scripts/extract_markers/markers_output/DOI_10.1164_rccm.202207_1384OC_review.csv</x:t>
        </x:is>
      </x:c>
      <x:c r="N6" t="inlineStr">
        <x:is>
          <x:t xml:space="preserve">2026-08-14</x:t>
        </x:is>
      </x:c>
      <x:c r="O6" t="inlineStr">
        <x:is>
          <x:t xml:space="preserve">ready_to_import: 仅复用明确PNS细胞且作者直接给出marker/注释语境的旧候选</x:t>
        </x:is>
      </x:c>
    </x:row>
    <x:row r="7">
      <x:c r="A7" t="inlineStr">
        <x:is>
          <x:t xml:space="preserve">B20260814-002</x:t>
        </x:is>
      </x:c>
      <x:c r="B7" t="n">
        <x:v>7</x:v>
      </x:c>
      <x:c r="C7" t="inlineStr">
        <x:is>
          <x:t xml:space="preserve">DOI_10.1038_s41586-021-04345-x</x:t>
        </x:is>
      </x:c>
      <x:c r="D7" t="inlineStr">
        <x:is>
          <x:t xml:space="preserve">DOI_10.1038_s41586-021-04345-x</x:t>
        </x:is>
      </x:c>
      <x:c r="E7" t="inlineStr">
        <x:is>
          <x:t xml:space="preserve">Local and systemic responses to SARS-CoV-2 infection in children and adults.</x:t>
        </x:is>
      </x:c>
      <x:c r="F7" t="inlineStr">
        <x:is>
          <x:t xml:space="preserve">quick_consistency</x:t>
        </x:is>
      </x:c>
      <x:c r="G7" t="n">
        <x:v>40</x:v>
      </x:c>
      <x:c r="H7" t="n">
        <x:v>0</x:v>
      </x:c>
      <x:c r="I7" t="n">
        <x:v>0</x:v>
      </x:c>
      <x:c r="J7" t="n">
        <x:v>0</x:v>
      </x:c>
      <x:c r="K7" t="n">
        <x:v>40</x:v>
      </x:c>
      <x:c r="L7" t="n">
        <x:v>0</x:v>
      </x:c>
      <x:c r="M7" t="inlineStr">
        <x:is>
          <x:t xml:space="preserve">scripts/extract_markers/markers_output/DOI_10.1038_s41586_021_04345_x_review.csv</x:t>
        </x:is>
      </x:c>
      <x:c r="N7" t="inlineStr">
        <x:is>
          <x:t xml:space="preserve">2026-08-14</x:t>
        </x:is>
      </x:c>
      <x:c r="O7" t="inlineStr">
        <x:is>
          <x:t xml:space="preserve">reviewed_no_formal_pns_marker: 仅复用明确PNS细胞且作者直接给出marker/注释语境的旧候选</x:t>
        </x:is>
      </x:c>
    </x:row>
    <x:row r="8">
      <x:c r="A8" t="inlineStr">
        <x:is>
          <x:t xml:space="preserve">B20260814-002</x:t>
        </x:is>
      </x:c>
      <x:c r="B8" t="n">
        <x:v>8</x:v>
      </x:c>
      <x:c r="C8" t="inlineStr">
        <x:is>
          <x:t xml:space="preserve">DOI_10.1016_j.jcf.2025.01.016</x:t>
        </x:is>
      </x:c>
      <x:c r="D8" t="inlineStr">
        <x:is>
          <x:t xml:space="preserve">DOI_10.1016_j.jcf.2025.01.016</x:t>
        </x:is>
      </x:c>
      <x:c r="E8" t="inlineStr">
        <x:is>
          <x:t xml:space="preserve">Evidence for altered immune-structural cell crosstalk in cystic fibrosis revealed by single cell transcriptomics.</x:t>
        </x:is>
      </x:c>
      <x:c r="F8" t="inlineStr">
        <x:is>
          <x:t xml:space="preserve">legacy_unusable</x:t>
        </x:is>
      </x:c>
      <x:c r="G8" t="n">
        <x:v>0</x:v>
      </x:c>
      <x:c r="H8" t="n">
        <x:v>0</x:v>
      </x:c>
      <x:c r="I8" t="n">
        <x:v>0</x:v>
      </x:c>
      <x:c r="J8" t="n">
        <x:v>0</x:v>
      </x:c>
      <x:c r="K8" t="n">
        <x:v>0</x:v>
      </x:c>
      <x:c r="L8" t="n">
        <x:v>0</x:v>
      </x:c>
      <x:c r="N8" t="inlineStr">
        <x:is>
          <x:t xml:space="preserve">2026-08-14</x:t>
        </x:is>
      </x:c>
      <x:c r="O8" t="inlineStr">
        <x:is>
          <x:t xml:space="preserve">needs_reextract: 旧结果存在已确认的论文映射污染，未复用</x:t>
        </x:is>
      </x:c>
    </x:row>
    <x:row r="9">
      <x:c r="A9" t="inlineStr">
        <x:is>
          <x:t xml:space="preserve">B20260814-002</x:t>
        </x:is>
      </x:c>
      <x:c r="B9" t="n">
        <x:v>9</x:v>
      </x:c>
      <x:c r="C9" t="inlineStr">
        <x:is>
          <x:t xml:space="preserve">DOI_10.1016_j.cell.2022.11.005</x:t>
        </x:is>
      </x:c>
      <x:c r="D9" t="inlineStr">
        <x:is>
          <x:t xml:space="preserve">DOI_10.1016_j.cell.2022.11.005</x:t>
        </x:is>
      </x:c>
      <x:c r="E9" t="inlineStr">
        <x:is>
          <x:t xml:space="preserve">A human fetal lung cell atlas uncovers proximal-distal gradients of differentiation and key regulators of epithelial fates.</x:t>
        </x:is>
      </x:c>
      <x:c r="F9" t="inlineStr">
        <x:is>
          <x:t xml:space="preserve">legacy_unusable</x:t>
        </x:is>
      </x:c>
      <x:c r="G9" t="n">
        <x:v>0</x:v>
      </x:c>
      <x:c r="H9" t="n">
        <x:v>0</x:v>
      </x:c>
      <x:c r="I9" t="n">
        <x:v>0</x:v>
      </x:c>
      <x:c r="J9" t="n">
        <x:v>0</x:v>
      </x:c>
      <x:c r="K9" t="n">
        <x:v>0</x:v>
      </x:c>
      <x:c r="L9" t="n">
        <x:v>0</x:v>
      </x:c>
      <x:c r="N9" t="inlineStr">
        <x:is>
          <x:t xml:space="preserve">2026-08-14</x:t>
        </x:is>
      </x:c>
      <x:c r="O9" t="inlineStr">
        <x:is>
          <x:t xml:space="preserve">needs_reextract: 未找到可复用的旧复核 CSV</x:t>
        </x:is>
      </x:c>
    </x:row>
    <x:row r="10">
      <x:c r="A10" t="inlineStr">
        <x:is>
          <x:t xml:space="preserve">B20260814-002</x:t>
        </x:is>
      </x:c>
      <x:c r="B10" t="n">
        <x:v>11</x:v>
      </x:c>
      <x:c r="C10" t="inlineStr">
        <x:is>
          <x:t xml:space="preserve">DOI_10.7554_elife.62522</x:t>
        </x:is>
      </x:c>
      <x:c r="D10" t="inlineStr">
        <x:is>
          <x:t xml:space="preserve">DOI_10.7554_elife.62522</x:t>
        </x:is>
      </x:c>
      <x:c r="E10" t="inlineStr">
        <x:is>
          <x:t xml:space="preserve">Single-cell multiomic profiling of human lungs reveals cell-type-specific and age-dynamic control of SARS-CoV2 host genes.</x:t>
        </x:is>
      </x:c>
      <x:c r="F10" t="inlineStr">
        <x:is>
          <x:t xml:space="preserve">quick_consistency</x:t>
        </x:is>
      </x:c>
      <x:c r="G10" t="n">
        <x:v>1</x:v>
      </x:c>
      <x:c r="H10" t="n">
        <x:v>0</x:v>
      </x:c>
      <x:c r="I10" t="n">
        <x:v>0</x:v>
      </x:c>
      <x:c r="J10" t="n">
        <x:v>0</x:v>
      </x:c>
      <x:c r="K10" t="n">
        <x:v>1</x:v>
      </x:c>
      <x:c r="L10" t="n">
        <x:v>0</x:v>
      </x:c>
      <x:c r="M10" t="inlineStr">
        <x:is>
          <x:t xml:space="preserve">scripts/extract_markers/markers_output/DOI_10.7554_eLife.62522_review.csv</x:t>
        </x:is>
      </x:c>
      <x:c r="N10" t="inlineStr">
        <x:is>
          <x:t xml:space="preserve">2026-08-14</x:t>
        </x:is>
      </x:c>
      <x:c r="O10" t="inlineStr">
        <x:is>
          <x:t xml:space="preserve">reviewed_no_formal_pns_marker: 仅复用明确PNS细胞且作者直接给出marker/注释语境的旧候选</x:t>
        </x:is>
      </x:c>
    </x:row>
    <x:row r="11">
      <x:c r="A11" t="inlineStr">
        <x:is>
          <x:t xml:space="preserve">B20260814-002</x:t>
        </x:is>
      </x:c>
      <x:c r="B11" t="n">
        <x:v>12</x:v>
      </x:c>
      <x:c r="C11" t="inlineStr">
        <x:is>
          <x:t xml:space="preserve">DOI_10.1038_s44318-024-00328-6</x:t>
        </x:is>
      </x:c>
      <x:c r="D11" t="inlineStr">
        <x:is>
          <x:t xml:space="preserve">DOI_10.1038_s44318-024-00328-6</x:t>
        </x:is>
      </x:c>
      <x:c r="E11" t="inlineStr">
        <x:is>
          <x:t xml:space="preserve">A novel human fetal lung-derived alveolar organoid model reveals mechanisms of surfactant protein C maturation relevant to interstitial lung disease.</x:t>
        </x:is>
      </x:c>
      <x:c r="F11" t="inlineStr">
        <x:is>
          <x:t xml:space="preserve">legacy_unusable</x:t>
        </x:is>
      </x:c>
      <x:c r="G11" t="n">
        <x:v>0</x:v>
      </x:c>
      <x:c r="H11" t="n">
        <x:v>0</x:v>
      </x:c>
      <x:c r="I11" t="n">
        <x:v>0</x:v>
      </x:c>
      <x:c r="J11" t="n">
        <x:v>0</x:v>
      </x:c>
      <x:c r="K11" t="n">
        <x:v>0</x:v>
      </x:c>
      <x:c r="L11" t="n">
        <x:v>0</x:v>
      </x:c>
      <x:c r="N11" t="inlineStr">
        <x:is>
          <x:t xml:space="preserve">2026-08-14</x:t>
        </x:is>
      </x:c>
      <x:c r="O11" t="inlineStr">
        <x:is>
          <x:t xml:space="preserve">needs_reextract: 旧结果存在已确认的论文映射污染，未复用</x:t>
        </x:is>
      </x:c>
    </x:row>
    <x:row r="12">
      <x:c r="A12" t="inlineStr">
        <x:is>
          <x:t xml:space="preserve">B20260814-002</x:t>
        </x:is>
      </x:c>
      <x:c r="B12" t="n">
        <x:v>13</x:v>
      </x:c>
      <x:c r="C12" t="inlineStr">
        <x:is>
          <x:t xml:space="preserve">DOI_10.1126_sciimmunol.adf9988</x:t>
        </x:is>
      </x:c>
      <x:c r="D12" t="inlineStr">
        <x:is>
          <x:t xml:space="preserve">DOI_10.1126_sciimmunol.adf9988</x:t>
        </x:is>
      </x:c>
      <x:c r="E12" t="inlineStr">
        <x:is>
          <x:t xml:space="preserve">Early human lung immune cell development and its role in epithelial cell fate.</x:t>
        </x:is>
      </x:c>
      <x:c r="F12" t="inlineStr">
        <x:is>
          <x:t xml:space="preserve">quick_consistency</x:t>
        </x:is>
      </x:c>
      <x:c r="G12" t="n">
        <x:v>28</x:v>
      </x:c>
      <x:c r="H12" t="n">
        <x:v>0</x:v>
      </x:c>
      <x:c r="I12" t="n">
        <x:v>0</x:v>
      </x:c>
      <x:c r="J12" t="n">
        <x:v>0</x:v>
      </x:c>
      <x:c r="K12" t="n">
        <x:v>28</x:v>
      </x:c>
      <x:c r="L12" t="n">
        <x:v>0</x:v>
      </x:c>
      <x:c r="M12" t="inlineStr">
        <x:is>
          <x:t xml:space="preserve">scripts/extract_markers/markers_output/DOI_10.1126_sciimmunol.adf9988_review.csv</x:t>
        </x:is>
      </x:c>
      <x:c r="N12" t="inlineStr">
        <x:is>
          <x:t xml:space="preserve">2026-08-14</x:t>
        </x:is>
      </x:c>
      <x:c r="O12" t="inlineStr">
        <x:is>
          <x:t xml:space="preserve">reviewed_no_formal_pns_marker: 仅复用明确PNS细胞且作者直接给出marker/注释语境的旧候选</x:t>
        </x:is>
      </x:c>
    </x:row>
    <x:row r="13">
      <x:c r="A13" t="inlineStr">
        <x:is>
          <x:t xml:space="preserve">B20260814-002</x:t>
        </x:is>
      </x:c>
      <x:c r="B13" t="n">
        <x:v>14</x:v>
      </x:c>
      <x:c r="C13" t="inlineStr">
        <x:is>
          <x:t xml:space="preserve">DOI_10.1038_s41591-023-02327-2</x:t>
        </x:is>
      </x:c>
      <x:c r="D13" t="inlineStr">
        <x:is>
          <x:t xml:space="preserve">DOI_10.1038_s41591-023-02327-2</x:t>
        </x:is>
      </x:c>
      <x:c r="E13" t="inlineStr">
        <x:is>
          <x:t xml:space="preserve">An integrated cell atlas of the lung in health and disease.</x:t>
        </x:is>
      </x:c>
      <x:c r="F13" t="inlineStr">
        <x:is>
          <x:t xml:space="preserve">quick_consistency</x:t>
        </x:is>
      </x:c>
      <x:c r="G13" t="n">
        <x:v>44</x:v>
      </x:c>
      <x:c r="H13" t="n">
        <x:v>1</x:v>
      </x:c>
      <x:c r="I13" t="n">
        <x:v>1</x:v>
      </x:c>
      <x:c r="J13" t="n">
        <x:v>0</x:v>
      </x:c>
      <x:c r="K13" t="n">
        <x:v>43</x:v>
      </x:c>
      <x:c r="L13" t="n">
        <x:v>1</x:v>
      </x:c>
      <x:c r="M13" t="inlineStr">
        <x:is>
          <x:t xml:space="preserve">scripts/extract_markers/markers_output/DOI_10.1038_s41591_023_02327_2_review.csv</x:t>
        </x:is>
      </x:c>
      <x:c r="N13" t="inlineStr">
        <x:is>
          <x:t xml:space="preserve">2026-08-14</x:t>
        </x:is>
      </x:c>
      <x:c r="O13" t="inlineStr">
        <x:is>
          <x:t xml:space="preserve">ready_to_import: 仅复用明确PNS细胞且作者直接给出marker/注释语境的旧候选</x:t>
        </x:is>
      </x:c>
    </x:row>
    <x:row r="14">
      <x:c r="A14" t="inlineStr">
        <x:is>
          <x:t xml:space="preserve">B20260814-002</x:t>
        </x:is>
      </x:c>
      <x:c r="B14" t="n">
        <x:v>15</x:v>
      </x:c>
      <x:c r="C14" t="inlineStr">
        <x:is>
          <x:t xml:space="preserve">DOI_10.1038_s41467-023-40173-5</x:t>
        </x:is>
      </x:c>
      <x:c r="D14" t="inlineStr">
        <x:is>
          <x:t xml:space="preserve">DOI_10.1038_s41467-023-40173-5</x:t>
        </x:is>
      </x:c>
      <x:c r="E14" t="inlineStr">
        <x:is>
          <x:t xml:space="preserve">Guided construction of single cell reference for human and mouse lung.</x:t>
        </x:is>
      </x:c>
      <x:c r="F14" t="inlineStr">
        <x:is>
          <x:t xml:space="preserve">legacy_unusable</x:t>
        </x:is>
      </x:c>
      <x:c r="G14" t="n">
        <x:v>0</x:v>
      </x:c>
      <x:c r="H14" t="n">
        <x:v>0</x:v>
      </x:c>
      <x:c r="I14" t="n">
        <x:v>0</x:v>
      </x:c>
      <x:c r="J14" t="n">
        <x:v>0</x:v>
      </x:c>
      <x:c r="K14" t="n">
        <x:v>0</x:v>
      </x:c>
      <x:c r="L14" t="n">
        <x:v>0</x:v>
      </x:c>
      <x:c r="N14" t="inlineStr">
        <x:is>
          <x:t xml:space="preserve">2026-08-14</x:t>
        </x:is>
      </x:c>
      <x:c r="O14" t="inlineStr">
        <x:is>
          <x:t xml:space="preserve">needs_reextract: 未找到可复用的旧复核 CSV</x:t>
        </x:is>
      </x:c>
    </x:row>
    <x:row r="15">
      <x:c r="A15" t="inlineStr">
        <x:is>
          <x:t xml:space="preserve">B20260814-002</x:t>
        </x:is>
      </x:c>
      <x:c r="B15" t="n">
        <x:v>16</x:v>
      </x:c>
      <x:c r="C15" t="inlineStr">
        <x:is>
          <x:t xml:space="preserve">DOI_10.1038_s41588-024-01702-0</x:t>
        </x:is>
      </x:c>
      <x:c r="D15" t="inlineStr">
        <x:is>
          <x:t xml:space="preserve">DOI_10.1038_s41588-024-01702-0</x:t>
        </x:is>
      </x:c>
      <x:c r="E15" t="inlineStr">
        <x:is>
          <x:t xml:space="preserve">Cell-type-specific and disease-associated expression quantitative trait loci in the human lung.</x:t>
        </x:is>
      </x:c>
      <x:c r="F15" t="inlineStr">
        <x:is>
          <x:t xml:space="preserve">quick_consistency</x:t>
        </x:is>
      </x:c>
      <x:c r="G15" t="n">
        <x:v>11</x:v>
      </x:c>
      <x:c r="H15" t="n">
        <x:v>0</x:v>
      </x:c>
      <x:c r="I15" t="n">
        <x:v>0</x:v>
      </x:c>
      <x:c r="J15" t="n">
        <x:v>0</x:v>
      </x:c>
      <x:c r="K15" t="n">
        <x:v>11</x:v>
      </x:c>
      <x:c r="L15" t="n">
        <x:v>0</x:v>
      </x:c>
      <x:c r="M15" t="inlineStr">
        <x:is>
          <x:t xml:space="preserve">scripts/extract_markers/markers_output/DOI_10.1038_s41588_024_01702_0_review.csv</x:t>
        </x:is>
      </x:c>
      <x:c r="N15" t="inlineStr">
        <x:is>
          <x:t xml:space="preserve">2026-08-14</x:t>
        </x:is>
      </x:c>
      <x:c r="O15" t="inlineStr">
        <x:is>
          <x:t xml:space="preserve">reviewed_no_formal_pns_marker: 仅复用明确PNS细胞且作者直接给出marker/注释语境的旧候选</x:t>
        </x:is>
      </x:c>
    </x:row>
    <x:row r="16">
      <x:c r="A16" t="inlineStr">
        <x:is>
          <x:t xml:space="preserve">B20260814-002</x:t>
        </x:is>
      </x:c>
      <x:c r="B16" t="n">
        <x:v>17</x:v>
      </x:c>
      <x:c r="C16" t="inlineStr">
        <x:is>
          <x:t xml:space="preserve">DOI_10.1038_s41586-021-03569-1</x:t>
        </x:is>
      </x:c>
      <x:c r="D16" t="inlineStr">
        <x:is>
          <x:t xml:space="preserve">DOI_10.1038_s41586-021-03569-1</x:t>
        </x:is>
      </x:c>
      <x:c r="E16" t="inlineStr">
        <x:is>
          <x:t xml:space="preserve">A molecular single-cell lung atlas of lethal COVID-19.</x:t>
        </x:is>
      </x:c>
      <x:c r="F16" t="inlineStr">
        <x:is>
          <x:t xml:space="preserve">quick_consistency</x:t>
        </x:is>
      </x:c>
      <x:c r="G16" t="n">
        <x:v>19</x:v>
      </x:c>
      <x:c r="H16" t="n">
        <x:v>0</x:v>
      </x:c>
      <x:c r="I16" t="n">
        <x:v>0</x:v>
      </x:c>
      <x:c r="J16" t="n">
        <x:v>0</x:v>
      </x:c>
      <x:c r="K16" t="n">
        <x:v>19</x:v>
      </x:c>
      <x:c r="L16" t="n">
        <x:v>0</x:v>
      </x:c>
      <x:c r="M16" t="inlineStr">
        <x:is>
          <x:t xml:space="preserve">scripts/extract_markers/markers_output/DOI_10.1038_s41586_021_03569_1_review.csv</x:t>
        </x:is>
      </x:c>
      <x:c r="N16" t="inlineStr">
        <x:is>
          <x:t xml:space="preserve">2026-08-14</x:t>
        </x:is>
      </x:c>
      <x:c r="O16" t="inlineStr">
        <x:is>
          <x:t xml:space="preserve">reviewed_no_formal_pns_marker: 仅复用明确PNS细胞且作者直接给出marker/注释语境的旧候选</x:t>
        </x:is>
      </x:c>
    </x:row>
    <x:row r="17">
      <x:c r="A17" t="inlineStr">
        <x:is>
          <x:t xml:space="preserve">B20260814-002</x:t>
        </x:is>
      </x:c>
      <x:c r="B17" t="n">
        <x:v>18</x:v>
      </x:c>
      <x:c r="C17" t="inlineStr">
        <x:is>
          <x:t xml:space="preserve">DOI_10.1016_j.stem.2022.11.013</x:t>
        </x:is>
      </x:c>
      <x:c r="D17" t="inlineStr">
        <x:is>
          <x:t xml:space="preserve">DOI_10.1016_j.stem.2022.11.013</x:t>
        </x:is>
      </x:c>
      <x:c r="E17" t="inlineStr">
        <x:is>
          <x:t xml:space="preserve">Organoid modeling of human fetal lung alveolar development reveals mechanisms of cell fate patterning and neonatal respiratory disease.</x:t>
        </x:is>
      </x:c>
      <x:c r="F17" t="inlineStr">
        <x:is>
          <x:t xml:space="preserve">quick_consistency</x:t>
        </x:is>
      </x:c>
      <x:c r="G17" t="n">
        <x:v>49</x:v>
      </x:c>
      <x:c r="H17" t="n">
        <x:v>0</x:v>
      </x:c>
      <x:c r="I17" t="n">
        <x:v>0</x:v>
      </x:c>
      <x:c r="J17" t="n">
        <x:v>0</x:v>
      </x:c>
      <x:c r="K17" t="n">
        <x:v>49</x:v>
      </x:c>
      <x:c r="L17" t="n">
        <x:v>0</x:v>
      </x:c>
      <x:c r="M17" t="inlineStr">
        <x:is>
          <x:t xml:space="preserve">scripts/extract_markers/markers_output/Organoid_modeling_of_human_fetal_lung_alveolar_development_r_review.csv</x:t>
        </x:is>
      </x:c>
      <x:c r="N17" t="inlineStr">
        <x:is>
          <x:t xml:space="preserve">2026-08-14</x:t>
        </x:is>
      </x:c>
      <x:c r="O17" t="inlineStr">
        <x:is>
          <x:t xml:space="preserve">reviewed_no_formal_pns_marker: 仅复用明确PNS细胞且作者直接给出marker/注释语境的旧候选</x:t>
        </x:is>
      </x:c>
    </x:row>
    <x:row r="18">
      <x:c r="A18" t="inlineStr">
        <x:is>
          <x:t xml:space="preserve">B20260814-002</x:t>
        </x:is>
      </x:c>
      <x:c r="B18" t="n">
        <x:v>20</x:v>
      </x:c>
      <x:c r="C18" t="inlineStr">
        <x:is>
          <x:t xml:space="preserve">DOI_10.1016_j.cell.2021.07.023</x:t>
        </x:is>
      </x:c>
      <x:c r="D18" t="inlineStr">
        <x:is>
          <x:t xml:space="preserve">DOI_10.1016_j.cell.2021.07.023</x:t>
        </x:is>
      </x:c>
      <x:c r="E18" t="inlineStr">
        <x:is>
          <x:t xml:space="preserve">Impaired local intrinsic immunity to SARS-CoV-2 infection in severe COVID-19.</x:t>
        </x:is>
      </x:c>
      <x:c r="F18" t="inlineStr">
        <x:is>
          <x:t xml:space="preserve">quick_consistency</x:t>
        </x:is>
      </x:c>
      <x:c r="G18" t="n">
        <x:v>166</x:v>
      </x:c>
      <x:c r="H18" t="n">
        <x:v>2</x:v>
      </x:c>
      <x:c r="I18" t="n">
        <x:v>0</x:v>
      </x:c>
      <x:c r="J18" t="n">
        <x:v>2</x:v>
      </x:c>
      <x:c r="K18" t="n">
        <x:v>164</x:v>
      </x:c>
      <x:c r="L18" t="n">
        <x:v>0</x:v>
      </x:c>
      <x:c r="M18" t="inlineStr">
        <x:is>
          <x:t xml:space="preserve">scripts/extract_markers/markers_output/DOI_10.1016_j.cell.2021.07.023_review.csv</x:t>
        </x:is>
      </x:c>
      <x:c r="N18" t="inlineStr">
        <x:is>
          <x:t xml:space="preserve">2026-08-14</x:t>
        </x:is>
      </x:c>
      <x:c r="O18" t="inlineStr">
        <x:is>
          <x:t xml:space="preserve">reviewed_no_formal_pns_marker: 仅复用明确PNS细胞且作者直接给出marker/注释语境的旧候选</x:t>
        </x:is>
      </x:c>
    </x:row>
    <x:row r="19">
      <x:c r="A19" t="inlineStr">
        <x:is>
          <x:t xml:space="preserve">B20260814-002</x:t>
        </x:is>
      </x:c>
      <x:c r="B19" t="n">
        <x:v>21</x:v>
      </x:c>
      <x:c r="C19" t="inlineStr">
        <x:is>
          <x:t xml:space="preserve">DOI_10.64898_2025.12.18.695268</x:t>
        </x:is>
      </x:c>
      <x:c r="D19" t="inlineStr">
        <x:is>
          <x:t xml:space="preserve">DOI_10.64898_2025.12.18.695268</x:t>
        </x:is>
      </x:c>
      <x:c r="E19" t="inlineStr">
        <x:is>
          <x:t xml:space="preserve">A poly(A) isoform–aware single-cell and spatial atlas defines fibroblast niches in the human bladder</x:t>
        </x:is>
      </x:c>
      <x:c r="F19" t="inlineStr">
        <x:is>
          <x:t xml:space="preserve">legacy_unusable</x:t>
        </x:is>
      </x:c>
      <x:c r="G19" t="n">
        <x:v>0</x:v>
      </x:c>
      <x:c r="H19" t="n">
        <x:v>0</x:v>
      </x:c>
      <x:c r="I19" t="n">
        <x:v>0</x:v>
      </x:c>
      <x:c r="J19" t="n">
        <x:v>0</x:v>
      </x:c>
      <x:c r="K19" t="n">
        <x:v>0</x:v>
      </x:c>
      <x:c r="L19" t="n">
        <x:v>0</x:v>
      </x:c>
      <x:c r="N19" t="inlineStr">
        <x:is>
          <x:t xml:space="preserve">2026-08-14</x:t>
        </x:is>
      </x:c>
      <x:c r="O19" t="inlineStr">
        <x:is>
          <x:t xml:space="preserve">needs_reextract: 未找到可复用的旧复核 CSV</x:t>
        </x:is>
      </x:c>
    </x:row>
    <x:row r="20">
      <x:c r="A20" t="inlineStr">
        <x:is>
          <x:t xml:space="preserve">B20260814-002</x:t>
        </x:is>
      </x:c>
      <x:c r="B20" t="n">
        <x:v>22</x:v>
      </x:c>
      <x:c r="C20" t="inlineStr">
        <x:is>
          <x:t xml:space="preserve">DOI_10.1126_science.aat5031</x:t>
        </x:is>
      </x:c>
      <x:c r="D20" t="inlineStr">
        <x:is>
          <x:t xml:space="preserve">DOI_10.1126_science.aat5031</x:t>
        </x:is>
      </x:c>
      <x:c r="E20" t="inlineStr">
        <x:is>
          <x:t xml:space="preserve">Spatiotemporal immune zonation of the human kidney.</x:t>
        </x:is>
      </x:c>
      <x:c r="F20" t="inlineStr">
        <x:is>
          <x:t xml:space="preserve">quick_consistency</x:t>
        </x:is>
      </x:c>
      <x:c r="G20" t="n">
        <x:v>54</x:v>
      </x:c>
      <x:c r="H20" t="n">
        <x:v>0</x:v>
      </x:c>
      <x:c r="I20" t="n">
        <x:v>0</x:v>
      </x:c>
      <x:c r="J20" t="n">
        <x:v>0</x:v>
      </x:c>
      <x:c r="K20" t="n">
        <x:v>54</x:v>
      </x:c>
      <x:c r="L20" t="n">
        <x:v>0</x:v>
      </x:c>
      <x:c r="M20" t="inlineStr">
        <x:is>
          <x:t xml:space="preserve">scripts/extract_markers/markers_output/DOI_10.1126_science.aat5031_review.csv</x:t>
        </x:is>
      </x:c>
      <x:c r="N20" t="inlineStr">
        <x:is>
          <x:t xml:space="preserve">2026-08-14</x:t>
        </x:is>
      </x:c>
      <x:c r="O20" t="inlineStr">
        <x:is>
          <x:t xml:space="preserve">reviewed_no_formal_pns_marker: 仅复用明确PNS细胞且作者直接给出marker/注释语境的旧候选</x:t>
        </x:is>
      </x:c>
    </x:row>
    <x:row r="21">
      <x:c r="A21" t="inlineStr">
        <x:is>
          <x:t xml:space="preserve">B20260814-002</x:t>
        </x:is>
      </x:c>
      <x:c r="B21" t="n">
        <x:v>23</x:v>
      </x:c>
      <x:c r="C21" t="inlineStr">
        <x:is>
          <x:t xml:space="preserve">DOI_10.1016_j.isci.2024.111628</x:t>
        </x:is>
      </x:c>
      <x:c r="D21" t="inlineStr">
        <x:is>
          <x:t xml:space="preserve">DOI_10.1016_j.isci.2024.111628</x:t>
        </x:is>
      </x:c>
      <x:c r="E21" t="inlineStr">
        <x:is>
          <x:t xml:space="preserve">Exploring the utility of snRNA-seq in profiling human bladder tissue: A comprehensive comparison with scRNA-seq.</x:t>
        </x:is>
      </x:c>
      <x:c r="F21" t="inlineStr">
        <x:is>
          <x:t xml:space="preserve">quick_consistency</x:t>
        </x:is>
      </x:c>
      <x:c r="G21" t="n">
        <x:v>3</x:v>
      </x:c>
      <x:c r="H21" t="n">
        <x:v>3</x:v>
      </x:c>
      <x:c r="I21" t="n">
        <x:v>2</x:v>
      </x:c>
      <x:c r="J21" t="n">
        <x:v>1</x:v>
      </x:c>
      <x:c r="K21" t="n">
        <x:v>0</x:v>
      </x:c>
      <x:c r="L21" t="n">
        <x:v>2</x:v>
      </x:c>
      <x:c r="M21" t="inlineStr">
        <x:is>
          <x:t xml:space="preserve">scripts/extract_markers/markers_output/DOI_10.1016_j.isci.2024.111628_review.csv</x:t>
        </x:is>
      </x:c>
      <x:c r="N21" t="inlineStr">
        <x:is>
          <x:t xml:space="preserve">2026-08-14</x:t>
        </x:is>
      </x:c>
      <x:c r="O21" t="inlineStr">
        <x:is>
          <x:t xml:space="preserve">ready_to_import: 仅复用明确PNS细胞且作者直接给出marker/注释语境的旧候选</x:t>
        </x:is>
      </x:c>
    </x:row>
    <x:row r="22">
      <x:c r="A22" t="inlineStr">
        <x:is>
          <x:t xml:space="preserve">B20260814-002</x:t>
        </x:is>
      </x:c>
      <x:c r="B22" t="n">
        <x:v>24</x:v>
      </x:c>
      <x:c r="C22" t="inlineStr">
        <x:is>
          <x:t xml:space="preserve">DOI_10.1002_pros.24020</x:t>
        </x:is>
      </x:c>
      <x:c r="D22" t="inlineStr">
        <x:is>
          <x:t xml:space="preserve">DOI_10.1002_pros.24020</x:t>
        </x:is>
      </x:c>
      <x:c r="E22" t="inlineStr">
        <x:is>
          <x:t xml:space="preserve">Urethral luminal epithelia are castration-insensitive cells of the proximal prostate.</x:t>
        </x:is>
      </x:c>
      <x:c r="F22" t="inlineStr">
        <x:is>
          <x:t xml:space="preserve">legacy_unusable</x:t>
        </x:is>
      </x:c>
      <x:c r="G22" t="n">
        <x:v>0</x:v>
      </x:c>
      <x:c r="H22" t="n">
        <x:v>0</x:v>
      </x:c>
      <x:c r="I22" t="n">
        <x:v>0</x:v>
      </x:c>
      <x:c r="J22" t="n">
        <x:v>0</x:v>
      </x:c>
      <x:c r="K22" t="n">
        <x:v>0</x:v>
      </x:c>
      <x:c r="L22" t="n">
        <x:v>0</x:v>
      </x:c>
      <x:c r="N22" t="inlineStr">
        <x:is>
          <x:t xml:space="preserve">2026-08-14</x:t>
        </x:is>
      </x:c>
      <x:c r="O22" t="inlineStr">
        <x:is>
          <x:t xml:space="preserve">needs_reextract: 未找到可复用的旧复核 CSV</x:t>
        </x:is>
      </x:c>
    </x:row>
    <x:row r="23">
      <x:c r="A23" t="inlineStr">
        <x:is>
          <x:t xml:space="preserve">B20260814-002</x:t>
        </x:is>
      </x:c>
      <x:c r="B23" t="n">
        <x:v>25</x:v>
      </x:c>
      <x:c r="C23" t="inlineStr">
        <x:is>
          <x:t xml:space="preserve">DOI_10.1016_j.celrep.2018.11.086</x:t>
        </x:is>
      </x:c>
      <x:c r="D23" t="inlineStr">
        <x:is>
          <x:t xml:space="preserve">DOI_10.1016_j.celrep.2018.11.086</x:t>
        </x:is>
      </x:c>
      <x:c r="E23" t="inlineStr">
        <x:is>
          <x:t xml:space="preserve">A Cellular Anatomy of the Normal Adult Human Prostate and Prostatic Urethra.</x:t>
        </x:is>
      </x:c>
      <x:c r="F23" t="inlineStr">
        <x:is>
          <x:t xml:space="preserve">quick_consistency</x:t>
        </x:is>
      </x:c>
      <x:c r="G23" t="n">
        <x:v>29</x:v>
      </x:c>
      <x:c r="H23" t="n">
        <x:v>2</x:v>
      </x:c>
      <x:c r="I23" t="n">
        <x:v>2</x:v>
      </x:c>
      <x:c r="J23" t="n">
        <x:v>0</x:v>
      </x:c>
      <x:c r="K23" t="n">
        <x:v>27</x:v>
      </x:c>
      <x:c r="L23" t="n">
        <x:v>2</x:v>
      </x:c>
      <x:c r="M23" t="inlineStr">
        <x:is>
          <x:t xml:space="preserve">scripts/extract_markers/markers_output/DOI_10.1016_j.celrep.2018.11.086_review.csv</x:t>
        </x:is>
      </x:c>
      <x:c r="N23" t="inlineStr">
        <x:is>
          <x:t xml:space="preserve">2026-08-14</x:t>
        </x:is>
      </x:c>
      <x:c r="O23" t="inlineStr">
        <x:is>
          <x:t xml:space="preserve">ready_to_import: 仅复用明确PNS细胞且作者直接给出marker/注释语境的旧候选</x:t>
        </x:is>
      </x:c>
    </x:row>
    <x:row r="24">
      <x:c r="A24" t="inlineStr">
        <x:is>
          <x:t xml:space="preserve">B20260814-002</x:t>
        </x:is>
      </x:c>
      <x:c r="B24" t="n">
        <x:v>26</x:v>
      </x:c>
      <x:c r="C24" t="inlineStr">
        <x:is>
          <x:t xml:space="preserve">DOI_10.1101_2024.10.23.619925</x:t>
        </x:is>
      </x:c>
      <x:c r="D24" t="inlineStr">
        <x:is>
          <x:t xml:space="preserve">DOI_10.1101_2024.10.23.619925</x:t>
        </x:is>
      </x:c>
      <x:c r="E24" t="inlineStr">
        <x:is>
          <x:t xml:space="preserve">Profiling of epithelial functional states and fibroblast phenotypes in hormone therapy-naïve localised prostate cancer</x:t>
        </x:is>
      </x:c>
      <x:c r="F24" t="inlineStr">
        <x:is>
          <x:t xml:space="preserve">quick_consistency</x:t>
        </x:is>
      </x:c>
      <x:c r="G24" t="n">
        <x:v>55</x:v>
      </x:c>
      <x:c r="H24" t="n">
        <x:v>2</x:v>
      </x:c>
      <x:c r="I24" t="n">
        <x:v>2</x:v>
      </x:c>
      <x:c r="J24" t="n">
        <x:v>0</x:v>
      </x:c>
      <x:c r="K24" t="n">
        <x:v>53</x:v>
      </x:c>
      <x:c r="L24" t="n">
        <x:v>2</x:v>
      </x:c>
      <x:c r="M24" t="inlineStr">
        <x:is>
          <x:t xml:space="preserve">scripts/extract_markers/markers_output/DOI_10.1101_2024.10.23.619925_review.csv</x:t>
        </x:is>
      </x:c>
      <x:c r="N24" t="inlineStr">
        <x:is>
          <x:t xml:space="preserve">2026-08-14</x:t>
        </x:is>
      </x:c>
      <x:c r="O24" t="inlineStr">
        <x:is>
          <x:t xml:space="preserve">ready_to_import: 仅复用明确PNS细胞且作者直接给出marker/注释语境的旧候选</x:t>
        </x:is>
      </x:c>
    </x:row>
    <x:row r="25">
      <x:c r="A25" t="inlineStr">
        <x:is>
          <x:t xml:space="preserve">B20260814-002</x:t>
        </x:is>
      </x:c>
      <x:c r="B25" t="n">
        <x:v>27</x:v>
      </x:c>
      <x:c r="C25" t="inlineStr">
        <x:is>
          <x:t xml:space="preserve">DOI_10.1101_2025.01.17.633590</x:t>
        </x:is>
      </x:c>
      <x:c r="D25" t="inlineStr">
        <x:is>
          <x:t xml:space="preserve">DOI_10.1101_2025.01.17.633590</x:t>
        </x:is>
      </x:c>
      <x:c r="E25" t="inlineStr">
        <x:is>
          <x:t xml:space="preserve">Single-cell decoding of human islet cell type-specific alterations in type 2 diabetes reveals converging genetic- and state-driven β-cell gene expression defects</x:t>
        </x:is>
      </x:c>
      <x:c r="F25" t="inlineStr">
        <x:is>
          <x:t xml:space="preserve">quick_consistency</x:t>
        </x:is>
      </x:c>
      <x:c r="G25" t="n">
        <x:v>35</x:v>
      </x:c>
      <x:c r="H25" t="n">
        <x:v>1</x:v>
      </x:c>
      <x:c r="I25" t="n">
        <x:v>1</x:v>
      </x:c>
      <x:c r="J25" t="n">
        <x:v>0</x:v>
      </x:c>
      <x:c r="K25" t="n">
        <x:v>34</x:v>
      </x:c>
      <x:c r="L25" t="n">
        <x:v>1</x:v>
      </x:c>
      <x:c r="M25" t="inlineStr">
        <x:is>
          <x:t xml:space="preserve">scripts/extract_markers/markers_output/DOI_10.1101_2025.01.17.633590_review.csv</x:t>
        </x:is>
      </x:c>
      <x:c r="N25" t="inlineStr">
        <x:is>
          <x:t xml:space="preserve">2026-08-14</x:t>
        </x:is>
      </x:c>
      <x:c r="O25" t="inlineStr">
        <x:is>
          <x:t xml:space="preserve">ready_to_import: 仅复用明确PNS细胞且作者直接给出marker/注释语境的旧候选</x:t>
        </x:is>
      </x:c>
    </x:row>
    <x:row r="26">
      <x:c r="A26" t="inlineStr">
        <x:is>
          <x:t xml:space="preserve">B20260814-002</x:t>
        </x:is>
      </x:c>
      <x:c r="B26" t="n">
        <x:v>28</x:v>
      </x:c>
      <x:c r="C26" t="inlineStr">
        <x:is>
          <x:t xml:space="preserve">DOI_10.1016_j.cell.2017.09.004</x:t>
        </x:is>
      </x:c>
      <x:c r="D26" t="inlineStr">
        <x:is>
          <x:t xml:space="preserve">DOI_10.1016_j.cell.2017.09.004</x:t>
        </x:is>
      </x:c>
      <x:c r="E26" t="inlineStr">
        <x:is>
          <x:t xml:space="preserve">Single-Cell Analysis of Human Pancreas Reveals Transcriptional Signatures of Aging and Somatic Mutation Patterns.</x:t>
        </x:is>
      </x:c>
      <x:c r="F26" t="inlineStr">
        <x:is>
          <x:t xml:space="preserve">legacy_unusable</x:t>
        </x:is>
      </x:c>
      <x:c r="G26" t="n">
        <x:v>0</x:v>
      </x:c>
      <x:c r="H26" t="n">
        <x:v>0</x:v>
      </x:c>
      <x:c r="I26" t="n">
        <x:v>0</x:v>
      </x:c>
      <x:c r="J26" t="n">
        <x:v>0</x:v>
      </x:c>
      <x:c r="K26" t="n">
        <x:v>0</x:v>
      </x:c>
      <x:c r="L26" t="n">
        <x:v>0</x:v>
      </x:c>
      <x:c r="N26" t="inlineStr">
        <x:is>
          <x:t xml:space="preserve">2026-08-14</x:t>
        </x:is>
      </x:c>
      <x:c r="O26" t="inlineStr">
        <x:is>
          <x:t xml:space="preserve">needs_reextract: 未找到可复用的旧复核 CSV</x:t>
        </x:is>
      </x:c>
    </x:row>
    <x:row r="27">
      <x:c r="A27" t="inlineStr">
        <x:is>
          <x:t xml:space="preserve">B20260814-002</x:t>
        </x:is>
      </x:c>
      <x:c r="B27" t="n">
        <x:v>29</x:v>
      </x:c>
      <x:c r="C27" t="inlineStr">
        <x:is>
          <x:t xml:space="preserve">DOI_10.1038_s41591-024-03215-z</x:t>
        </x:is>
      </x:c>
      <x:c r="D27" t="inlineStr">
        <x:is>
          <x:t xml:space="preserve">DOI_10.1038_s41591-024-03215-z</x:t>
        </x:is>
      </x:c>
      <x:c r="E27" t="inlineStr">
        <x:is>
          <x:t xml:space="preserve">A multi-modal single-cell and spatial expression map of metastatic breast cancer biopsies across clinicopathological features.</x:t>
        </x:is>
      </x:c>
      <x:c r="F27" t="inlineStr">
        <x:is>
          <x:t xml:space="preserve">quick_consistency</x:t>
        </x:is>
      </x:c>
      <x:c r="G27" t="n">
        <x:v>14</x:v>
      </x:c>
      <x:c r="H27" t="n">
        <x:v>0</x:v>
      </x:c>
      <x:c r="I27" t="n">
        <x:v>0</x:v>
      </x:c>
      <x:c r="J27" t="n">
        <x:v>0</x:v>
      </x:c>
      <x:c r="K27" t="n">
        <x:v>14</x:v>
      </x:c>
      <x:c r="L27" t="n">
        <x:v>0</x:v>
      </x:c>
      <x:c r="M27" t="inlineStr">
        <x:is>
          <x:t xml:space="preserve">scripts/extract_markers/markers_output/DOI_10.1038_s41591_024_03215_z_review.csv</x:t>
        </x:is>
      </x:c>
      <x:c r="N27" t="inlineStr">
        <x:is>
          <x:t xml:space="preserve">2026-08-14</x:t>
        </x:is>
      </x:c>
      <x:c r="O27" t="inlineStr">
        <x:is>
          <x:t xml:space="preserve">reviewed_no_formal_pns_marker: 仅复用明确PNS细胞且作者直接给出marker/注释语境的旧候选</x:t>
        </x:is>
      </x:c>
    </x:row>
    <x:row r="28">
      <x:c r="A28" t="inlineStr">
        <x:is>
          <x:t xml:space="preserve">B20260814-002</x:t>
        </x:is>
      </x:c>
      <x:c r="B28" t="n">
        <x:v>30</x:v>
      </x:c>
      <x:c r="C28" t="inlineStr">
        <x:is>
          <x:t xml:space="preserve">DOI_10.1038_s42003-021-02562-8</x:t>
        </x:is>
      </x:c>
      <x:c r="D28" t="inlineStr">
        <x:is>
          <x:t xml:space="preserve">DOI_10.1038_s42003-021-02562-8</x:t>
        </x:is>
      </x:c>
      <x:c r="E28" t="inlineStr">
        <x:is>
          <x:t xml:space="preserve">Identification of distinct tumor cell populations and key genetic mechanisms through single cell sequencing in hepatoblastoma.</x:t>
        </x:is>
      </x:c>
      <x:c r="F28" t="inlineStr">
        <x:is>
          <x:t xml:space="preserve">quick_consistency</x:t>
        </x:is>
      </x:c>
      <x:c r="G28" t="n">
        <x:v>14</x:v>
      </x:c>
      <x:c r="H28" t="n">
        <x:v>0</x:v>
      </x:c>
      <x:c r="I28" t="n">
        <x:v>0</x:v>
      </x:c>
      <x:c r="J28" t="n">
        <x:v>0</x:v>
      </x:c>
      <x:c r="K28" t="n">
        <x:v>14</x:v>
      </x:c>
      <x:c r="L28" t="n">
        <x:v>0</x:v>
      </x:c>
      <x:c r="M28" t="inlineStr">
        <x:is>
          <x:t xml:space="preserve">scripts/extract_markers/markers_output/DOI_10.1038_s42003_021_02562_8_review.csv</x:t>
        </x:is>
      </x:c>
      <x:c r="N28" t="inlineStr">
        <x:is>
          <x:t xml:space="preserve">2026-08-14</x:t>
        </x:is>
      </x:c>
      <x:c r="O28" t="inlineStr">
        <x:is>
          <x:t xml:space="preserve">reviewed_no_formal_pns_marker: 仅复用明确PNS细胞且作者直接给出marker/注释语境的旧候选</x:t>
        </x:is>
      </x:c>
    </x:row>
    <x:row r="29">
      <x:c r="A29" t="inlineStr">
        <x:is>
          <x:t xml:space="preserve">B20260814-002</x:t>
        </x:is>
      </x:c>
      <x:c r="B29" t="n">
        <x:v>31</x:v>
      </x:c>
      <x:c r="C29" t="inlineStr">
        <x:is>
          <x:t xml:space="preserve">DOI_10.1038_s41588-025-02158-6</x:t>
        </x:is>
      </x:c>
      <x:c r="D29" t="inlineStr">
        <x:is>
          <x:t xml:space="preserve">DOI_10.1038_s41588-025-02158-6</x:t>
        </x:is>
      </x:c>
      <x:c r="E29" t="inlineStr">
        <x:is>
          <x:t xml:space="preserve">Longitudinal single-cell multiomic atlas of high-risk neuroblastoma reveals chemotherapy-induced tumor microenvironment rewiring.</x:t>
        </x:is>
      </x:c>
      <x:c r="F29" t="inlineStr">
        <x:is>
          <x:t xml:space="preserve">quick_consistency</x:t>
        </x:is>
      </x:c>
      <x:c r="G29" t="n">
        <x:v>92</x:v>
      </x:c>
      <x:c r="H29" t="n">
        <x:v>2</x:v>
      </x:c>
      <x:c r="I29" t="n">
        <x:v>2</x:v>
      </x:c>
      <x:c r="J29" t="n">
        <x:v>0</x:v>
      </x:c>
      <x:c r="K29" t="n">
        <x:v>90</x:v>
      </x:c>
      <x:c r="L29" t="n">
        <x:v>2</x:v>
      </x:c>
      <x:c r="M29" t="inlineStr">
        <x:is>
          <x:t xml:space="preserve">scripts/extract_markers/markers_output/DOI_10.1038_s41588_025_02158_6_review.csv</x:t>
        </x:is>
      </x:c>
      <x:c r="N29" t="inlineStr">
        <x:is>
          <x:t xml:space="preserve">2026-08-14</x:t>
        </x:is>
      </x:c>
      <x:c r="O29" t="inlineStr">
        <x:is>
          <x:t xml:space="preserve">ready_to_import: 仅复用明确PNS细胞且作者直接给出marker/注释语境的旧候选</x:t>
        </x:is>
      </x:c>
    </x:row>
    <x:row r="30">
      <x:c r="A30" t="inlineStr">
        <x:is>
          <x:t xml:space="preserve">B20260814-002</x:t>
        </x:is>
      </x:c>
      <x:c r="B30" t="n">
        <x:v>32</x:v>
      </x:c>
      <x:c r="C30" t="inlineStr">
        <x:is>
          <x:t xml:space="preserve">DOI_10.1038_s41586-021-03929-x</x:t>
        </x:is>
      </x:c>
      <x:c r="D30" t="inlineStr">
        <x:is>
          <x:t xml:space="preserve">DOI_10.1038_s41586-021-03929-x</x:t>
        </x:is>
      </x:c>
      <x:c r="E30" t="inlineStr">
        <x:is>
          <x:t xml:space="preserve">Blood and immune development in human fetal bone marrow and Down syndrome.</x:t>
        </x:is>
      </x:c>
      <x:c r="F30" t="inlineStr">
        <x:is>
          <x:t xml:space="preserve">legacy_unusable</x:t>
        </x:is>
      </x:c>
      <x:c r="G30" t="n">
        <x:v>0</x:v>
      </x:c>
      <x:c r="H30" t="n">
        <x:v>0</x:v>
      </x:c>
      <x:c r="I30" t="n">
        <x:v>0</x:v>
      </x:c>
      <x:c r="J30" t="n">
        <x:v>0</x:v>
      </x:c>
      <x:c r="K30" t="n">
        <x:v>0</x:v>
      </x:c>
      <x:c r="L30" t="n">
        <x:v>0</x:v>
      </x:c>
      <x:c r="N30" t="inlineStr">
        <x:is>
          <x:t xml:space="preserve">2026-08-14</x:t>
        </x:is>
      </x:c>
      <x:c r="O30" t="inlineStr">
        <x:is>
          <x:t xml:space="preserve">needs_reextract: 旧结果存在已确认的论文映射污染，未复用</x:t>
        </x:is>
      </x:c>
    </x:row>
    <x:row r="31">
      <x:c r="A31" t="inlineStr">
        <x:is>
          <x:t xml:space="preserve">B20260814-002</x:t>
        </x:is>
      </x:c>
      <x:c r="B31" t="n">
        <x:v>33</x:v>
      </x:c>
      <x:c r="C31" t="inlineStr">
        <x:is>
          <x:t xml:space="preserve">DOI_10.1038_s41588-025-02182-6</x:t>
        </x:is>
      </x:c>
      <x:c r="D31" t="inlineStr">
        <x:is>
          <x:t xml:space="preserve">DOI_10.1038_s41588-025-02182-6</x:t>
        </x:is>
      </x:c>
      <x:c r="E31" t="inlineStr">
        <x:is>
          <x:t xml:space="preserve">An integrated transcriptomic cell atlas of human endoderm-derived organoids.</x:t>
        </x:is>
      </x:c>
      <x:c r="F31" t="inlineStr">
        <x:is>
          <x:t xml:space="preserve">legacy_unusable</x:t>
        </x:is>
      </x:c>
      <x:c r="G31" t="n">
        <x:v>0</x:v>
      </x:c>
      <x:c r="H31" t="n">
        <x:v>0</x:v>
      </x:c>
      <x:c r="I31" t="n">
        <x:v>0</x:v>
      </x:c>
      <x:c r="J31" t="n">
        <x:v>0</x:v>
      </x:c>
      <x:c r="K31" t="n">
        <x:v>0</x:v>
      </x:c>
      <x:c r="L31" t="n">
        <x:v>0</x:v>
      </x:c>
      <x:c r="N31" t="inlineStr">
        <x:is>
          <x:t xml:space="preserve">2026-08-14</x:t>
        </x:is>
      </x:c>
      <x:c r="O31" t="inlineStr">
        <x:is>
          <x:t xml:space="preserve">needs_reextract: 未找到可复用的旧复核 CSV</x:t>
        </x:is>
      </x:c>
    </x:row>
    <x:row r="32">
      <x:c r="A32" t="inlineStr">
        <x:is>
          <x:t xml:space="preserve">B20260814-002</x:t>
        </x:is>
      </x:c>
      <x:c r="B32" t="n">
        <x:v>34</x:v>
      </x:c>
      <x:c r="C32" t="inlineStr">
        <x:is>
          <x:t xml:space="preserve">DOI_10.1126_science.abl4290</x:t>
        </x:is>
      </x:c>
      <x:c r="D32" t="inlineStr">
        <x:is>
          <x:t xml:space="preserve">DOI_10.1126_science.abl4290</x:t>
        </x:is>
      </x:c>
      <x:c r="E32" t="inlineStr">
        <x:is>
          <x:t xml:space="preserve">Single-nucleus cross-tissue molecular reference maps toward understanding disease gene function.</x:t>
        </x:is>
      </x:c>
      <x:c r="F32" t="inlineStr">
        <x:is>
          <x:t xml:space="preserve">quick_consistency</x:t>
        </x:is>
      </x:c>
      <x:c r="G32" t="n">
        <x:v>66</x:v>
      </x:c>
      <x:c r="H32" t="n">
        <x:v>1</x:v>
      </x:c>
      <x:c r="I32" t="n">
        <x:v>0</x:v>
      </x:c>
      <x:c r="J32" t="n">
        <x:v>1</x:v>
      </x:c>
      <x:c r="K32" t="n">
        <x:v>65</x:v>
      </x:c>
      <x:c r="L32" t="n">
        <x:v>0</x:v>
      </x:c>
      <x:c r="M32" t="inlineStr">
        <x:is>
          <x:t xml:space="preserve">scripts/extract_markers/markers_output/DOI_10.1126_science.abl4290_review.csv</x:t>
        </x:is>
      </x:c>
      <x:c r="N32" t="inlineStr">
        <x:is>
          <x:t xml:space="preserve">2026-08-14</x:t>
        </x:is>
      </x:c>
      <x:c r="O32" t="inlineStr">
        <x:is>
          <x:t xml:space="preserve">reviewed_no_formal_pns_marker: 仅复用明确PNS细胞且作者直接给出marker/注释语境的旧候选</x:t>
        </x:is>
      </x:c>
    </x:row>
    <x:row r="33">
      <x:c r="A33" t="inlineStr">
        <x:is>
          <x:t xml:space="preserve">B20260814-002</x:t>
        </x:is>
      </x:c>
      <x:c r="B33" t="n">
        <x:v>35</x:v>
      </x:c>
      <x:c r="C33" t="inlineStr">
        <x:is>
          <x:t xml:space="preserve">DOI_10.1126_science.abo0510</x:t>
        </x:is>
      </x:c>
      <x:c r="D33" t="inlineStr">
        <x:is>
          <x:t xml:space="preserve">DOI_10.1126_science.abo0510</x:t>
        </x:is>
      </x:c>
      <x:c r="E33" t="inlineStr">
        <x:is>
          <x:t xml:space="preserve">Mapping the developing human immune system across organs.</x:t>
        </x:is>
      </x:c>
      <x:c r="F33" t="inlineStr">
        <x:is>
          <x:t xml:space="preserve">quick_consistency</x:t>
        </x:is>
      </x:c>
      <x:c r="G33" t="n">
        <x:v>67</x:v>
      </x:c>
      <x:c r="H33" t="n">
        <x:v>0</x:v>
      </x:c>
      <x:c r="I33" t="n">
        <x:v>0</x:v>
      </x:c>
      <x:c r="J33" t="n">
        <x:v>0</x:v>
      </x:c>
      <x:c r="K33" t="n">
        <x:v>67</x:v>
      </x:c>
      <x:c r="L33" t="n">
        <x:v>0</x:v>
      </x:c>
      <x:c r="M33" t="inlineStr">
        <x:is>
          <x:t xml:space="preserve">scripts/extract_markers/markers_output/DOI_10.1126_science.abo0510_review.csv</x:t>
        </x:is>
      </x:c>
      <x:c r="N33" t="inlineStr">
        <x:is>
          <x:t xml:space="preserve">2026-08-14</x:t>
        </x:is>
      </x:c>
      <x:c r="O33" t="inlineStr">
        <x:is>
          <x:t xml:space="preserve">reviewed_no_formal_pns_marker: 仅复用明确PNS细胞且作者直接给出marker/注释语境的旧候选</x:t>
        </x:is>
      </x:c>
    </x:row>
    <x:row r="34">
      <x:c r="A34" t="inlineStr">
        <x:is>
          <x:t xml:space="preserve">B20260814-002</x:t>
        </x:is>
      </x:c>
      <x:c r="B34" t="n">
        <x:v>36</x:v>
      </x:c>
      <x:c r="C34" t="inlineStr">
        <x:is>
          <x:t xml:space="preserve">DOI_10.1038_s41467-024-52052-8</x:t>
        </x:is>
      </x:c>
      <x:c r="D34" t="inlineStr">
        <x:is>
          <x:t xml:space="preserve">DOI_10.1038_s41467-024-52052-8</x:t>
        </x:is>
      </x:c>
      <x:c r="E34" t="inlineStr">
        <x:is>
          <x:t xml:space="preserve">The single-cell transcriptomic atlas iPain identifies senescence of nociceptors as a therapeutical target for chronic pain treatment.</x:t>
        </x:is>
      </x:c>
      <x:c r="F34" t="inlineStr">
        <x:is>
          <x:t xml:space="preserve">quick_consistency</x:t>
        </x:is>
      </x:c>
      <x:c r="G34" t="n">
        <x:v>1</x:v>
      </x:c>
      <x:c r="H34" t="n">
        <x:v>1</x:v>
      </x:c>
      <x:c r="I34" t="n">
        <x:v>1</x:v>
      </x:c>
      <x:c r="J34" t="n">
        <x:v>0</x:v>
      </x:c>
      <x:c r="K34" t="n">
        <x:v>0</x:v>
      </x:c>
      <x:c r="L34" t="n">
        <x:v>1</x:v>
      </x:c>
      <x:c r="M34" t="inlineStr">
        <x:is>
          <x:t xml:space="preserve">scripts/extract_markers/markers_output/DOI_10.1038_s41467_024_52052_8_review.csv</x:t>
        </x:is>
      </x:c>
      <x:c r="N34" t="inlineStr">
        <x:is>
          <x:t xml:space="preserve">2026-08-14</x:t>
        </x:is>
      </x:c>
      <x:c r="O34" t="inlineStr">
        <x:is>
          <x:t xml:space="preserve">ready_to_import: 仅复用明确PNS细胞且作者直接给出marker/注释语境的旧候选</x:t>
        </x:is>
      </x:c>
    </x:row>
    <x:row r="35">
      <x:c r="A35" t="inlineStr">
        <x:is>
          <x:t xml:space="preserve">B20260814-002</x:t>
        </x:is>
      </x:c>
      <x:c r="B35" t="n">
        <x:v>39</x:v>
      </x:c>
      <x:c r="C35" t="inlineStr">
        <x:is>
          <x:t xml:space="preserve">DOI_10.1101_2025.09.26.678707</x:t>
        </x:is>
      </x:c>
      <x:c r="D35" t="inlineStr">
        <x:is>
          <x:t xml:space="preserve">DOI_10.1101_2025.09.26.678707</x:t>
        </x:is>
      </x:c>
      <x:c r="E35" t="inlineStr">
        <x:is>
          <x:t xml:space="preserve">Cellular and Spatial Drivers of Unresolved Injury and Functional Decline in the Human Kidney</x:t>
        </x:is>
      </x:c>
      <x:c r="F35" t="inlineStr">
        <x:is>
          <x:t xml:space="preserve">legacy_unusable</x:t>
        </x:is>
      </x:c>
      <x:c r="G35" t="n">
        <x:v>0</x:v>
      </x:c>
      <x:c r="H35" t="n">
        <x:v>0</x:v>
      </x:c>
      <x:c r="I35" t="n">
        <x:v>0</x:v>
      </x:c>
      <x:c r="J35" t="n">
        <x:v>0</x:v>
      </x:c>
      <x:c r="K35" t="n">
        <x:v>0</x:v>
      </x:c>
      <x:c r="L35" t="n">
        <x:v>0</x:v>
      </x:c>
      <x:c r="N35" t="inlineStr">
        <x:is>
          <x:t xml:space="preserve">2026-08-14</x:t>
        </x:is>
      </x:c>
      <x:c r="O35" t="inlineStr">
        <x:is>
          <x:t xml:space="preserve">needs_reextract: 旧结果存在已确认的论文映射污染，未复用</x:t>
        </x:is>
      </x:c>
    </x:row>
    <x:row r="36">
      <x:c r="A36" t="inlineStr">
        <x:is>
          <x:t xml:space="preserve">B20260814-002</x:t>
        </x:is>
      </x:c>
      <x:c r="B36" t="n">
        <x:v>40</x:v>
      </x:c>
      <x:c r="C36" t="inlineStr">
        <x:is>
          <x:t xml:space="preserve">DOI_10.1038_s41467-021-21783-3</x:t>
        </x:is>
      </x:c>
      <x:c r="D36" t="inlineStr">
        <x:is>
          <x:t xml:space="preserve">DOI_10.1038_s41467-021-21783-3</x:t>
        </x:is>
      </x:c>
      <x:c r="E36" t="inlineStr">
        <x:is>
          <x:t xml:space="preserve">Time-resolved single-cell analysis of Brca1 associated mammary tumourigenesis reveals aberrant differentiation of luminal progenitors.</x:t>
        </x:is>
      </x:c>
      <x:c r="F36" t="inlineStr">
        <x:is>
          <x:t xml:space="preserve">legacy_unusable</x:t>
        </x:is>
      </x:c>
      <x:c r="G36" t="n">
        <x:v>0</x:v>
      </x:c>
      <x:c r="H36" t="n">
        <x:v>0</x:v>
      </x:c>
      <x:c r="I36" t="n">
        <x:v>0</x:v>
      </x:c>
      <x:c r="J36" t="n">
        <x:v>0</x:v>
      </x:c>
      <x:c r="K36" t="n">
        <x:v>0</x:v>
      </x:c>
      <x:c r="L36" t="n">
        <x:v>0</x:v>
      </x:c>
      <x:c r="N36" t="inlineStr">
        <x:is>
          <x:t xml:space="preserve">2026-08-14</x:t>
        </x:is>
      </x:c>
      <x:c r="O36" t="inlineStr">
        <x:is>
          <x:t xml:space="preserve">needs_reextract: 未找到可复用的旧复核 CSV</x:t>
        </x:is>
      </x:c>
    </x:row>
    <x:row r="37">
      <x:c r="A37" t="inlineStr">
        <x:is>
          <x:t xml:space="preserve">B20260814-002</x:t>
        </x:is>
      </x:c>
      <x:c r="B37" t="n">
        <x:v>41</x:v>
      </x:c>
      <x:c r="C37" t="inlineStr">
        <x:is>
          <x:t xml:space="preserve">DOI_10.1038_s42255-023-00876-x</x:t>
        </x:is>
      </x:c>
      <x:c r="D37" t="inlineStr">
        <x:is>
          <x:t xml:space="preserve">DOI_10.1038_s42255-023-00876-x</x:t>
        </x:is>
      </x:c>
      <x:c r="E37" t="inlineStr">
        <x:is>
          <x:t xml:space="preserve">Delineating mouse β-cell identity during lifetime and in diabetes with a single cell atlas.</x:t>
        </x:is>
      </x:c>
      <x:c r="F37" t="inlineStr">
        <x:is>
          <x:t xml:space="preserve">quick_consistency</x:t>
        </x:is>
      </x:c>
      <x:c r="G37" t="n">
        <x:v>61</x:v>
      </x:c>
      <x:c r="H37" t="n">
        <x:v>3</x:v>
      </x:c>
      <x:c r="I37" t="n">
        <x:v>3</x:v>
      </x:c>
      <x:c r="J37" t="n">
        <x:v>0</x:v>
      </x:c>
      <x:c r="K37" t="n">
        <x:v>58</x:v>
      </x:c>
      <x:c r="L37" t="n">
        <x:v>3</x:v>
      </x:c>
      <x:c r="M37" t="inlineStr">
        <x:is>
          <x:t xml:space="preserve">scripts/extract_markers/markers_output/DOI_10.1038_s42255_023_00876_x_review.csv</x:t>
        </x:is>
      </x:c>
      <x:c r="N37" t="inlineStr">
        <x:is>
          <x:t xml:space="preserve">2026-08-14</x:t>
        </x:is>
      </x:c>
      <x:c r="O37" t="inlineStr">
        <x:is>
          <x:t xml:space="preserve">ready_to_import: 仅复用明确PNS细胞且作者直接给出marker/注释语境的旧候选</x:t>
        </x:is>
      </x:c>
    </x:row>
    <x:row r="38">
      <x:c r="A38" t="inlineStr">
        <x:is>
          <x:t xml:space="preserve">B20260814-002</x:t>
        </x:is>
      </x:c>
      <x:c r="B38" t="n">
        <x:v>42</x:v>
      </x:c>
      <x:c r="C38" t="inlineStr">
        <x:is>
          <x:t xml:space="preserve">DOI_10.1038_s41586-024-07069-w</x:t>
        </x:is>
      </x:c>
      <x:c r="D38" t="inlineStr">
        <x:is>
          <x:t xml:space="preserve">DOI_10.1038_s41586-024-07069-w</x:t>
        </x:is>
      </x:c>
      <x:c r="E38" t="inlineStr">
        <x:is>
          <x:t xml:space="preserve">A single-cell time-lapse of mouse prenatal development from gastrula to birth.</x:t>
        </x:is>
      </x:c>
      <x:c r="F38" t="inlineStr">
        <x:is>
          <x:t xml:space="preserve">quick_consistency</x:t>
        </x:is>
      </x:c>
      <x:c r="G38" t="n">
        <x:v>27</x:v>
      </x:c>
      <x:c r="H38" t="n">
        <x:v>1</x:v>
      </x:c>
      <x:c r="I38" t="n">
        <x:v>1</x:v>
      </x:c>
      <x:c r="J38" t="n">
        <x:v>0</x:v>
      </x:c>
      <x:c r="K38" t="n">
        <x:v>26</x:v>
      </x:c>
      <x:c r="L38" t="n">
        <x:v>1</x:v>
      </x:c>
      <x:c r="M38" t="inlineStr">
        <x:is>
          <x:t xml:space="preserve">scripts/extract_markers/markers_output/DOI_10.1038_s41586_024_07069_w_review.csv</x:t>
        </x:is>
      </x:c>
      <x:c r="N38" t="inlineStr">
        <x:is>
          <x:t xml:space="preserve">2026-08-14</x:t>
        </x:is>
      </x:c>
      <x:c r="O38" t="inlineStr">
        <x:is>
          <x:t xml:space="preserve">ready_to_import: 仅复用明确PNS细胞且作者直接给出marker/注释语境的旧候选</x:t>
        </x:is>
      </x:c>
    </x:row>
    <x:row r="39">
      <x:c r="A39" t="inlineStr">
        <x:is>
          <x:t xml:space="preserve">B20260814-002</x:t>
        </x:is>
      </x:c>
      <x:c r="B39" t="n">
        <x:v>43</x:v>
      </x:c>
      <x:c r="C39" t="inlineStr">
        <x:is>
          <x:t xml:space="preserve">DOI_10.1038_s41586-020-2496-1</x:t>
        </x:is>
      </x:c>
      <x:c r="D39" t="inlineStr">
        <x:is>
          <x:t xml:space="preserve">DOI_10.1038_s41586-020-2496-1</x:t>
        </x:is>
      </x:c>
      <x:c r="E39" t="inlineStr">
        <x:is>
          <x:t xml:space="preserve">A single-cell transcriptomic atlas characterizes ageing tissues in the mouse.</x:t>
        </x:is>
      </x:c>
      <x:c r="F39" t="inlineStr">
        <x:is>
          <x:t xml:space="preserve">quick_consistency</x:t>
        </x:is>
      </x:c>
      <x:c r="G39" t="n">
        <x:v>13</x:v>
      </x:c>
      <x:c r="H39" t="n">
        <x:v>0</x:v>
      </x:c>
      <x:c r="I39" t="n">
        <x:v>0</x:v>
      </x:c>
      <x:c r="J39" t="n">
        <x:v>0</x:v>
      </x:c>
      <x:c r="K39" t="n">
        <x:v>13</x:v>
      </x:c>
      <x:c r="L39" t="n">
        <x:v>0</x:v>
      </x:c>
      <x:c r="M39" t="inlineStr">
        <x:is>
          <x:t xml:space="preserve">scripts/extract_markers/markers_output/NATURE.587.619.2020_review.csv</x:t>
        </x:is>
      </x:c>
      <x:c r="N39" t="inlineStr">
        <x:is>
          <x:t xml:space="preserve">2026-08-14</x:t>
        </x:is>
      </x:c>
      <x:c r="O39" t="inlineStr">
        <x:is>
          <x:t xml:space="preserve">reviewed_no_formal_pns_marker: 仅复用明确PNS细胞且作者直接给出marker/注释语境的旧候选</x:t>
        </x:is>
      </x:c>
    </x:row>
    <x:row r="40">
      <x:c r="A40" t="inlineStr">
        <x:is>
          <x:t xml:space="preserve">B20260814-002</x:t>
        </x:is>
      </x:c>
      <x:c r="B40" t="n">
        <x:v>44</x:v>
      </x:c>
      <x:c r="C40" t="inlineStr">
        <x:is>
          <x:t xml:space="preserve">DOI_10.1038_s42003-024-07315-x</x:t>
        </x:is>
      </x:c>
      <x:c r="D40" t="inlineStr">
        <x:is>
          <x:t xml:space="preserve">DOI_10.1038_s42003-024-07315-x</x:t>
        </x:is>
      </x:c>
      <x:c r="E40" t="inlineStr">
        <x:is>
          <x:t xml:space="preserve">Cross-species single-cell RNA-seq analysis reveals disparate and conserved cardiac and extracardiac inflammatory responses upon heart injury.</x:t>
        </x:is>
      </x:c>
      <x:c r="F40" t="inlineStr">
        <x:is>
          <x:t xml:space="preserve">quick_consistency</x:t>
        </x:is>
      </x:c>
      <x:c r="G40" t="n">
        <x:v>53</x:v>
      </x:c>
      <x:c r="H40" t="n">
        <x:v>0</x:v>
      </x:c>
      <x:c r="I40" t="n">
        <x:v>0</x:v>
      </x:c>
      <x:c r="J40" t="n">
        <x:v>0</x:v>
      </x:c>
      <x:c r="K40" t="n">
        <x:v>53</x:v>
      </x:c>
      <x:c r="L40" t="n">
        <x:v>0</x:v>
      </x:c>
      <x:c r="M40" t="inlineStr">
        <x:is>
          <x:t xml:space="preserve">scripts/extract_markers/markers_output/DOI_10.1038_s42003_024_07315_x_review.csv</x:t>
        </x:is>
      </x:c>
      <x:c r="N40" t="inlineStr">
        <x:is>
          <x:t xml:space="preserve">2026-08-14</x:t>
        </x:is>
      </x:c>
      <x:c r="O40" t="inlineStr">
        <x:is>
          <x:t xml:space="preserve">reviewed_no_formal_pns_marker: 仅复用明确PNS细胞且作者直接给出marker/注释语境的旧候选</x:t>
        </x:is>
      </x:c>
    </x:row>
    <x:row r="41">
      <x:c r="A41" t="inlineStr">
        <x:is>
          <x:t xml:space="preserve">B20260814-003</x:t>
        </x:is>
      </x:c>
      <x:c r="B41" t="n">
        <x:v>1</x:v>
      </x:c>
      <x:c r="C41" t="inlineStr">
        <x:is>
          <x:t xml:space="preserve">DOI_10.1038_s41586-021-03710-0</x:t>
        </x:is>
      </x:c>
      <x:c r="D41" t="inlineStr">
        <x:is>
          <x:t xml:space="preserve">DOI_10.1038_s41586-021-03710-0</x:t>
        </x:is>
      </x:c>
      <x:c r="E41" t="inlineStr">
        <x:is>
          <x:t xml:space="preserve">Dysregulation of brain and choroid plexus cell types in severe COVID-19.</x:t>
        </x:is>
      </x:c>
      <x:c r="F41" t="inlineStr">
        <x:is>
          <x:t xml:space="preserve">quick_consistency</x:t>
        </x:is>
      </x:c>
      <x:c r="G41" t="n">
        <x:v>0</x:v>
      </x:c>
      <x:c r="H41" t="n">
        <x:v>0</x:v>
      </x:c>
      <x:c r="I41" t="n">
        <x:v>0</x:v>
      </x:c>
      <x:c r="J41" t="n">
        <x:v>0</x:v>
      </x:c>
      <x:c r="K41" t="n">
        <x:v>0</x:v>
      </x:c>
      <x:c r="L41" t="n">
        <x:v>0</x:v>
      </x:c>
      <x:c r="M41" t="inlineStr">
        <x:is>
          <x:t xml:space="preserve">scripts/extract_markers/review_md/DOI_10.1038_s41586-021-03710-0.md</x:t>
        </x:is>
      </x:c>
      <x:c r="N41" t="inlineStr">
        <x:is>
          <x:t xml:space="preserve">2026-08-14</x:t>
        </x:is>
      </x:c>
      <x:c r="O41" t="inlineStr">
        <x:is>
          <x:t xml:space="preserve">markdown_review_no_formal: Markdown定向复核未发现作者直接给出的正式PNS marker；窗口共现或比较文献基因不录入</x:t>
        </x:is>
      </x:c>
    </x:row>
    <x:row r="42">
      <x:c r="A42" t="inlineStr">
        <x:is>
          <x:t xml:space="preserve">B20260814-003</x:t>
        </x:is>
      </x:c>
      <x:c r="B42" t="n">
        <x:v>4</x:v>
      </x:c>
      <x:c r="C42" t="inlineStr">
        <x:is>
          <x:t xml:space="preserve">DOI_10.1038_s41586-020-2922-4</x:t>
        </x:is>
      </x:c>
      <x:c r="D42" t="inlineStr">
        <x:is>
          <x:t xml:space="preserve">DOI_10.1038_s41586-020-2922-4</x:t>
        </x:is>
      </x:c>
      <x:c r="E42" t="inlineStr">
        <x:is>
          <x:t xml:space="preserve">A molecular cell atlas of the human lung from single-cell RNA sequencing.</x:t>
        </x:is>
      </x:c>
      <x:c r="F42" t="inlineStr">
        <x:is>
          <x:t xml:space="preserve">quick_consistency</x:t>
        </x:is>
      </x:c>
      <x:c r="G42" t="n">
        <x:v>2</x:v>
      </x:c>
      <x:c r="H42" t="n">
        <x:v>0</x:v>
      </x:c>
      <x:c r="I42" t="n">
        <x:v>0</x:v>
      </x:c>
      <x:c r="J42" t="n">
        <x:v>2</x:v>
      </x:c>
      <x:c r="K42" t="n">
        <x:v>0</x:v>
      </x:c>
      <x:c r="L42" t="n">
        <x:v>0</x:v>
      </x:c>
      <x:c r="M42" t="inlineStr">
        <x:is>
          <x:t xml:space="preserve">scripts/extract_markers/review_md/DOI_10.1038_s41586-020-2922-4.md</x:t>
        </x:is>
      </x:c>
      <x:c r="N42" t="inlineStr">
        <x:is>
          <x:t xml:space="preserve">2026-08-14</x:t>
        </x:is>
      </x:c>
      <x:c r="O42" t="inlineStr">
        <x:is>
          <x:t xml:space="preserve">markdown_review_no_formal: Markdown定向复核未发现作者直接给出的正式PNS marker；窗口共现或比较文献基因不录入</x:t>
        </x:is>
      </x:c>
    </x:row>
    <x:row r="43">
      <x:c r="A43" t="inlineStr">
        <x:is>
          <x:t xml:space="preserve">B20260814-003</x:t>
        </x:is>
      </x:c>
      <x:c r="B43" t="n">
        <x:v>7</x:v>
      </x:c>
      <x:c r="C43" t="inlineStr">
        <x:is>
          <x:t xml:space="preserve">DOI_10.1038_s41586-021-04345-x</x:t>
        </x:is>
      </x:c>
      <x:c r="D43" t="inlineStr">
        <x:is>
          <x:t xml:space="preserve">DOI_10.1038_s41586-021-04345-x</x:t>
        </x:is>
      </x:c>
      <x:c r="E43" t="inlineStr">
        <x:is>
          <x:t xml:space="preserve">Local and systemic responses to SARS-CoV-2 infection in children and adults.</x:t>
        </x:is>
      </x:c>
      <x:c r="F43" t="inlineStr">
        <x:is>
          <x:t xml:space="preserve">quick_consistency</x:t>
        </x:is>
      </x:c>
      <x:c r="G43" t="n">
        <x:v>0</x:v>
      </x:c>
      <x:c r="H43" t="n">
        <x:v>0</x:v>
      </x:c>
      <x:c r="I43" t="n">
        <x:v>0</x:v>
      </x:c>
      <x:c r="J43" t="n">
        <x:v>0</x:v>
      </x:c>
      <x:c r="K43" t="n">
        <x:v>0</x:v>
      </x:c>
      <x:c r="L43" t="n">
        <x:v>0</x:v>
      </x:c>
      <x:c r="M43" t="inlineStr">
        <x:is>
          <x:t xml:space="preserve">scripts/extract_markers/review_md/DOI_10.1038_s41586-021-04345-x.md</x:t>
        </x:is>
      </x:c>
      <x:c r="N43" t="inlineStr">
        <x:is>
          <x:t xml:space="preserve">2026-08-14</x:t>
        </x:is>
      </x:c>
      <x:c r="O43" t="inlineStr">
        <x:is>
          <x:t xml:space="preserve">needs_manual_review: Markdown提及PNS细胞，但marker疑位于未完整转换的图表或补充材料，暂不强行录入</x:t>
        </x:is>
      </x:c>
    </x:row>
    <x:row r="44">
      <x:c r="A44" t="inlineStr">
        <x:is>
          <x:t xml:space="preserve">B20260814-003</x:t>
        </x:is>
      </x:c>
      <x:c r="B44" t="n">
        <x:v>8</x:v>
      </x:c>
      <x:c r="C44" t="inlineStr">
        <x:is>
          <x:t xml:space="preserve">DOI_10.1016_j.jcf.2025.01.016</x:t>
        </x:is>
      </x:c>
      <x:c r="D44" t="inlineStr">
        <x:is>
          <x:t xml:space="preserve">DOI_10.1016_j.jcf.2025.01.016</x:t>
        </x:is>
      </x:c>
      <x:c r="E44" t="inlineStr">
        <x:is>
          <x:t xml:space="preserve">Evidence for altered immune-structural cell crosstalk in cystic fibrosis revealed by single cell transcriptomics.</x:t>
        </x:is>
      </x:c>
      <x:c r="F44" t="inlineStr">
        <x:is>
          <x:t xml:space="preserve">quick_consistency</x:t>
        </x:is>
      </x:c>
      <x:c r="G44" t="n">
        <x:v>0</x:v>
      </x:c>
      <x:c r="H44" t="n">
        <x:v>0</x:v>
      </x:c>
      <x:c r="I44" t="n">
        <x:v>0</x:v>
      </x:c>
      <x:c r="J44" t="n">
        <x:v>0</x:v>
      </x:c>
      <x:c r="K44" t="n">
        <x:v>0</x:v>
      </x:c>
      <x:c r="L44" t="n">
        <x:v>0</x:v>
      </x:c>
      <x:c r="M44" t="inlineStr">
        <x:is>
          <x:t xml:space="preserve">scripts/extract_markers/review_md/DOI_10.1016_j.jcf.2025.01.016.md</x:t>
        </x:is>
      </x:c>
      <x:c r="N44" t="inlineStr">
        <x:is>
          <x:t xml:space="preserve">2026-08-14</x:t>
        </x:is>
      </x:c>
      <x:c r="O44" t="inlineStr">
        <x:is>
          <x:t xml:space="preserve">markdown_review_no_formal: Markdown定向复核未发现作者直接给出的正式PNS marker；窗口共现或比较文献基因不录入</x:t>
        </x:is>
      </x:c>
    </x:row>
    <x:row r="45">
      <x:c r="A45" t="inlineStr">
        <x:is>
          <x:t xml:space="preserve">B20260814-003</x:t>
        </x:is>
      </x:c>
      <x:c r="B45" t="n">
        <x:v>9</x:v>
      </x:c>
      <x:c r="C45" t="inlineStr">
        <x:is>
          <x:t xml:space="preserve">DOI_10.1016_j.cell.2022.11.005</x:t>
        </x:is>
      </x:c>
      <x:c r="D45" t="inlineStr">
        <x:is>
          <x:t xml:space="preserve">DOI_10.1016_j.cell.2022.11.005</x:t>
        </x:is>
      </x:c>
      <x:c r="E45" t="inlineStr">
        <x:is>
          <x:t xml:space="preserve">A human fetal lung cell atlas uncovers proximal-distal gradients of differentiation and key regulators of epithelial fates.</x:t>
        </x:is>
      </x:c>
      <x:c r="F45" t="inlineStr">
        <x:is>
          <x:t xml:space="preserve">quick_consistency</x:t>
        </x:is>
      </x:c>
      <x:c r="G45" t="n">
        <x:v>5</x:v>
      </x:c>
      <x:c r="H45" t="n">
        <x:v>4</x:v>
      </x:c>
      <x:c r="I45" t="n">
        <x:v>4</x:v>
      </x:c>
      <x:c r="J45" t="n">
        <x:v>1</x:v>
      </x:c>
      <x:c r="K45" t="n">
        <x:v>0</x:v>
      </x:c>
      <x:c r="L45" t="n">
        <x:v>4</x:v>
      </x:c>
      <x:c r="M45" t="inlineStr">
        <x:is>
          <x:t xml:space="preserve">scripts/extract_markers/review_md/DOI_10.1016_j.cell.2022.11.005.md</x:t>
        </x:is>
      </x:c>
      <x:c r="N45" t="inlineStr">
        <x:is>
          <x:t xml:space="preserve">2026-08-14</x:t>
        </x:is>
      </x:c>
      <x:c r="O45" t="inlineStr">
        <x:is>
          <x:t xml:space="preserve">markdown_review_imported: GLM预筛后经Markdown定向复核，批准并录入4条；窗口误配候选已剔除</x:t>
        </x:is>
      </x:c>
    </x:row>
    <x:row r="46">
      <x:c r="A46" t="inlineStr">
        <x:is>
          <x:t xml:space="preserve">B20260814-003</x:t>
        </x:is>
      </x:c>
      <x:c r="B46" t="n">
        <x:v>11</x:v>
      </x:c>
      <x:c r="C46" t="inlineStr">
        <x:is>
          <x:t xml:space="preserve">DOI_10.7554_elife.62522</x:t>
        </x:is>
      </x:c>
      <x:c r="D46" t="inlineStr">
        <x:is>
          <x:t xml:space="preserve">DOI_10.7554_elife.62522</x:t>
        </x:is>
      </x:c>
      <x:c r="E46" t="inlineStr">
        <x:is>
          <x:t xml:space="preserve">Single-cell multiomic profiling of human lungs reveals cell-type-specific and age-dynamic control of SARS-CoV2 host genes.</x:t>
        </x:is>
      </x:c>
      <x:c r="F46" t="inlineStr">
        <x:is>
          <x:t xml:space="preserve">quick_consistency</x:t>
        </x:is>
      </x:c>
      <x:c r="G46" t="n">
        <x:v>0</x:v>
      </x:c>
      <x:c r="H46" t="n">
        <x:v>0</x:v>
      </x:c>
      <x:c r="I46" t="n">
        <x:v>0</x:v>
      </x:c>
      <x:c r="J46" t="n">
        <x:v>0</x:v>
      </x:c>
      <x:c r="K46" t="n">
        <x:v>0</x:v>
      </x:c>
      <x:c r="L46" t="n">
        <x:v>0</x:v>
      </x:c>
      <x:c r="M46" t="inlineStr">
        <x:is>
          <x:t xml:space="preserve">scripts/extract_markers/review_md/DOI_10.7554_elife.62522.md</x:t>
        </x:is>
      </x:c>
      <x:c r="N46" t="inlineStr">
        <x:is>
          <x:t xml:space="preserve">2026-08-14</x:t>
        </x:is>
      </x:c>
      <x:c r="O46" t="inlineStr">
        <x:is>
          <x:t xml:space="preserve">needs_manual_review: Markdown提及PNS细胞，但marker疑位于未完整转换的图表或补充材料，暂不强行录入</x:t>
        </x:is>
      </x:c>
    </x:row>
    <x:row r="47">
      <x:c r="A47" t="inlineStr">
        <x:is>
          <x:t xml:space="preserve">B20260814-003</x:t>
        </x:is>
      </x:c>
      <x:c r="B47" t="n">
        <x:v>12</x:v>
      </x:c>
      <x:c r="C47" t="inlineStr">
        <x:is>
          <x:t xml:space="preserve">DOI_10.1038_s44318-024-00328-6</x:t>
        </x:is>
      </x:c>
      <x:c r="D47" t="inlineStr">
        <x:is>
          <x:t xml:space="preserve">DOI_10.1038_s44318-024-00328-6</x:t>
        </x:is>
      </x:c>
      <x:c r="E47" t="inlineStr">
        <x:is>
          <x:t xml:space="preserve">A novel human fetal lung-derived alveolar organoid model reveals mechanisms of surfactant protein C maturation relevant to interstitial lung disease.</x:t>
        </x:is>
      </x:c>
      <x:c r="F47" t="inlineStr">
        <x:is>
          <x:t xml:space="preserve">quick_consistency</x:t>
        </x:is>
      </x:c>
      <x:c r="G47" t="n">
        <x:v>3</x:v>
      </x:c>
      <x:c r="H47" t="n">
        <x:v>3</x:v>
      </x:c>
      <x:c r="I47" t="n">
        <x:v>3</x:v>
      </x:c>
      <x:c r="J47" t="n">
        <x:v>0</x:v>
      </x:c>
      <x:c r="K47" t="n">
        <x:v>0</x:v>
      </x:c>
      <x:c r="L47" t="n">
        <x:v>3</x:v>
      </x:c>
      <x:c r="M47" t="inlineStr">
        <x:is>
          <x:t xml:space="preserve">scripts/extract_markers/review_md/DOI_10.1038_s44318-024-00328-6.md</x:t>
        </x:is>
      </x:c>
      <x:c r="N47" t="inlineStr">
        <x:is>
          <x:t xml:space="preserve">2026-08-14</x:t>
        </x:is>
      </x:c>
      <x:c r="O47" t="inlineStr">
        <x:is>
          <x:t xml:space="preserve">markdown_review_imported: GLM预筛后经Markdown定向复核，批准并录入3条；窗口误配候选已剔除</x:t>
        </x:is>
      </x:c>
    </x:row>
    <x:row r="48">
      <x:c r="A48" t="inlineStr">
        <x:is>
          <x:t xml:space="preserve">B20260814-003</x:t>
        </x:is>
      </x:c>
      <x:c r="B48" t="n">
        <x:v>13</x:v>
      </x:c>
      <x:c r="C48" t="inlineStr">
        <x:is>
          <x:t xml:space="preserve">DOI_10.1126_sciimmunol.adf9988</x:t>
        </x:is>
      </x:c>
      <x:c r="D48" t="inlineStr">
        <x:is>
          <x:t xml:space="preserve">DOI_10.1126_sciimmunol.adf9988</x:t>
        </x:is>
      </x:c>
      <x:c r="E48" t="inlineStr">
        <x:is>
          <x:t xml:space="preserve">Early human lung immune cell development and its role in epithelial cell fate.</x:t>
        </x:is>
      </x:c>
      <x:c r="F48" t="inlineStr">
        <x:is>
          <x:t xml:space="preserve">quick_consistency</x:t>
        </x:is>
      </x:c>
      <x:c r="G48" t="n">
        <x:v>0</x:v>
      </x:c>
      <x:c r="H48" t="n">
        <x:v>0</x:v>
      </x:c>
      <x:c r="I48" t="n">
        <x:v>0</x:v>
      </x:c>
      <x:c r="J48" t="n">
        <x:v>0</x:v>
      </x:c>
      <x:c r="K48" t="n">
        <x:v>0</x:v>
      </x:c>
      <x:c r="L48" t="n">
        <x:v>0</x:v>
      </x:c>
      <x:c r="M48" t="inlineStr">
        <x:is>
          <x:t xml:space="preserve">scripts/extract_markers/review_md/DOI_10.1126_sciimmunol.adf9988.md</x:t>
        </x:is>
      </x:c>
      <x:c r="N48" t="inlineStr">
        <x:is>
          <x:t xml:space="preserve">2026-08-14</x:t>
        </x:is>
      </x:c>
      <x:c r="O48" t="inlineStr">
        <x:is>
          <x:t xml:space="preserve">markdown_review_no_formal: Markdown定向复核未发现作者直接给出的正式PNS marker；窗口共现或比较文献基因不录入</x:t>
        </x:is>
      </x:c>
    </x:row>
    <x:row r="49">
      <x:c r="A49" t="inlineStr">
        <x:is>
          <x:t xml:space="preserve">B20260814-003</x:t>
        </x:is>
      </x:c>
      <x:c r="B49" t="n">
        <x:v>15</x:v>
      </x:c>
      <x:c r="C49" t="inlineStr">
        <x:is>
          <x:t xml:space="preserve">DOI_10.1038_s41467-023-40173-5</x:t>
        </x:is>
      </x:c>
      <x:c r="D49" t="inlineStr">
        <x:is>
          <x:t xml:space="preserve">DOI_10.1038_s41467-023-40173-5</x:t>
        </x:is>
      </x:c>
      <x:c r="E49" t="inlineStr">
        <x:is>
          <x:t xml:space="preserve">Guided construction of single cell reference for human and mouse lung.</x:t>
        </x:is>
      </x:c>
      <x:c r="F49" t="inlineStr">
        <x:is>
          <x:t xml:space="preserve">quick_consistency</x:t>
        </x:is>
      </x:c>
      <x:c r="G49" t="n">
        <x:v>0</x:v>
      </x:c>
      <x:c r="H49" t="n">
        <x:v>0</x:v>
      </x:c>
      <x:c r="I49" t="n">
        <x:v>0</x:v>
      </x:c>
      <x:c r="J49" t="n">
        <x:v>0</x:v>
      </x:c>
      <x:c r="K49" t="n">
        <x:v>0</x:v>
      </x:c>
      <x:c r="L49" t="n">
        <x:v>0</x:v>
      </x:c>
      <x:c r="M49" t="inlineStr">
        <x:is>
          <x:t xml:space="preserve">scripts/extract_markers/review_md/DOI_10.1038_s41467-023-40173-5.md</x:t>
        </x:is>
      </x:c>
      <x:c r="N49" t="inlineStr">
        <x:is>
          <x:t xml:space="preserve">2026-08-14</x:t>
        </x:is>
      </x:c>
      <x:c r="O49" t="inlineStr">
        <x:is>
          <x:t xml:space="preserve">needs_manual_review: Markdown提及PNS细胞，但marker疑位于未完整转换的图表或补充材料，暂不强行录入</x:t>
        </x:is>
      </x:c>
    </x:row>
    <x:row r="50">
      <x:c r="A50" t="inlineStr">
        <x:is>
          <x:t xml:space="preserve">B20260814-003</x:t>
        </x:is>
      </x:c>
      <x:c r="B50" t="n">
        <x:v>16</x:v>
      </x:c>
      <x:c r="C50" t="inlineStr">
        <x:is>
          <x:t xml:space="preserve">DOI_10.1038_s41588-024-01702-0</x:t>
        </x:is>
      </x:c>
      <x:c r="D50" t="inlineStr">
        <x:is>
          <x:t xml:space="preserve">DOI_10.1038_s41588-024-01702-0</x:t>
        </x:is>
      </x:c>
      <x:c r="E50" t="inlineStr">
        <x:is>
          <x:t xml:space="preserve">Cell-type-specific and disease-associated expression quantitative trait loci in the human lung.</x:t>
        </x:is>
      </x:c>
      <x:c r="F50" t="inlineStr">
        <x:is>
          <x:t xml:space="preserve">quick_consistency</x:t>
        </x:is>
      </x:c>
      <x:c r="G50" t="n">
        <x:v>0</x:v>
      </x:c>
      <x:c r="H50" t="n">
        <x:v>0</x:v>
      </x:c>
      <x:c r="I50" t="n">
        <x:v>0</x:v>
      </x:c>
      <x:c r="J50" t="n">
        <x:v>0</x:v>
      </x:c>
      <x:c r="K50" t="n">
        <x:v>0</x:v>
      </x:c>
      <x:c r="L50" t="n">
        <x:v>0</x:v>
      </x:c>
      <x:c r="M50" t="inlineStr">
        <x:is>
          <x:t xml:space="preserve">scripts/extract_markers/review_md/DOI_10.1038_s41588-024-01702-0.md</x:t>
        </x:is>
      </x:c>
      <x:c r="N50" t="inlineStr">
        <x:is>
          <x:t xml:space="preserve">2026-08-14</x:t>
        </x:is>
      </x:c>
      <x:c r="O50" t="inlineStr">
        <x:is>
          <x:t xml:space="preserve">markdown_review_no_formal: Markdown定向复核未发现作者直接给出的正式PNS marker；窗口共现或比较文献基因不录入</x:t>
        </x:is>
      </x:c>
    </x:row>
    <x:row r="51">
      <x:c r="A51" t="inlineStr">
        <x:is>
          <x:t xml:space="preserve">B20260814-003</x:t>
        </x:is>
      </x:c>
      <x:c r="B51" t="n">
        <x:v>17</x:v>
      </x:c>
      <x:c r="C51" t="inlineStr">
        <x:is>
          <x:t xml:space="preserve">DOI_10.1038_s41586-021-03569-1</x:t>
        </x:is>
      </x:c>
      <x:c r="D51" t="inlineStr">
        <x:is>
          <x:t xml:space="preserve">DOI_10.1038_s41586-021-03569-1</x:t>
        </x:is>
      </x:c>
      <x:c r="E51" t="inlineStr">
        <x:is>
          <x:t xml:space="preserve">A molecular single-cell lung atlas of lethal COVID-19.</x:t>
        </x:is>
      </x:c>
      <x:c r="F51" t="inlineStr">
        <x:is>
          <x:t xml:space="preserve">quick_consistency</x:t>
        </x:is>
      </x:c>
      <x:c r="G51" t="n">
        <x:v>0</x:v>
      </x:c>
      <x:c r="H51" t="n">
        <x:v>0</x:v>
      </x:c>
      <x:c r="I51" t="n">
        <x:v>0</x:v>
      </x:c>
      <x:c r="J51" t="n">
        <x:v>0</x:v>
      </x:c>
      <x:c r="K51" t="n">
        <x:v>0</x:v>
      </x:c>
      <x:c r="L51" t="n">
        <x:v>0</x:v>
      </x:c>
      <x:c r="M51" t="inlineStr">
        <x:is>
          <x:t xml:space="preserve">scripts/extract_markers/review_md/DOI_10.1038_s41586-021-03569-1.md</x:t>
        </x:is>
      </x:c>
      <x:c r="N51" t="inlineStr">
        <x:is>
          <x:t xml:space="preserve">2026-08-14</x:t>
        </x:is>
      </x:c>
      <x:c r="O51" t="inlineStr">
        <x:is>
          <x:t xml:space="preserve">needs_manual_review: Markdown提及PNS细胞，但marker疑位于未完整转换的图表或补充材料，暂不强行录入</x:t>
        </x:is>
      </x:c>
    </x:row>
    <x:row r="52">
      <x:c r="A52" t="inlineStr">
        <x:is>
          <x:t xml:space="preserve">B20260814-003</x:t>
        </x:is>
      </x:c>
      <x:c r="B52" t="n">
        <x:v>18</x:v>
      </x:c>
      <x:c r="C52" t="inlineStr">
        <x:is>
          <x:t xml:space="preserve">DOI_10.1016_j.stem.2022.11.013</x:t>
        </x:is>
      </x:c>
      <x:c r="D52" t="inlineStr">
        <x:is>
          <x:t xml:space="preserve">DOI_10.1016_j.stem.2022.11.013</x:t>
        </x:is>
      </x:c>
      <x:c r="E52" t="inlineStr">
        <x:is>
          <x:t xml:space="preserve">Organoid modeling of human fetal lung alveolar development reveals mechanisms of cell fate patterning and neonatal respiratory disease.</x:t>
        </x:is>
      </x:c>
      <x:c r="F52" t="inlineStr">
        <x:is>
          <x:t xml:space="preserve">quick_consistency</x:t>
        </x:is>
      </x:c>
      <x:c r="G52" t="n">
        <x:v>1</x:v>
      </x:c>
      <x:c r="H52" t="n">
        <x:v>0</x:v>
      </x:c>
      <x:c r="I52" t="n">
        <x:v>0</x:v>
      </x:c>
      <x:c r="J52" t="n">
        <x:v>1</x:v>
      </x:c>
      <x:c r="K52" t="n">
        <x:v>0</x:v>
      </x:c>
      <x:c r="L52" t="n">
        <x:v>0</x:v>
      </x:c>
      <x:c r="M52" t="inlineStr">
        <x:is>
          <x:t xml:space="preserve">scripts/extract_markers/review_md/DOI_10.1016_j.stem.2022.11.013.md</x:t>
        </x:is>
      </x:c>
      <x:c r="N52" t="inlineStr">
        <x:is>
          <x:t xml:space="preserve">2026-08-14</x:t>
        </x:is>
      </x:c>
      <x:c r="O52" t="inlineStr">
        <x:is>
          <x:t xml:space="preserve">markdown_review_no_formal: Markdown定向复核未发现作者直接给出的正式PNS marker；窗口共现或比较文献基因不录入</x:t>
        </x:is>
      </x:c>
    </x:row>
    <x:row r="53">
      <x:c r="A53" t="inlineStr">
        <x:is>
          <x:t xml:space="preserve">B20260814-003</x:t>
        </x:is>
      </x:c>
      <x:c r="B53" t="n">
        <x:v>20</x:v>
      </x:c>
      <x:c r="C53" t="inlineStr">
        <x:is>
          <x:t xml:space="preserve">DOI_10.1016_j.cell.2021.07.023</x:t>
        </x:is>
      </x:c>
      <x:c r="D53" t="inlineStr">
        <x:is>
          <x:t xml:space="preserve">DOI_10.1016_j.cell.2021.07.023</x:t>
        </x:is>
      </x:c>
      <x:c r="E53" t="inlineStr">
        <x:is>
          <x:t xml:space="preserve">Impaired local intrinsic immunity to SARS-CoV-2 infection in severe COVID-19.</x:t>
        </x:is>
      </x:c>
      <x:c r="F53" t="inlineStr">
        <x:is>
          <x:t xml:space="preserve">quick_consistency</x:t>
        </x:is>
      </x:c>
      <x:c r="G53" t="n">
        <x:v>0</x:v>
      </x:c>
      <x:c r="H53" t="n">
        <x:v>0</x:v>
      </x:c>
      <x:c r="I53" t="n">
        <x:v>0</x:v>
      </x:c>
      <x:c r="J53" t="n">
        <x:v>0</x:v>
      </x:c>
      <x:c r="K53" t="n">
        <x:v>0</x:v>
      </x:c>
      <x:c r="L53" t="n">
        <x:v>0</x:v>
      </x:c>
      <x:c r="M53" t="inlineStr">
        <x:is>
          <x:t xml:space="preserve">scripts/extract_markers/review_md/DOI_10.1016_j.cell.2021.07.023.md</x:t>
        </x:is>
      </x:c>
      <x:c r="N53" t="inlineStr">
        <x:is>
          <x:t xml:space="preserve">2026-08-14</x:t>
        </x:is>
      </x:c>
      <x:c r="O53" t="inlineStr">
        <x:is>
          <x:t xml:space="preserve">needs_manual_review: Markdown提及PNS细胞，但marker疑位于未完整转换的图表或补充材料，暂不强行录入</x:t>
        </x:is>
      </x:c>
    </x:row>
    <x:row r="54">
      <x:c r="A54" t="inlineStr">
        <x:is>
          <x:t xml:space="preserve">B20260814-003</x:t>
        </x:is>
      </x:c>
      <x:c r="B54" t="n">
        <x:v>21</x:v>
      </x:c>
      <x:c r="C54" t="inlineStr">
        <x:is>
          <x:t xml:space="preserve">DOI_10.64898_2025.12.18.695268</x:t>
        </x:is>
      </x:c>
      <x:c r="D54" t="inlineStr">
        <x:is>
          <x:t xml:space="preserve">DOI_10.64898_2025.12.18.695268</x:t>
        </x:is>
      </x:c>
      <x:c r="E54" t="inlineStr">
        <x:is>
          <x:t xml:space="preserve">A poly(A) isoform–aware single-cell and spatial atlas defines fibroblast niches in the human bladder</x:t>
        </x:is>
      </x:c>
      <x:c r="F54" t="inlineStr">
        <x:is>
          <x:t xml:space="preserve">quick_consistency</x:t>
        </x:is>
      </x:c>
      <x:c r="G54" t="n">
        <x:v>5</x:v>
      </x:c>
      <x:c r="H54" t="n">
        <x:v>2</x:v>
      </x:c>
      <x:c r="I54" t="n">
        <x:v>2</x:v>
      </x:c>
      <x:c r="J54" t="n">
        <x:v>3</x:v>
      </x:c>
      <x:c r="K54" t="n">
        <x:v>0</x:v>
      </x:c>
      <x:c r="L54" t="n">
        <x:v>2</x:v>
      </x:c>
      <x:c r="M54" t="inlineStr">
        <x:is>
          <x:t xml:space="preserve">scripts/extract_markers/review_md/DOI_10.64898_2025.12.18.695268.md</x:t>
        </x:is>
      </x:c>
      <x:c r="N54" t="inlineStr">
        <x:is>
          <x:t xml:space="preserve">2026-08-14</x:t>
        </x:is>
      </x:c>
      <x:c r="O54" t="inlineStr">
        <x:is>
          <x:t xml:space="preserve">markdown_review_imported: GLM预筛后经Markdown定向复核，批准并录入2条；窗口误配候选已剔除</x:t>
        </x:is>
      </x:c>
    </x:row>
    <x:row r="55">
      <x:c r="A55" t="inlineStr">
        <x:is>
          <x:t xml:space="preserve">B20260814-003</x:t>
        </x:is>
      </x:c>
      <x:c r="B55" t="n">
        <x:v>22</x:v>
      </x:c>
      <x:c r="C55" t="inlineStr">
        <x:is>
          <x:t xml:space="preserve">DOI_10.1126_science.aat5031</x:t>
        </x:is>
      </x:c>
      <x:c r="D55" t="inlineStr">
        <x:is>
          <x:t xml:space="preserve">DOI_10.1126_science.aat5031</x:t>
        </x:is>
      </x:c>
      <x:c r="E55" t="inlineStr">
        <x:is>
          <x:t xml:space="preserve">Spatiotemporal immune zonation of the human kidney.</x:t>
        </x:is>
      </x:c>
      <x:c r="F55" t="inlineStr">
        <x:is>
          <x:t xml:space="preserve">quick_consistency</x:t>
        </x:is>
      </x:c>
      <x:c r="G55" t="n">
        <x:v>0</x:v>
      </x:c>
      <x:c r="H55" t="n">
        <x:v>0</x:v>
      </x:c>
      <x:c r="I55" t="n">
        <x:v>0</x:v>
      </x:c>
      <x:c r="J55" t="n">
        <x:v>0</x:v>
      </x:c>
      <x:c r="K55" t="n">
        <x:v>0</x:v>
      </x:c>
      <x:c r="L55" t="n">
        <x:v>0</x:v>
      </x:c>
      <x:c r="M55" t="inlineStr">
        <x:is>
          <x:t xml:space="preserve">scripts/extract_markers/review_md/DOI_10.1126_science.aat5031.md</x:t>
        </x:is>
      </x:c>
      <x:c r="N55" t="inlineStr">
        <x:is>
          <x:t xml:space="preserve">2026-08-14</x:t>
        </x:is>
      </x:c>
      <x:c r="O55" t="inlineStr">
        <x:is>
          <x:t xml:space="preserve">markdown_review_no_formal: Markdown定向复核未发现作者直接给出的正式PNS marker；窗口共现或比较文献基因不录入</x:t>
        </x:is>
      </x:c>
    </x:row>
    <x:row r="56">
      <x:c r="A56" t="inlineStr">
        <x:is>
          <x:t xml:space="preserve">B20260814-003</x:t>
        </x:is>
      </x:c>
      <x:c r="B56" t="n">
        <x:v>24</x:v>
      </x:c>
      <x:c r="C56" t="inlineStr">
        <x:is>
          <x:t xml:space="preserve">DOI_10.1002_pros.24020</x:t>
        </x:is>
      </x:c>
      <x:c r="D56" t="inlineStr">
        <x:is>
          <x:t xml:space="preserve">DOI_10.1002_pros.24020</x:t>
        </x:is>
      </x:c>
      <x:c r="E56" t="inlineStr">
        <x:is>
          <x:t xml:space="preserve">Urethral luminal epithelia are castration-insensitive cells of the proximal prostate.</x:t>
        </x:is>
      </x:c>
      <x:c r="F56" t="inlineStr">
        <x:is>
          <x:t xml:space="preserve">quick_consistency</x:t>
        </x:is>
      </x:c>
      <x:c r="G56" t="n">
        <x:v>1</x:v>
      </x:c>
      <x:c r="H56" t="n">
        <x:v>2</x:v>
      </x:c>
      <x:c r="I56" t="n">
        <x:v>2</x:v>
      </x:c>
      <x:c r="J56" t="n">
        <x:v>0</x:v>
      </x:c>
      <x:c r="K56" t="n">
        <x:v>0</x:v>
      </x:c>
      <x:c r="L56" t="n">
        <x:v>2</x:v>
      </x:c>
      <x:c r="M56" t="inlineStr">
        <x:is>
          <x:t xml:space="preserve">scripts/extract_markers/review_md/DOI_10.1002_pros.24020.md</x:t>
        </x:is>
      </x:c>
      <x:c r="N56" t="inlineStr">
        <x:is>
          <x:t xml:space="preserve">2026-08-14</x:t>
        </x:is>
      </x:c>
      <x:c r="O56" t="inlineStr">
        <x:is>
          <x:t xml:space="preserve">markdown_review_imported: GLM预筛后经Markdown定向复核，批准并录入2条；窗口误配候选已剔除</x:t>
        </x:is>
      </x:c>
    </x:row>
    <x:row r="57">
      <x:c r="A57" t="inlineStr">
        <x:is>
          <x:t xml:space="preserve">B20260814-003</x:t>
        </x:is>
      </x:c>
      <x:c r="B57" t="n">
        <x:v>28</x:v>
      </x:c>
      <x:c r="C57" t="inlineStr">
        <x:is>
          <x:t xml:space="preserve">DOI_10.1016_j.cell.2017.09.004</x:t>
        </x:is>
      </x:c>
      <x:c r="D57" t="inlineStr">
        <x:is>
          <x:t xml:space="preserve">DOI_10.1016_j.cell.2017.09.004</x:t>
        </x:is>
      </x:c>
      <x:c r="E57" t="inlineStr">
        <x:is>
          <x:t xml:space="preserve">Single-Cell Analysis of Human Pancreas Reveals Transcriptional Signatures of Aging and Somatic Mutation Patterns.</x:t>
        </x:is>
      </x:c>
      <x:c r="F57" t="inlineStr">
        <x:is>
          <x:t xml:space="preserve">quick_consistency</x:t>
        </x:is>
      </x:c>
      <x:c r="G57" t="n">
        <x:v>0</x:v>
      </x:c>
      <x:c r="H57" t="n">
        <x:v>0</x:v>
      </x:c>
      <x:c r="I57" t="n">
        <x:v>0</x:v>
      </x:c>
      <x:c r="J57" t="n">
        <x:v>0</x:v>
      </x:c>
      <x:c r="K57" t="n">
        <x:v>0</x:v>
      </x:c>
      <x:c r="L57" t="n">
        <x:v>0</x:v>
      </x:c>
      <x:c r="M57" t="inlineStr">
        <x:is>
          <x:t xml:space="preserve">scripts/extract_markers/review_md/DOI_10.1016_j.cell.2017.09.004.md</x:t>
        </x:is>
      </x:c>
      <x:c r="N57" t="inlineStr">
        <x:is>
          <x:t xml:space="preserve">2026-08-14</x:t>
        </x:is>
      </x:c>
      <x:c r="O57" t="inlineStr">
        <x:is>
          <x:t xml:space="preserve">markdown_review_no_formal: Markdown定向复核未发现作者直接给出的正式PNS marker；窗口共现或比较文献基因不录入</x:t>
        </x:is>
      </x:c>
    </x:row>
    <x:row r="58">
      <x:c r="A58" t="inlineStr">
        <x:is>
          <x:t xml:space="preserve">B20260814-003</x:t>
        </x:is>
      </x:c>
      <x:c r="B58" t="n">
        <x:v>29</x:v>
      </x:c>
      <x:c r="C58" t="inlineStr">
        <x:is>
          <x:t xml:space="preserve">DOI_10.1038_s41591-024-03215-z</x:t>
        </x:is>
      </x:c>
      <x:c r="D58" t="inlineStr">
        <x:is>
          <x:t xml:space="preserve">DOI_10.1038_s41591-024-03215-z</x:t>
        </x:is>
      </x:c>
      <x:c r="E58" t="inlineStr">
        <x:is>
          <x:t xml:space="preserve">A multi-modal single-cell and spatial expression map of metastatic breast cancer biopsies across clinicopathological features.</x:t>
        </x:is>
      </x:c>
      <x:c r="F58" t="inlineStr">
        <x:is>
          <x:t xml:space="preserve">quick_consistency</x:t>
        </x:is>
      </x:c>
      <x:c r="G58" t="n">
        <x:v>2</x:v>
      </x:c>
      <x:c r="H58" t="n">
        <x:v>0</x:v>
      </x:c>
      <x:c r="I58" t="n">
        <x:v>0</x:v>
      </x:c>
      <x:c r="J58" t="n">
        <x:v>2</x:v>
      </x:c>
      <x:c r="K58" t="n">
        <x:v>0</x:v>
      </x:c>
      <x:c r="L58" t="n">
        <x:v>0</x:v>
      </x:c>
      <x:c r="M58" t="inlineStr">
        <x:is>
          <x:t xml:space="preserve">scripts/extract_markers/review_md/DOI_10.1038_s41591-024-03215-z.md</x:t>
        </x:is>
      </x:c>
      <x:c r="N58" t="inlineStr">
        <x:is>
          <x:t xml:space="preserve">2026-08-14</x:t>
        </x:is>
      </x:c>
      <x:c r="O58" t="inlineStr">
        <x:is>
          <x:t xml:space="preserve">markdown_review_no_formal: Markdown定向复核未发现作者直接给出的正式PNS marker；窗口共现或比较文献基因不录入</x:t>
        </x:is>
      </x:c>
    </x:row>
    <x:row r="59">
      <x:c r="A59" t="inlineStr">
        <x:is>
          <x:t xml:space="preserve">B20260814-003</x:t>
        </x:is>
      </x:c>
      <x:c r="B59" t="n">
        <x:v>30</x:v>
      </x:c>
      <x:c r="C59" t="inlineStr">
        <x:is>
          <x:t xml:space="preserve">DOI_10.1038_s42003-021-02562-8</x:t>
        </x:is>
      </x:c>
      <x:c r="D59" t="inlineStr">
        <x:is>
          <x:t xml:space="preserve">DOI_10.1038_s42003-021-02562-8</x:t>
        </x:is>
      </x:c>
      <x:c r="E59" t="inlineStr">
        <x:is>
          <x:t xml:space="preserve">Identification of distinct tumor cell populations and key genetic mechanisms through single cell sequencing in hepatoblastoma.</x:t>
        </x:is>
      </x:c>
      <x:c r="F59" t="inlineStr">
        <x:is>
          <x:t xml:space="preserve">quick_consistency</x:t>
        </x:is>
      </x:c>
      <x:c r="G59" t="n">
        <x:v>0</x:v>
      </x:c>
      <x:c r="H59" t="n">
        <x:v>0</x:v>
      </x:c>
      <x:c r="I59" t="n">
        <x:v>0</x:v>
      </x:c>
      <x:c r="J59" t="n">
        <x:v>0</x:v>
      </x:c>
      <x:c r="K59" t="n">
        <x:v>0</x:v>
      </x:c>
      <x:c r="L59" t="n">
        <x:v>0</x:v>
      </x:c>
      <x:c r="M59" t="inlineStr">
        <x:is>
          <x:t xml:space="preserve">scripts/extract_markers/review_md/DOI_10.1038_s42003-021-02562-8.md</x:t>
        </x:is>
      </x:c>
      <x:c r="N59" t="inlineStr">
        <x:is>
          <x:t xml:space="preserve">2026-08-14</x:t>
        </x:is>
      </x:c>
      <x:c r="O59" t="inlineStr">
        <x:is>
          <x:t xml:space="preserve">markdown_review_no_formal: Markdown定向复核未发现作者直接给出的正式PNS marker；窗口共现或比较文献基因不录入</x:t>
        </x:is>
      </x:c>
    </x:row>
    <x:row r="60">
      <x:c r="A60" t="inlineStr">
        <x:is>
          <x:t xml:space="preserve">B20260814-003</x:t>
        </x:is>
      </x:c>
      <x:c r="B60" t="n">
        <x:v>32</x:v>
      </x:c>
      <x:c r="C60" t="inlineStr">
        <x:is>
          <x:t xml:space="preserve">DOI_10.1038_s41586-021-03929-x</x:t>
        </x:is>
      </x:c>
      <x:c r="D60" t="inlineStr">
        <x:is>
          <x:t xml:space="preserve">DOI_10.1038_s41586-021-03929-x</x:t>
        </x:is>
      </x:c>
      <x:c r="E60" t="inlineStr">
        <x:is>
          <x:t xml:space="preserve">Blood and immune development in human fetal bone marrow and Down syndrome.</x:t>
        </x:is>
      </x:c>
      <x:c r="F60" t="inlineStr">
        <x:is>
          <x:t xml:space="preserve">quick_consistency</x:t>
        </x:is>
      </x:c>
      <x:c r="G60" t="n">
        <x:v>0</x:v>
      </x:c>
      <x:c r="H60" t="n">
        <x:v>0</x:v>
      </x:c>
      <x:c r="I60" t="n">
        <x:v>0</x:v>
      </x:c>
      <x:c r="J60" t="n">
        <x:v>0</x:v>
      </x:c>
      <x:c r="K60" t="n">
        <x:v>0</x:v>
      </x:c>
      <x:c r="L60" t="n">
        <x:v>0</x:v>
      </x:c>
      <x:c r="M60" t="inlineStr">
        <x:is>
          <x:t xml:space="preserve">scripts/extract_markers/review_md/DOI_10.1038_s41586-021-03929-x.md</x:t>
        </x:is>
      </x:c>
      <x:c r="N60" t="inlineStr">
        <x:is>
          <x:t xml:space="preserve">2026-08-14</x:t>
        </x:is>
      </x:c>
      <x:c r="O60" t="inlineStr">
        <x:is>
          <x:t xml:space="preserve">markdown_review_no_formal: Markdown定向复核未发现作者直接给出的正式PNS marker；窗口共现或比较文献基因不录入</x:t>
        </x:is>
      </x:c>
    </x:row>
    <x:row r="61">
      <x:c r="A61" t="inlineStr">
        <x:is>
          <x:t xml:space="preserve">B20260814-003</x:t>
        </x:is>
      </x:c>
      <x:c r="B61" t="n">
        <x:v>33</x:v>
      </x:c>
      <x:c r="C61" t="inlineStr">
        <x:is>
          <x:t xml:space="preserve">DOI_10.1038_s41588-025-02182-6</x:t>
        </x:is>
      </x:c>
      <x:c r="D61" t="inlineStr">
        <x:is>
          <x:t xml:space="preserve">DOI_10.1038_s41588-025-02182-6</x:t>
        </x:is>
      </x:c>
      <x:c r="E61" t="inlineStr">
        <x:is>
          <x:t xml:space="preserve">An integrated transcriptomic cell atlas of human endoderm-derived organoids.</x:t>
        </x:is>
      </x:c>
      <x:c r="F61" t="inlineStr">
        <x:is>
          <x:t xml:space="preserve">quick_consistency</x:t>
        </x:is>
      </x:c>
      <x:c r="G61" t="n">
        <x:v>0</x:v>
      </x:c>
      <x:c r="H61" t="n">
        <x:v>0</x:v>
      </x:c>
      <x:c r="I61" t="n">
        <x:v>0</x:v>
      </x:c>
      <x:c r="J61" t="n">
        <x:v>0</x:v>
      </x:c>
      <x:c r="K61" t="n">
        <x:v>0</x:v>
      </x:c>
      <x:c r="L61" t="n">
        <x:v>0</x:v>
      </x:c>
      <x:c r="M61" t="inlineStr">
        <x:is>
          <x:t xml:space="preserve">scripts/extract_markers/review_md/DOI_10.1038_s41588-025-02182-6.md</x:t>
        </x:is>
      </x:c>
      <x:c r="N61" t="inlineStr">
        <x:is>
          <x:t xml:space="preserve">2026-08-14</x:t>
        </x:is>
      </x:c>
      <x:c r="O61" t="inlineStr">
        <x:is>
          <x:t xml:space="preserve">needs_manual_review: Markdown提及PNS细胞，但marker疑位于未完整转换的图表或补充材料，暂不强行录入</x:t>
        </x:is>
      </x:c>
    </x:row>
    <x:row r="62">
      <x:c r="A62" t="inlineStr">
        <x:is>
          <x:t xml:space="preserve">B20260814-003</x:t>
        </x:is>
      </x:c>
      <x:c r="B62" t="n">
        <x:v>34</x:v>
      </x:c>
      <x:c r="C62" t="inlineStr">
        <x:is>
          <x:t xml:space="preserve">DOI_10.1126_science.abl4290</x:t>
        </x:is>
      </x:c>
      <x:c r="D62" t="inlineStr">
        <x:is>
          <x:t xml:space="preserve">DOI_10.1126_science.abl4290</x:t>
        </x:is>
      </x:c>
      <x:c r="E62" t="inlineStr">
        <x:is>
          <x:t xml:space="preserve">Single-nucleus cross-tissue molecular reference maps toward understanding disease gene function.</x:t>
        </x:is>
      </x:c>
      <x:c r="F62" t="inlineStr">
        <x:is>
          <x:t xml:space="preserve">quick_consistency</x:t>
        </x:is>
      </x:c>
      <x:c r="G62" t="n">
        <x:v>1</x:v>
      </x:c>
      <x:c r="H62" t="n">
        <x:v>0</x:v>
      </x:c>
      <x:c r="I62" t="n">
        <x:v>0</x:v>
      </x:c>
      <x:c r="J62" t="n">
        <x:v>1</x:v>
      </x:c>
      <x:c r="K62" t="n">
        <x:v>0</x:v>
      </x:c>
      <x:c r="L62" t="n">
        <x:v>0</x:v>
      </x:c>
      <x:c r="M62" t="inlineStr">
        <x:is>
          <x:t xml:space="preserve">scripts/extract_markers/review_md/DOI_10.1126_science.abl4290.md</x:t>
        </x:is>
      </x:c>
      <x:c r="N62" t="inlineStr">
        <x:is>
          <x:t xml:space="preserve">2026-08-14</x:t>
        </x:is>
      </x:c>
      <x:c r="O62" t="inlineStr">
        <x:is>
          <x:t xml:space="preserve">markdown_review_no_formal: Markdown定向复核未发现作者直接给出的正式PNS marker；窗口共现或比较文献基因不录入</x:t>
        </x:is>
      </x:c>
    </x:row>
    <x:row r="63">
      <x:c r="A63" t="inlineStr">
        <x:is>
          <x:t xml:space="preserve">B20260814-003</x:t>
        </x:is>
      </x:c>
      <x:c r="B63" t="n">
        <x:v>35</x:v>
      </x:c>
      <x:c r="C63" t="inlineStr">
        <x:is>
          <x:t xml:space="preserve">DOI_10.1126_science.abo0510</x:t>
        </x:is>
      </x:c>
      <x:c r="D63" t="inlineStr">
        <x:is>
          <x:t xml:space="preserve">DOI_10.1126_science.abo0510</x:t>
        </x:is>
      </x:c>
      <x:c r="E63" t="inlineStr">
        <x:is>
          <x:t xml:space="preserve">Mapping the developing human immune system across organs.</x:t>
        </x:is>
      </x:c>
      <x:c r="F63" t="inlineStr">
        <x:is>
          <x:t xml:space="preserve">quick_consistency</x:t>
        </x:is>
      </x:c>
      <x:c r="G63" t="n">
        <x:v>0</x:v>
      </x:c>
      <x:c r="H63" t="n">
        <x:v>0</x:v>
      </x:c>
      <x:c r="I63" t="n">
        <x:v>0</x:v>
      </x:c>
      <x:c r="J63" t="n">
        <x:v>0</x:v>
      </x:c>
      <x:c r="K63" t="n">
        <x:v>0</x:v>
      </x:c>
      <x:c r="L63" t="n">
        <x:v>0</x:v>
      </x:c>
      <x:c r="M63" t="inlineStr">
        <x:is>
          <x:t xml:space="preserve">scripts/extract_markers/review_md/DOI_10.1126_science.abo0510.md</x:t>
        </x:is>
      </x:c>
      <x:c r="N63" t="inlineStr">
        <x:is>
          <x:t xml:space="preserve">2026-08-14</x:t>
        </x:is>
      </x:c>
      <x:c r="O63" t="inlineStr">
        <x:is>
          <x:t xml:space="preserve">markdown_review_no_formal: Markdown定向复核未发现作者直接给出的正式PNS marker；窗口共现或比较文献基因不录入</x:t>
        </x:is>
      </x:c>
    </x:row>
    <x:row r="64">
      <x:c r="A64" t="inlineStr">
        <x:is>
          <x:t xml:space="preserve">B20260814-003</x:t>
        </x:is>
      </x:c>
      <x:c r="B64" t="n">
        <x:v>39</x:v>
      </x:c>
      <x:c r="C64" t="inlineStr">
        <x:is>
          <x:t xml:space="preserve">DOI_10.1101_2025.09.26.678707</x:t>
        </x:is>
      </x:c>
      <x:c r="D64" t="inlineStr">
        <x:is>
          <x:t xml:space="preserve">DOI_10.1101_2025.09.26.678707</x:t>
        </x:is>
      </x:c>
      <x:c r="E64" t="inlineStr">
        <x:is>
          <x:t xml:space="preserve">Cellular and Spatial Drivers of Unresolved Injury and Functional Decline in the Human Kidney</x:t>
        </x:is>
      </x:c>
      <x:c r="F64" t="inlineStr">
        <x:is>
          <x:t xml:space="preserve">quick_consistency</x:t>
        </x:is>
      </x:c>
      <x:c r="G64" t="n">
        <x:v>0</x:v>
      </x:c>
      <x:c r="H64" t="n">
        <x:v>0</x:v>
      </x:c>
      <x:c r="I64" t="n">
        <x:v>0</x:v>
      </x:c>
      <x:c r="J64" t="n">
        <x:v>0</x:v>
      </x:c>
      <x:c r="K64" t="n">
        <x:v>0</x:v>
      </x:c>
      <x:c r="L64" t="n">
        <x:v>0</x:v>
      </x:c>
      <x:c r="M64" t="inlineStr">
        <x:is>
          <x:t xml:space="preserve">scripts/extract_markers/review_md/DOI_10.1101_2025.09.26.678707.md</x:t>
        </x:is>
      </x:c>
      <x:c r="N64" t="inlineStr">
        <x:is>
          <x:t xml:space="preserve">2026-08-14</x:t>
        </x:is>
      </x:c>
      <x:c r="O64" t="inlineStr">
        <x:is>
          <x:t xml:space="preserve">needs_manual_review: Markdown提及PNS细胞，但marker疑位于未完整转换的图表或补充材料，暂不强行录入</x:t>
        </x:is>
      </x:c>
    </x:row>
    <x:row r="65">
      <x:c r="A65" t="inlineStr">
        <x:is>
          <x:t xml:space="preserve">B20260814-003</x:t>
        </x:is>
      </x:c>
      <x:c r="B65" t="n">
        <x:v>40</x:v>
      </x:c>
      <x:c r="C65" t="inlineStr">
        <x:is>
          <x:t xml:space="preserve">DOI_10.1038_s41467-021-21783-3</x:t>
        </x:is>
      </x:c>
      <x:c r="D65" t="inlineStr">
        <x:is>
          <x:t xml:space="preserve">DOI_10.1038_s41467-021-21783-3</x:t>
        </x:is>
      </x:c>
      <x:c r="E65" t="inlineStr">
        <x:is>
          <x:t xml:space="preserve">Time-resolved single-cell analysis of Brca1 associated mammary tumourigenesis reveals aberrant differentiation of luminal progenitors.</x:t>
        </x:is>
      </x:c>
      <x:c r="F65" t="inlineStr">
        <x:is>
          <x:t xml:space="preserve">quick_consistency</x:t>
        </x:is>
      </x:c>
      <x:c r="G65" t="n">
        <x:v>0</x:v>
      </x:c>
      <x:c r="H65" t="n">
        <x:v>0</x:v>
      </x:c>
      <x:c r="I65" t="n">
        <x:v>0</x:v>
      </x:c>
      <x:c r="J65" t="n">
        <x:v>0</x:v>
      </x:c>
      <x:c r="K65" t="n">
        <x:v>0</x:v>
      </x:c>
      <x:c r="L65" t="n">
        <x:v>0</x:v>
      </x:c>
      <x:c r="M65" t="inlineStr">
        <x:is>
          <x:t xml:space="preserve">scripts/extract_markers/review_md/DOI_10.1038_s41467-021-21783-3.md</x:t>
        </x:is>
      </x:c>
      <x:c r="N65" t="inlineStr">
        <x:is>
          <x:t xml:space="preserve">2026-08-14</x:t>
        </x:is>
      </x:c>
      <x:c r="O65" t="inlineStr">
        <x:is>
          <x:t xml:space="preserve">markdown_review_no_formal: Markdown定向复核未发现作者直接给出的正式PNS marker；窗口共现或比较文献基因不录入</x:t>
        </x:is>
      </x:c>
    </x:row>
    <x:row r="66">
      <x:c r="A66" t="inlineStr">
        <x:is>
          <x:t xml:space="preserve">B20260814-003</x:t>
        </x:is>
      </x:c>
      <x:c r="B66" t="n">
        <x:v>43</x:v>
      </x:c>
      <x:c r="C66" t="inlineStr">
        <x:is>
          <x:t xml:space="preserve">DOI_10.1038_s41586-020-2496-1</x:t>
        </x:is>
      </x:c>
      <x:c r="D66" t="inlineStr">
        <x:is>
          <x:t xml:space="preserve">DOI_10.1038_s41586-020-2496-1</x:t>
        </x:is>
      </x:c>
      <x:c r="E66" t="inlineStr">
        <x:is>
          <x:t xml:space="preserve">A single-cell transcriptomic atlas characterizes ageing tissues in the mouse.</x:t>
        </x:is>
      </x:c>
      <x:c r="F66" t="inlineStr">
        <x:is>
          <x:t xml:space="preserve">quick_consistency</x:t>
        </x:is>
      </x:c>
      <x:c r="G66" t="n">
        <x:v>0</x:v>
      </x:c>
      <x:c r="H66" t="n">
        <x:v>0</x:v>
      </x:c>
      <x:c r="I66" t="n">
        <x:v>0</x:v>
      </x:c>
      <x:c r="J66" t="n">
        <x:v>0</x:v>
      </x:c>
      <x:c r="K66" t="n">
        <x:v>0</x:v>
      </x:c>
      <x:c r="L66" t="n">
        <x:v>0</x:v>
      </x:c>
      <x:c r="M66" t="inlineStr">
        <x:is>
          <x:t xml:space="preserve">scripts/extract_markers/review_md/DOI_10.1038_s41586-020-2496-1.md</x:t>
        </x:is>
      </x:c>
      <x:c r="N66" t="inlineStr">
        <x:is>
          <x:t xml:space="preserve">2026-08-14</x:t>
        </x:is>
      </x:c>
      <x:c r="O66" t="inlineStr">
        <x:is>
          <x:t xml:space="preserve">markdown_review_no_formal: Markdown定向复核未发现作者直接给出的正式PNS marker；窗口共现或比较文献基因不录入</x:t>
        </x:is>
      </x:c>
    </x:row>
    <x:row r="67">
      <x:c r="A67" t="inlineStr">
        <x:is>
          <x:t xml:space="preserve">B20260814-003</x:t>
        </x:is>
      </x:c>
      <x:c r="B67" t="n">
        <x:v>44</x:v>
      </x:c>
      <x:c r="C67" t="inlineStr">
        <x:is>
          <x:t xml:space="preserve">DOI_10.1038_s42003-024-07315-x</x:t>
        </x:is>
      </x:c>
      <x:c r="D67" t="inlineStr">
        <x:is>
          <x:t xml:space="preserve">DOI_10.1038_s42003-024-07315-x</x:t>
        </x:is>
      </x:c>
      <x:c r="E67" t="inlineStr">
        <x:is>
          <x:t xml:space="preserve">Cross-species single-cell RNA-seq analysis reveals disparate and conserved cardiac and extracardiac inflammatory responses upon heart injury.</x:t>
        </x:is>
      </x:c>
      <x:c r="F67" t="inlineStr">
        <x:is>
          <x:t xml:space="preserve">quick_consistency</x:t>
        </x:is>
      </x:c>
      <x:c r="G67" t="n">
        <x:v>0</x:v>
      </x:c>
      <x:c r="H67" t="n">
        <x:v>0</x:v>
      </x:c>
      <x:c r="I67" t="n">
        <x:v>0</x:v>
      </x:c>
      <x:c r="J67" t="n">
        <x:v>0</x:v>
      </x:c>
      <x:c r="K67" t="n">
        <x:v>0</x:v>
      </x:c>
      <x:c r="L67" t="n">
        <x:v>0</x:v>
      </x:c>
      <x:c r="M67" t="inlineStr">
        <x:is>
          <x:t xml:space="preserve">scripts/extract_markers/review_md/DOI_10.1038_s42003-024-07315-x.md</x:t>
        </x:is>
      </x:c>
      <x:c r="N67" t="inlineStr">
        <x:is>
          <x:t xml:space="preserve">2026-08-14</x:t>
        </x:is>
      </x:c>
      <x:c r="O67" t="inlineStr">
        <x:is>
          <x:t xml:space="preserve">markdown_review_no_formal: Markdown定向复核未发现作者直接给出的正式PNS marker；窗口共现或比较文献基因不录入</x:t>
        </x:is>
      </x:c>
    </x:row>
    <x:row r="68">
      <x:c r="A68" t="str">
        <x:v>B20260821-001</x:v>
      </x:c>
      <x:c r="B68" t="n">
        <x:v>24</x:v>
      </x:c>
      <x:c r="C68" t="str">
        <x:v>DOI_10.1002_pros.24020</x:v>
      </x:c>
      <x:c r="D68" t="str">
        <x:v>DOI_10.1002_pros.24020</x:v>
      </x:c>
      <x:c r="E68" t="str">
        <x:v>Urethral luminal epithelia are castration-insensitive cells of the proximal prostate.</x:v>
      </x:c>
      <x:c r="F68" t="str">
        <x:v>machine_v2</x:v>
      </x:c>
      <x:c r="G68" t="n">
        <x:v>34</x:v>
      </x:c>
      <x:c r="H68" t="n">
        <x:v>2</x:v>
      </x:c>
      <x:c r="I68" t="n">
        <x:v>0</x:v>
      </x:c>
      <x:c r="J68" t="n">
        <x:v>0</x:v>
      </x:c>
      <x:c r="K68" t="n">
        <x:v>32</x:v>
      </x:c>
      <x:c r="L68" t="n">
        <x:v>0</x:v>
      </x:c>
      <x:c r="M68" t="str">
        <x:v>scripts/extract_markers/markers_output_v2/DOI_10.1002_pros.24020_review.csv</x:v>
      </x:c>
      <x:c r="N68" t="str">
        <x:v>2026-08-21</x:v>
      </x:c>
      <x:c r="O68" t="str">
        <x:v>新版 v2 机器提取；无新增总表记录（不满足 PNS/formal 规则或与已有总表重复）。</x:v>
      </x:c>
    </x:row>
    <x:row r="69">
      <x:c r="A69" t="str">
        <x:v>B20260821-001</x:v>
      </x:c>
      <x:c r="B69" t="n">
        <x:v>28</x:v>
      </x:c>
      <x:c r="C69" t="str">
        <x:v>DOI_10.1016_j.cell.2017.09.004</x:v>
      </x:c>
      <x:c r="D69" t="str">
        <x:v>DOI_10.1016_j.cell.2017.09.004</x:v>
      </x:c>
      <x:c r="E69" t="str">
        <x:v>Single-Cell Analysis of Human Pancreas Reveals Transcriptional Signatures of Aging and Somatic Mutation Patterns.</x:v>
      </x:c>
      <x:c r="F69" t="str">
        <x:v>machine_v2</x:v>
      </x:c>
      <x:c r="G69" t="n">
        <x:v>2</x:v>
      </x:c>
      <x:c r="H69" t="n">
        <x:v>2</x:v>
      </x:c>
      <x:c r="I69" t="n">
        <x:v>0</x:v>
      </x:c>
      <x:c r="J69" t="n">
        <x:v>0</x:v>
      </x:c>
      <x:c r="K69" t="n">
        <x:v>0</x:v>
      </x:c>
      <x:c r="L69" t="n">
        <x:v>0</x:v>
      </x:c>
      <x:c r="M69" t="str">
        <x:v>scripts/extract_markers/markers_output_v2/DOI_10.1016_j.cell.2017.09.004_review.csv</x:v>
      </x:c>
      <x:c r="N69" t="str">
        <x:v>2026-08-21</x:v>
      </x:c>
      <x:c r="O69" t="str">
        <x:v>新版 v2 机器提取；无新增总表记录（不满足 PNS/formal 规则或与已有总表重复）。</x:v>
      </x:c>
    </x:row>
    <x:row r="70">
      <x:c r="A70" t="str">
        <x:v>B20260821-001</x:v>
      </x:c>
      <x:c r="B70" t="n">
        <x:v>20</x:v>
      </x:c>
      <x:c r="C70" t="str">
        <x:v>DOI_10.1016_j.cell.2021.07.023</x:v>
      </x:c>
      <x:c r="D70" t="str">
        <x:v>DOI_10.1016_j.cell.2021.07.023</x:v>
      </x:c>
      <x:c r="E70" t="str">
        <x:v>Impaired local intrinsic immunity to SARS-CoV-2 infection in severe COVID-19.</x:v>
      </x:c>
      <x:c r="F70" t="str">
        <x:v>machine_v2</x:v>
      </x:c>
      <x:c r="G70" t="n">
        <x:v>187</x:v>
      </x:c>
      <x:c r="H70" t="n">
        <x:v>103</x:v>
      </x:c>
      <x:c r="I70" t="n">
        <x:v>0</x:v>
      </x:c>
      <x:c r="J70" t="n">
        <x:v>0</x:v>
      </x:c>
      <x:c r="K70" t="n">
        <x:v>84</x:v>
      </x:c>
      <x:c r="L70" t="n">
        <x:v>0</x:v>
      </x:c>
      <x:c r="M70" t="str">
        <x:v>scripts/extract_markers/markers_output_v2/DOI_10.1016_j.cell.2021.07.023_review.csv</x:v>
      </x:c>
      <x:c r="N70" t="str">
        <x:v>2026-08-21</x:v>
      </x:c>
      <x:c r="O70" t="str">
        <x:v>新版 v2 机器提取；无新增总表记录（不满足 PNS/formal 规则或与已有总表重复）。</x:v>
      </x:c>
    </x:row>
    <x:row r="71">
      <x:c r="A71" t="str">
        <x:v>B20260821-001</x:v>
      </x:c>
      <x:c r="B71" t="n">
        <x:v>9</x:v>
      </x:c>
      <x:c r="C71" t="str">
        <x:v>DOI_10.1016_j.cell.2022.11.005</x:v>
      </x:c>
      <x:c r="D71" t="str">
        <x:v>DOI_10.1016_j.cell.2022.11.005</x:v>
      </x:c>
      <x:c r="E71" t="str">
        <x:v>A human fetal lung cell atlas uncovers proximal-distal gradients of differentiation and key regulators of epithelial fates.</x:v>
      </x:c>
      <x:c r="F71" t="str">
        <x:v>machine_v2</x:v>
      </x:c>
      <x:c r="G71" t="n">
        <x:v>233</x:v>
      </x:c>
      <x:c r="H71" t="n">
        <x:v>26</x:v>
      </x:c>
      <x:c r="I71" t="n">
        <x:v>0</x:v>
      </x:c>
      <x:c r="J71" t="n">
        <x:v>0</x:v>
      </x:c>
      <x:c r="K71" t="n">
        <x:v>207</x:v>
      </x:c>
      <x:c r="L71" t="n">
        <x:v>0</x:v>
      </x:c>
      <x:c r="M71" t="str">
        <x:v>scripts/extract_markers/markers_output_v2/DOI_10.1016_j.cell.2022.11.005_review.csv</x:v>
      </x:c>
      <x:c r="N71" t="str">
        <x:v>2026-08-21</x:v>
      </x:c>
      <x:c r="O71" t="str">
        <x:v>新版 v2 机器提取；无新增总表记录（不满足 PNS/formal 规则或与已有总表重复）。</x:v>
      </x:c>
    </x:row>
    <x:row r="72">
      <x:c r="A72" t="str">
        <x:v>B20260821-001</x:v>
      </x:c>
      <x:c r="B72" t="n">
        <x:v>25</x:v>
      </x:c>
      <x:c r="C72" t="str">
        <x:v>DOI_10.1016_j.celrep.2018.11.086</x:v>
      </x:c>
      <x:c r="D72" t="str">
        <x:v>DOI_10.1016_j.celrep.2018.11.086</x:v>
      </x:c>
      <x:c r="E72" t="str">
        <x:v>A Cellular Anatomy of the Normal Adult Human Prostate and Prostatic Urethra.</x:v>
      </x:c>
      <x:c r="F72" t="str">
        <x:v>machine_v2</x:v>
      </x:c>
      <x:c r="G72" t="n">
        <x:v>60</x:v>
      </x:c>
      <x:c r="H72" t="n">
        <x:v>11</x:v>
      </x:c>
      <x:c r="I72" t="n">
        <x:v>0</x:v>
      </x:c>
      <x:c r="J72" t="n">
        <x:v>0</x:v>
      </x:c>
      <x:c r="K72" t="n">
        <x:v>49</x:v>
      </x:c>
      <x:c r="L72" t="n">
        <x:v>0</x:v>
      </x:c>
      <x:c r="M72" t="str">
        <x:v>scripts/extract_markers/markers_output_v2/DOI_10.1016_j.celrep.2018.11.086_review.csv</x:v>
      </x:c>
      <x:c r="N72" t="str">
        <x:v>2026-08-21</x:v>
      </x:c>
      <x:c r="O72" t="str">
        <x:v>新版 v2 机器提取；无新增总表记录（不满足 PNS/formal 规则或与已有总表重复）。</x:v>
      </x:c>
    </x:row>
    <x:row r="73">
      <x:c r="A73" t="str">
        <x:v>B20260821-001</x:v>
      </x:c>
      <x:c r="B73" t="n">
        <x:v>10</x:v>
      </x:c>
      <x:c r="C73" t="str">
        <x:v>DOI_10.1016_j.healun.2026.02.1666</x:v>
      </x:c>
      <x:c r="D73" t="str">
        <x:v>DOI_10.1016_j.healun.2026.02.1666</x:v>
      </x:c>
      <x:c r="E73" t="str">
        <x:v>Human lung allografts experience persistent fibrogenic shift following acute cellular rejection.</x:v>
      </x:c>
      <x:c r="F73" t="str">
        <x:v>machine_v2</x:v>
      </x:c>
      <x:c r="G73" t="n">
        <x:v>5</x:v>
      </x:c>
      <x:c r="H73" t="n">
        <x:v>4</x:v>
      </x:c>
      <x:c r="I73" t="n">
        <x:v>0</x:v>
      </x:c>
      <x:c r="J73" t="n">
        <x:v>0</x:v>
      </x:c>
      <x:c r="K73" t="n">
        <x:v>1</x:v>
      </x:c>
      <x:c r="L73" t="n">
        <x:v>0</x:v>
      </x:c>
      <x:c r="M73" t="str">
        <x:v>scripts/extract_markers/markers_output_v2/DOI_10.1016_j.healun.2026.02.1666_review.csv</x:v>
      </x:c>
      <x:c r="N73" t="str">
        <x:v>2026-08-21</x:v>
      </x:c>
      <x:c r="O73" t="str">
        <x:v>新版 v2 机器提取；无新增总表记录（不满足 PNS/formal 规则或与已有总表重复）。</x:v>
      </x:c>
    </x:row>
    <x:row r="74">
      <x:c r="A74" t="str">
        <x:v>B20260821-001</x:v>
      </x:c>
      <x:c r="B74" t="n">
        <x:v>23</x:v>
      </x:c>
      <x:c r="C74" t="str">
        <x:v>DOI_10.1016_j.isci.2024.111628</x:v>
      </x:c>
      <x:c r="D74" t="str">
        <x:v>DOI_10.1016_j.isci.2024.111628</x:v>
      </x:c>
      <x:c r="E74" t="str">
        <x:v>Exploring the utility of snRNA-seq in profiling human bladder tissue: A comprehensive comparison with scRNA-seq.</x:v>
      </x:c>
      <x:c r="F74" t="str">
        <x:v>machine_v2</x:v>
      </x:c>
      <x:c r="G74" t="n">
        <x:v>92</x:v>
      </x:c>
      <x:c r="H74" t="n">
        <x:v>84</x:v>
      </x:c>
      <x:c r="I74" t="n">
        <x:v>0</x:v>
      </x:c>
      <x:c r="J74" t="n">
        <x:v>0</x:v>
      </x:c>
      <x:c r="K74" t="n">
        <x:v>8</x:v>
      </x:c>
      <x:c r="L74" t="n">
        <x:v>3</x:v>
      </x:c>
      <x:c r="M74" t="str">
        <x:v>scripts/extract_markers/markers_output_v2/DOI_10.1016_j.isci.2024.111628_review.csv</x:v>
      </x:c>
      <x:c r="N74" t="str">
        <x:v>2026-08-21</x:v>
      </x:c>
      <x:c r="O74" t="str">
        <x:v>新版 v2 机器提取；3 条 formal_candidate 且 PNS=true 进入总表，当前为 pending，待人工快速一致性复核。</x:v>
      </x:c>
    </x:row>
    <x:row r="75">
      <x:c r="A75" t="str">
        <x:v>B20260821-001</x:v>
      </x:c>
      <x:c r="B75" t="n">
        <x:v>8</x:v>
      </x:c>
      <x:c r="C75" t="str">
        <x:v>DOI_10.1016_j.jcf.2025.01.016</x:v>
      </x:c>
      <x:c r="D75" t="str">
        <x:v>DOI_10.1016_j.jcf.2025.01.016</x:v>
      </x:c>
      <x:c r="E75" t="str">
        <x:v>Evidence for altered immune-structural cell crosstalk in cystic fibrosis revealed by single cell transcriptomics.</x:v>
      </x:c>
      <x:c r="F75" t="str">
        <x:v>machine_v2</x:v>
      </x:c>
      <x:c r="G75" t="n">
        <x:v>5</x:v>
      </x:c>
      <x:c r="H75" t="n">
        <x:v>2</x:v>
      </x:c>
      <x:c r="I75" t="n">
        <x:v>0</x:v>
      </x:c>
      <x:c r="J75" t="n">
        <x:v>0</x:v>
      </x:c>
      <x:c r="K75" t="n">
        <x:v>3</x:v>
      </x:c>
      <x:c r="L75" t="n">
        <x:v>0</x:v>
      </x:c>
      <x:c r="M75" t="str">
        <x:v>scripts/extract_markers/markers_output_v2/DOI_10.1016_j.jcf.2025.01.016_review.csv</x:v>
      </x:c>
      <x:c r="N75" t="str">
        <x:v>2026-08-21</x:v>
      </x:c>
      <x:c r="O75" t="str">
        <x:v>新版 v2 机器提取；无新增总表记录（不满足 PNS/formal 规则或与已有总表重复）。</x:v>
      </x:c>
    </x:row>
    <x:row r="76">
      <x:c r="A76" t="str">
        <x:v>B20260821-001</x:v>
      </x:c>
      <x:c r="B76" t="n">
        <x:v>18</x:v>
      </x:c>
      <x:c r="C76" t="str">
        <x:v>DOI_10.1016_j.stem.2022.11.013</x:v>
      </x:c>
      <x:c r="D76" t="str">
        <x:v>DOI_10.1016_j.stem.2022.11.013</x:v>
      </x:c>
      <x:c r="E76" t="str">
        <x:v>Organoid modeling of human fetal lung alveolar development reveals mechanisms of cell fate patterning and neonatal respiratory disease.</x:v>
      </x:c>
      <x:c r="F76" t="str">
        <x:v>machine_v2</x:v>
      </x:c>
      <x:c r="G76" t="n">
        <x:v>88</x:v>
      </x:c>
      <x:c r="H76" t="n">
        <x:v>32</x:v>
      </x:c>
      <x:c r="I76" t="n">
        <x:v>0</x:v>
      </x:c>
      <x:c r="J76" t="n">
        <x:v>0</x:v>
      </x:c>
      <x:c r="K76" t="n">
        <x:v>56</x:v>
      </x:c>
      <x:c r="L76" t="n">
        <x:v>0</x:v>
      </x:c>
      <x:c r="M76" t="str">
        <x:v>scripts/extract_markers/markers_output_v2/DOI_10.1016_j.stem.2022.11.013_review.csv</x:v>
      </x:c>
      <x:c r="N76" t="str">
        <x:v>2026-08-21</x:v>
      </x:c>
      <x:c r="O76" t="str">
        <x:v>新版 v2 机器提取；无新增总表记录（不满足 PNS/formal 规则或与已有总表重复）。</x:v>
      </x:c>
    </x:row>
    <x:row r="77">
      <x:c r="A77" t="str">
        <x:v>B20260821-001</x:v>
      </x:c>
      <x:c r="B77" t="n">
        <x:v>40</x:v>
      </x:c>
      <x:c r="C77" t="str">
        <x:v>DOI_10.1038_s41467-021-21783-3</x:v>
      </x:c>
      <x:c r="D77" t="str">
        <x:v>DOI_10.1038_s41467-021-21783-3</x:v>
      </x:c>
      <x:c r="E77" t="str">
        <x:v>Time-resolved single-cell analysis of Brca1 associated mammary tumourigenesis reveals aberrant differentiation of luminal progenitors.</x:v>
      </x:c>
      <x:c r="F77" t="str">
        <x:v>machine_v2</x:v>
      </x:c>
      <x:c r="G77" t="n">
        <x:v>16</x:v>
      </x:c>
      <x:c r="H77" t="n">
        <x:v>6</x:v>
      </x:c>
      <x:c r="I77" t="n">
        <x:v>0</x:v>
      </x:c>
      <x:c r="J77" t="n">
        <x:v>0</x:v>
      </x:c>
      <x:c r="K77" t="n">
        <x:v>10</x:v>
      </x:c>
      <x:c r="L77" t="n">
        <x:v>0</x:v>
      </x:c>
      <x:c r="M77" t="str">
        <x:v>scripts/extract_markers/markers_output_v2/DOI_10.1038_s41467-021-21783-3_review.csv</x:v>
      </x:c>
      <x:c r="N77" t="str">
        <x:v>2026-08-21</x:v>
      </x:c>
      <x:c r="O77" t="str">
        <x:v>新版 v2 机器提取；无新增总表记录（不满足 PNS/formal 规则或与已有总表重复）。</x:v>
      </x:c>
    </x:row>
    <x:row r="78">
      <x:c r="A78" t="str">
        <x:v>B20260821-001</x:v>
      </x:c>
      <x:c r="B78" t="n">
        <x:v>15</x:v>
      </x:c>
      <x:c r="C78" t="str">
        <x:v>DOI_10.1038_s41467-023-40173-5</x:v>
      </x:c>
      <x:c r="D78" t="str">
        <x:v>DOI_10.1038_s41467-023-40173-5</x:v>
      </x:c>
      <x:c r="E78" t="str">
        <x:v>Guided construction of single cell reference for human and mouse lung.</x:v>
      </x:c>
      <x:c r="F78" t="str">
        <x:v>machine_v2</x:v>
      </x:c>
      <x:c r="G78" t="n">
        <x:v>50</x:v>
      </x:c>
      <x:c r="H78" t="n">
        <x:v>12</x:v>
      </x:c>
      <x:c r="I78" t="n">
        <x:v>0</x:v>
      </x:c>
      <x:c r="J78" t="n">
        <x:v>0</x:v>
      </x:c>
      <x:c r="K78" t="n">
        <x:v>38</x:v>
      </x:c>
      <x:c r="L78" t="n">
        <x:v>0</x:v>
      </x:c>
      <x:c r="M78" t="str">
        <x:v>scripts/extract_markers/markers_output_v2/DOI_10.1038_s41467-023-40173-5_review.csv</x:v>
      </x:c>
      <x:c r="N78" t="str">
        <x:v>2026-08-21</x:v>
      </x:c>
      <x:c r="O78" t="str">
        <x:v>新版 v2 机器提取；无新增总表记录（不满足 PNS/formal 规则或与已有总表重复）。</x:v>
      </x:c>
    </x:row>
    <x:row r="79">
      <x:c r="A79" t="str">
        <x:v>B20260821-001</x:v>
      </x:c>
      <x:c r="B79" t="n">
        <x:v>36</x:v>
      </x:c>
      <x:c r="C79" t="str">
        <x:v>DOI_10.1038_s41467-024-52052-8</x:v>
      </x:c>
      <x:c r="D79" t="str">
        <x:v>DOI_10.1038_s41467-024-52052-8</x:v>
      </x:c>
      <x:c r="E79" t="str">
        <x:v>The single-cell transcriptomic atlas iPain identifies senescence of nociceptors as a therapeutical target for chronic pain treatment.</x:v>
      </x:c>
      <x:c r="F79" t="str">
        <x:v>machine_v2</x:v>
      </x:c>
      <x:c r="G79" t="n">
        <x:v>6</x:v>
      </x:c>
      <x:c r="H79" t="n">
        <x:v>2</x:v>
      </x:c>
      <x:c r="I79" t="n">
        <x:v>0</x:v>
      </x:c>
      <x:c r="J79" t="n">
        <x:v>0</x:v>
      </x:c>
      <x:c r="K79" t="n">
        <x:v>4</x:v>
      </x:c>
      <x:c r="L79" t="n">
        <x:v>2</x:v>
      </x:c>
      <x:c r="M79" t="str">
        <x:v>scripts/extract_markers/markers_output_v2/DOI_10.1038_s41467-024-52052-8_review.csv</x:v>
      </x:c>
      <x:c r="N79" t="str">
        <x:v>2026-08-21</x:v>
      </x:c>
      <x:c r="O79" t="str">
        <x:v>新版 v2 机器提取；2 条 formal_candidate 且 PNS=true 进入总表，当前为 pending，待人工快速一致性复核。</x:v>
      </x:c>
    </x:row>
    <x:row r="80">
      <x:c r="A80" t="str">
        <x:v>B20260821-001</x:v>
      </x:c>
      <x:c r="B80" t="n">
        <x:v>43</x:v>
      </x:c>
      <x:c r="C80" t="str">
        <x:v>DOI_10.1038_s41586-020-2496-1</x:v>
      </x:c>
      <x:c r="D80" t="str">
        <x:v>DOI_10.1038_s41586-020-2496-1</x:v>
      </x:c>
      <x:c r="E80" t="str">
        <x:v>A single-cell transcriptomic atlas characterizes ageing tissues in the mouse.</x:v>
      </x:c>
      <x:c r="F80" t="str">
        <x:v>machine_v2</x:v>
      </x:c>
      <x:c r="G80" t="n">
        <x:v>39</x:v>
      </x:c>
      <x:c r="H80" t="n">
        <x:v>4</x:v>
      </x:c>
      <x:c r="I80" t="n">
        <x:v>0</x:v>
      </x:c>
      <x:c r="J80" t="n">
        <x:v>0</x:v>
      </x:c>
      <x:c r="K80" t="n">
        <x:v>35</x:v>
      </x:c>
      <x:c r="L80" t="n">
        <x:v>0</x:v>
      </x:c>
      <x:c r="M80" t="str">
        <x:v>scripts/extract_markers/markers_output_v2/DOI_10.1038_s41586-020-2496-1_review.csv</x:v>
      </x:c>
      <x:c r="N80" t="str">
        <x:v>2026-08-21</x:v>
      </x:c>
      <x:c r="O80" t="str">
        <x:v>新版 v2 机器提取；无新增总表记录（不满足 PNS/formal 规则或与已有总表重复）。</x:v>
      </x:c>
    </x:row>
    <x:row r="81">
      <x:c r="A81" t="str">
        <x:v>B20260821-001</x:v>
      </x:c>
      <x:c r="B81" t="n">
        <x:v>4</x:v>
      </x:c>
      <x:c r="C81" t="str">
        <x:v>DOI_10.1038_s41586-020-2922-4</x:v>
      </x:c>
      <x:c r="D81" t="str">
        <x:v>DOI_10.1038_s41586-020-2922-4</x:v>
      </x:c>
      <x:c r="E81" t="str">
        <x:v>A molecular cell atlas of the human lung from single-cell RNA sequencing.</x:v>
      </x:c>
      <x:c r="F81" t="str">
        <x:v>machine_v2</x:v>
      </x:c>
      <x:c r="G81" t="n">
        <x:v>127</x:v>
      </x:c>
      <x:c r="H81" t="n">
        <x:v>19</x:v>
      </x:c>
      <x:c r="I81" t="n">
        <x:v>0</x:v>
      </x:c>
      <x:c r="J81" t="n">
        <x:v>0</x:v>
      </x:c>
      <x:c r="K81" t="n">
        <x:v>108</x:v>
      </x:c>
      <x:c r="L81" t="n">
        <x:v>0</x:v>
      </x:c>
      <x:c r="M81" t="str">
        <x:v>scripts/extract_markers/markers_output_v2/DOI_10.1038_s41586-020-2922-4_review.csv</x:v>
      </x:c>
      <x:c r="N81" t="str">
        <x:v>2026-08-21</x:v>
      </x:c>
      <x:c r="O81" t="str">
        <x:v>新版 v2 机器提取；无新增总表记录（不满足 PNS/formal 规则或与已有总表重复）。</x:v>
      </x:c>
    </x:row>
    <x:row r="82">
      <x:c r="A82" t="str">
        <x:v>B20260821-001</x:v>
      </x:c>
      <x:c r="B82" t="n">
        <x:v>17</x:v>
      </x:c>
      <x:c r="C82" t="str">
        <x:v>DOI_10.1038_s41586-021-03569-1</x:v>
      </x:c>
      <x:c r="D82" t="str">
        <x:v>DOI_10.1038_s41586-021-03569-1</x:v>
      </x:c>
      <x:c r="E82" t="str">
        <x:v>A molecular single-cell lung atlas of lethal COVID-19.</x:v>
      </x:c>
      <x:c r="F82" t="str">
        <x:v>machine_v2</x:v>
      </x:c>
      <x:c r="G82" t="n">
        <x:v>36</x:v>
      </x:c>
      <x:c r="H82" t="n">
        <x:v>13</x:v>
      </x:c>
      <x:c r="I82" t="n">
        <x:v>0</x:v>
      </x:c>
      <x:c r="J82" t="n">
        <x:v>0</x:v>
      </x:c>
      <x:c r="K82" t="n">
        <x:v>23</x:v>
      </x:c>
      <x:c r="L82" t="n">
        <x:v>0</x:v>
      </x:c>
      <x:c r="M82" t="str">
        <x:v>scripts/extract_markers/markers_output_v2/DOI_10.1038_s41586-021-03569-1_review.csv</x:v>
      </x:c>
      <x:c r="N82" t="str">
        <x:v>2026-08-21</x:v>
      </x:c>
      <x:c r="O82" t="str">
        <x:v>新版 v2 机器提取；无新增总表记录（不满足 PNS/formal 规则或与已有总表重复）。</x:v>
      </x:c>
    </x:row>
    <x:row r="83">
      <x:c r="A83" t="str">
        <x:v>B20260821-001</x:v>
      </x:c>
      <x:c r="B83" t="n">
        <x:v>1</x:v>
      </x:c>
      <x:c r="C83" t="str">
        <x:v>DOI_10.1038_s41586-021-03710-0</x:v>
      </x:c>
      <x:c r="D83" t="str">
        <x:v>DOI_10.1038_s41586-021-03710-0</x:v>
      </x:c>
      <x:c r="E83" t="str">
        <x:v>Dysregulation of brain and choroid plexus cell types in severe COVID-19.</x:v>
      </x:c>
      <x:c r="F83" t="str">
        <x:v>machine_v2</x:v>
      </x:c>
      <x:c r="G83" t="n">
        <x:v>16</x:v>
      </x:c>
      <x:c r="H83" t="n">
        <x:v>11</x:v>
      </x:c>
      <x:c r="I83" t="n">
        <x:v>0</x:v>
      </x:c>
      <x:c r="J83" t="n">
        <x:v>0</x:v>
      </x:c>
      <x:c r="K83" t="n">
        <x:v>5</x:v>
      </x:c>
      <x:c r="L83" t="n">
        <x:v>0</x:v>
      </x:c>
      <x:c r="M83" t="str">
        <x:v>scripts/extract_markers/markers_output_v2/DOI_10.1038_s41586-021-03710-0_review.csv</x:v>
      </x:c>
      <x:c r="N83" t="str">
        <x:v>2026-08-21</x:v>
      </x:c>
      <x:c r="O83" t="str">
        <x:v>新版 v2 机器提取；无新增总表记录（不满足 PNS/formal 规则或与已有总表重复）。</x:v>
      </x:c>
    </x:row>
    <x:row r="84">
      <x:c r="A84" t="str">
        <x:v>B20260821-001</x:v>
      </x:c>
      <x:c r="B84" t="n">
        <x:v>32</x:v>
      </x:c>
      <x:c r="C84" t="str">
        <x:v>DOI_10.1038_s41586-021-03929-x</x:v>
      </x:c>
      <x:c r="D84" t="str">
        <x:v>DOI_10.1038_s41586-021-03929-x</x:v>
      </x:c>
      <x:c r="E84" t="str">
        <x:v>Blood and immune development in human fetal bone marrow and Down syndrome.</x:v>
      </x:c>
      <x:c r="F84" t="str">
        <x:v>machine_v2</x:v>
      </x:c>
      <x:c r="G84" t="n">
        <x:v>48</x:v>
      </x:c>
      <x:c r="H84" t="n">
        <x:v>3</x:v>
      </x:c>
      <x:c r="I84" t="n">
        <x:v>0</x:v>
      </x:c>
      <x:c r="J84" t="n">
        <x:v>0</x:v>
      </x:c>
      <x:c r="K84" t="n">
        <x:v>45</x:v>
      </x:c>
      <x:c r="L84" t="n">
        <x:v>0</x:v>
      </x:c>
      <x:c r="M84" t="str">
        <x:v>scripts/extract_markers/markers_output_v2/DOI_10.1038_s41586-021-03929-x_review.csv</x:v>
      </x:c>
      <x:c r="N84" t="str">
        <x:v>2026-08-21</x:v>
      </x:c>
      <x:c r="O84" t="str">
        <x:v>新版 v2 机器提取；无新增总表记录（不满足 PNS/formal 规则或与已有总表重复）。</x:v>
      </x:c>
    </x:row>
    <x:row r="85">
      <x:c r="A85" t="str">
        <x:v>B20260821-001</x:v>
      </x:c>
      <x:c r="B85" t="n">
        <x:v>7</x:v>
      </x:c>
      <x:c r="C85" t="str">
        <x:v>DOI_10.1038_s41586-021-04345-x</x:v>
      </x:c>
      <x:c r="D85" t="str">
        <x:v>DOI_10.1038_s41586-021-04345-x</x:v>
      </x:c>
      <x:c r="E85" t="str">
        <x:v>Local and systemic responses to SARS-CoV-2 infection in children and adults.</x:v>
      </x:c>
      <x:c r="F85" t="str">
        <x:v>machine_v2</x:v>
      </x:c>
      <x:c r="G85" t="n">
        <x:v>114</x:v>
      </x:c>
      <x:c r="H85" t="n">
        <x:v>25</x:v>
      </x:c>
      <x:c r="I85" t="n">
        <x:v>0</x:v>
      </x:c>
      <x:c r="J85" t="n">
        <x:v>0</x:v>
      </x:c>
      <x:c r="K85" t="n">
        <x:v>89</x:v>
      </x:c>
      <x:c r="L85" t="n">
        <x:v>0</x:v>
      </x:c>
      <x:c r="M85" t="str">
        <x:v>scripts/extract_markers/markers_output_v2/DOI_10.1038_s41586-021-04345-x_review.csv</x:v>
      </x:c>
      <x:c r="N85" t="str">
        <x:v>2026-08-21</x:v>
      </x:c>
      <x:c r="O85" t="str">
        <x:v>新版 v2 机器提取；无新增总表记录（不满足 PNS/formal 规则或与已有总表重复）。</x:v>
      </x:c>
    </x:row>
    <x:row r="86">
      <x:c r="A86" t="str">
        <x:v>B20260821-001</x:v>
      </x:c>
      <x:c r="B86" t="n">
        <x:v>42</x:v>
      </x:c>
      <x:c r="C86" t="str">
        <x:v>DOI_10.1038_s41586-024-07069-w</x:v>
      </x:c>
      <x:c r="D86" t="str">
        <x:v>DOI_10.1038_s41586-024-07069-w</x:v>
      </x:c>
      <x:c r="E86" t="str">
        <x:v>A single-cell time-lapse of mouse prenatal development from gastrula to birth.</x:v>
      </x:c>
      <x:c r="F86" t="str">
        <x:v>machine_v2</x:v>
      </x:c>
      <x:c r="G86" t="n">
        <x:v>144</x:v>
      </x:c>
      <x:c r="H86" t="n">
        <x:v>45</x:v>
      </x:c>
      <x:c r="I86" t="n">
        <x:v>0</x:v>
      </x:c>
      <x:c r="J86" t="n">
        <x:v>0</x:v>
      </x:c>
      <x:c r="K86" t="n">
        <x:v>99</x:v>
      </x:c>
      <x:c r="L86" t="n">
        <x:v>0</x:v>
      </x:c>
      <x:c r="M86" t="str">
        <x:v>scripts/extract_markers/markers_output_v2/DOI_10.1038_s41586-024-07069-w_review.csv</x:v>
      </x:c>
      <x:c r="N86" t="str">
        <x:v>2026-08-21</x:v>
      </x:c>
      <x:c r="O86" t="str">
        <x:v>新版 v2 机器提取；无新增总表记录（不满足 PNS/formal 规则或与已有总表重复）。</x:v>
      </x:c>
    </x:row>
    <x:row r="87">
      <x:c r="A87" t="str">
        <x:v>B20260821-001</x:v>
      </x:c>
      <x:c r="B87" t="n">
        <x:v>5</x:v>
      </x:c>
      <x:c r="C87" t="str">
        <x:v>DOI_10.1038_s41588-022-01243-4</x:v>
      </x:c>
      <x:c r="D87" t="str">
        <x:v>DOI_10.1038_s41588-022-01243-4</x:v>
      </x:c>
      <x:c r="E87" t="str">
        <x:v>A spatially resolved atlas of the human lung characterizes a gland-associated immune niche.</x:v>
      </x:c>
      <x:c r="F87" t="str">
        <x:v>machine_v2</x:v>
      </x:c>
      <x:c r="G87" t="n">
        <x:v>89</x:v>
      </x:c>
      <x:c r="H87" t="n">
        <x:v>46</x:v>
      </x:c>
      <x:c r="I87" t="n">
        <x:v>0</x:v>
      </x:c>
      <x:c r="J87" t="n">
        <x:v>0</x:v>
      </x:c>
      <x:c r="K87" t="n">
        <x:v>43</x:v>
      </x:c>
      <x:c r="L87" t="n">
        <x:v>4</x:v>
      </x:c>
      <x:c r="M87" t="str">
        <x:v>scripts/extract_markers/markers_output_v2/DOI_10.1038_s41588-022-01243-4_review.csv</x:v>
      </x:c>
      <x:c r="N87" t="str">
        <x:v>2026-08-21</x:v>
      </x:c>
      <x:c r="O87" t="str">
        <x:v>新版 v2 机器提取；4 条 formal_candidate 且 PNS=true 进入总表，当前为 pending，待人工快速一致性复核。</x:v>
      </x:c>
    </x:row>
    <x:row r="88">
      <x:c r="A88" t="str">
        <x:v>B20260821-001</x:v>
      </x:c>
      <x:c r="B88" t="n">
        <x:v>16</x:v>
      </x:c>
      <x:c r="C88" t="str">
        <x:v>DOI_10.1038_s41588-024-01702-0</x:v>
      </x:c>
      <x:c r="D88" t="str">
        <x:v>DOI_10.1038_s41588-024-01702-0</x:v>
      </x:c>
      <x:c r="E88" t="str">
        <x:v>Cell-type-specific and disease-associated expression quantitative trait loci in the human lung.</x:v>
      </x:c>
      <x:c r="F88" t="str">
        <x:v>machine_v2</x:v>
      </x:c>
      <x:c r="G88" t="n">
        <x:v>19</x:v>
      </x:c>
      <x:c r="H88" t="n">
        <x:v>19</x:v>
      </x:c>
      <x:c r="I88" t="n">
        <x:v>0</x:v>
      </x:c>
      <x:c r="J88" t="n">
        <x:v>0</x:v>
      </x:c>
      <x:c r="K88" t="n">
        <x:v>0</x:v>
      </x:c>
      <x:c r="L88" t="n">
        <x:v>0</x:v>
      </x:c>
      <x:c r="M88" t="str">
        <x:v>scripts/extract_markers/markers_output_v2/DOI_10.1038_s41588-024-01702-0_review.csv</x:v>
      </x:c>
      <x:c r="N88" t="str">
        <x:v>2026-08-21</x:v>
      </x:c>
      <x:c r="O88" t="str">
        <x:v>新版 v2 机器提取；无新增总表记录（不满足 PNS/formal 规则或与已有总表重复）。</x:v>
      </x:c>
    </x:row>
    <x:row r="89">
      <x:c r="A89" t="str">
        <x:v>B20260821-001</x:v>
      </x:c>
      <x:c r="B89" t="n">
        <x:v>31</x:v>
      </x:c>
      <x:c r="C89" t="str">
        <x:v>DOI_10.1038_s41588-025-02158-6</x:v>
      </x:c>
      <x:c r="D89" t="str">
        <x:v>DOI_10.1038_s41588-025-02158-6</x:v>
      </x:c>
      <x:c r="E89" t="str">
        <x:v>Longitudinal single-cell multiomic atlas of high-risk neuroblastoma reveals chemotherapy-induced tumor microenvironment rewiring.</x:v>
      </x:c>
      <x:c r="F89" t="str">
        <x:v>machine_v2</x:v>
      </x:c>
      <x:c r="G89" t="n">
        <x:v>55</x:v>
      </x:c>
      <x:c r="H89" t="n">
        <x:v>44</x:v>
      </x:c>
      <x:c r="I89" t="n">
        <x:v>0</x:v>
      </x:c>
      <x:c r="J89" t="n">
        <x:v>0</x:v>
      </x:c>
      <x:c r="K89" t="n">
        <x:v>11</x:v>
      </x:c>
      <x:c r="L89" t="n">
        <x:v>6</x:v>
      </x:c>
      <x:c r="M89" t="str">
        <x:v>scripts/extract_markers/markers_output_v2/DOI_10.1038_s41588-025-02158-6_review.csv</x:v>
      </x:c>
      <x:c r="N89" t="str">
        <x:v>2026-08-21</x:v>
      </x:c>
      <x:c r="O89" t="str">
        <x:v>新版 v2 机器提取；6 条 formal_candidate 且 PNS=true 进入总表，当前为 pending，待人工快速一致性复核。</x:v>
      </x:c>
    </x:row>
    <x:row r="90">
      <x:c r="A90" t="str">
        <x:v>B20260821-001</x:v>
      </x:c>
      <x:c r="B90" t="n">
        <x:v>33</x:v>
      </x:c>
      <x:c r="C90" t="str">
        <x:v>DOI_10.1038_s41588-025-02182-6</x:v>
      </x:c>
      <x:c r="D90" t="str">
        <x:v>DOI_10.1038_s41588-025-02182-6</x:v>
      </x:c>
      <x:c r="E90" t="str">
        <x:v>An integrated transcriptomic cell atlas of human endoderm-derived organoids.</x:v>
      </x:c>
      <x:c r="F90" t="str">
        <x:v>machine_v2</x:v>
      </x:c>
      <x:c r="G90" t="n">
        <x:v>19</x:v>
      </x:c>
      <x:c r="H90" t="n">
        <x:v>13</x:v>
      </x:c>
      <x:c r="I90" t="n">
        <x:v>0</x:v>
      </x:c>
      <x:c r="J90" t="n">
        <x:v>0</x:v>
      </x:c>
      <x:c r="K90" t="n">
        <x:v>6</x:v>
      </x:c>
      <x:c r="L90" t="n">
        <x:v>0</x:v>
      </x:c>
      <x:c r="M90" t="str">
        <x:v>scripts/extract_markers/markers_output_v2/DOI_10.1038_s41588-025-02182-6_review.csv</x:v>
      </x:c>
      <x:c r="N90" t="str">
        <x:v>2026-08-21</x:v>
      </x:c>
      <x:c r="O90" t="str">
        <x:v>新版 v2 机器提取；无新增总表记录（不满足 PNS/formal 规则或与已有总表重复）。</x:v>
      </x:c>
    </x:row>
    <x:row r="91">
      <x:c r="A91" t="str">
        <x:v>B20260821-001</x:v>
      </x:c>
      <x:c r="B91" t="n">
        <x:v>14</x:v>
      </x:c>
      <x:c r="C91" t="str">
        <x:v>DOI_10.1038_s41591-023-02327-2</x:v>
      </x:c>
      <x:c r="D91" t="str">
        <x:v>DOI_10.1038_s41591-023-02327-2</x:v>
      </x:c>
      <x:c r="E91" t="str">
        <x:v>An integrated cell atlas of the lung in health and disease.</x:v>
      </x:c>
      <x:c r="F91" t="str">
        <x:v>machine_v2</x:v>
      </x:c>
      <x:c r="G91" t="n">
        <x:v>56</x:v>
      </x:c>
      <x:c r="H91" t="n">
        <x:v>20</x:v>
      </x:c>
      <x:c r="I91" t="n">
        <x:v>0</x:v>
      </x:c>
      <x:c r="J91" t="n">
        <x:v>0</x:v>
      </x:c>
      <x:c r="K91" t="n">
        <x:v>36</x:v>
      </x:c>
      <x:c r="L91" t="n">
        <x:v>0</x:v>
      </x:c>
      <x:c r="M91" t="str">
        <x:v>scripts/extract_markers/markers_output_v2/DOI_10.1038_s41591-023-02327-2_review.csv</x:v>
      </x:c>
      <x:c r="N91" t="str">
        <x:v>2026-08-21</x:v>
      </x:c>
      <x:c r="O91" t="str">
        <x:v>新版 v2 机器提取；无新增总表记录（不满足 PNS/formal 规则或与已有总表重复）。</x:v>
      </x:c>
    </x:row>
    <x:row r="92">
      <x:c r="A92" t="str">
        <x:v>B20260821-001</x:v>
      </x:c>
      <x:c r="B92" t="n">
        <x:v>29</x:v>
      </x:c>
      <x:c r="C92" t="str">
        <x:v>DOI_10.1038_s41591-024-03215-z</x:v>
      </x:c>
      <x:c r="D92" t="str">
        <x:v>DOI_10.1038_s41591-024-03215-z</x:v>
      </x:c>
      <x:c r="E92" t="str">
        <x:v>A multi-modal single-cell and spatial expression map of metastatic breast cancer biopsies across clinicopathological features.</x:v>
      </x:c>
      <x:c r="F92" t="str">
        <x:v>machine_v2</x:v>
      </x:c>
      <x:c r="G92" t="n">
        <x:v>47</x:v>
      </x:c>
      <x:c r="H92" t="n">
        <x:v>12</x:v>
      </x:c>
      <x:c r="I92" t="n">
        <x:v>0</x:v>
      </x:c>
      <x:c r="J92" t="n">
        <x:v>0</x:v>
      </x:c>
      <x:c r="K92" t="n">
        <x:v>35</x:v>
      </x:c>
      <x:c r="L92" t="n">
        <x:v>0</x:v>
      </x:c>
      <x:c r="M92" t="str">
        <x:v>scripts/extract_markers/markers_output_v2/DOI_10.1038_s41591-024-03215-z_review.csv</x:v>
      </x:c>
      <x:c r="N92" t="str">
        <x:v>2026-08-21</x:v>
      </x:c>
      <x:c r="O92" t="str">
        <x:v>新版 v2 机器提取；无新增总表记录（不满足 PNS/formal 规则或与已有总表重复）。</x:v>
      </x:c>
    </x:row>
    <x:row r="93">
      <x:c r="A93" t="str">
        <x:v>B20260821-001</x:v>
      </x:c>
      <x:c r="B93" t="n">
        <x:v>30</x:v>
      </x:c>
      <x:c r="C93" t="str">
        <x:v>DOI_10.1038_s42003-021-02562-8</x:v>
      </x:c>
      <x:c r="D93" t="str">
        <x:v>DOI_10.1038_s42003-021-02562-8</x:v>
      </x:c>
      <x:c r="E93" t="str">
        <x:v>Identification of distinct tumor cell populations and key genetic mechanisms through single cell sequencing in hepatoblastoma.</x:v>
      </x:c>
      <x:c r="F93" t="str">
        <x:v>machine_v2</x:v>
      </x:c>
      <x:c r="G93" t="n">
        <x:v>44</x:v>
      </x:c>
      <x:c r="H93" t="n">
        <x:v>11</x:v>
      </x:c>
      <x:c r="I93" t="n">
        <x:v>0</x:v>
      </x:c>
      <x:c r="J93" t="n">
        <x:v>0</x:v>
      </x:c>
      <x:c r="K93" t="n">
        <x:v>33</x:v>
      </x:c>
      <x:c r="L93" t="n">
        <x:v>0</x:v>
      </x:c>
      <x:c r="M93" t="str">
        <x:v>scripts/extract_markers/markers_output_v2/DOI_10.1038_s42003-021-02562-8_review.csv</x:v>
      </x:c>
      <x:c r="N93" t="str">
        <x:v>2026-08-21</x:v>
      </x:c>
      <x:c r="O93" t="str">
        <x:v>新版 v2 机器提取；无新增总表记录（不满足 PNS/formal 规则或与已有总表重复）。</x:v>
      </x:c>
    </x:row>
    <x:row r="94">
      <x:c r="A94" t="str">
        <x:v>B20260821-001</x:v>
      </x:c>
      <x:c r="B94" t="n">
        <x:v>44</x:v>
      </x:c>
      <x:c r="C94" t="str">
        <x:v>DOI_10.1038_s42003-024-07315-x</x:v>
      </x:c>
      <x:c r="D94" t="str">
        <x:v>DOI_10.1038_s42003-024-07315-x</x:v>
      </x:c>
      <x:c r="E94" t="str">
        <x:v>Cross-species single-cell RNA-seq analysis reveals disparate and conserved cardiac and extracardiac inflammatory responses upon heart injury.</x:v>
      </x:c>
      <x:c r="F94" t="str">
        <x:v>machine_v2</x:v>
      </x:c>
      <x:c r="G94" t="n">
        <x:v>103</x:v>
      </x:c>
      <x:c r="H94" t="n">
        <x:v>37</x:v>
      </x:c>
      <x:c r="I94" t="n">
        <x:v>0</x:v>
      </x:c>
      <x:c r="J94" t="n">
        <x:v>0</x:v>
      </x:c>
      <x:c r="K94" t="n">
        <x:v>66</x:v>
      </x:c>
      <x:c r="L94" t="n">
        <x:v>0</x:v>
      </x:c>
      <x:c r="M94" t="str">
        <x:v>scripts/extract_markers/markers_output_v2/DOI_10.1038_s42003-024-07315-x_review.csv</x:v>
      </x:c>
      <x:c r="N94" t="str">
        <x:v>2026-08-21</x:v>
      </x:c>
      <x:c r="O94" t="str">
        <x:v>新版 v2 机器提取；无新增总表记录（不满足 PNS/formal 规则或与已有总表重复）。</x:v>
      </x:c>
    </x:row>
    <x:row r="95">
      <x:c r="A95" t="str">
        <x:v>B20260821-001</x:v>
      </x:c>
      <x:c r="B95" t="n">
        <x:v>41</x:v>
      </x:c>
      <x:c r="C95" t="str">
        <x:v>DOI_10.1038_s42255-023-00876-x</x:v>
      </x:c>
      <x:c r="D95" t="str">
        <x:v>DOI_10.1038_s42255-023-00876-x</x:v>
      </x:c>
      <x:c r="E95" t="str">
        <x:v>Delineating mouse β-cell identity during lifetime and in diabetes with a single cell atlas.</x:v>
      </x:c>
      <x:c r="F95" t="str">
        <x:v>machine_v2</x:v>
      </x:c>
      <x:c r="G95" t="n">
        <x:v>83</x:v>
      </x:c>
      <x:c r="H95" t="n">
        <x:v>48</x:v>
      </x:c>
      <x:c r="I95" t="n">
        <x:v>0</x:v>
      </x:c>
      <x:c r="J95" t="n">
        <x:v>0</x:v>
      </x:c>
      <x:c r="K95" t="n">
        <x:v>35</x:v>
      </x:c>
      <x:c r="L95" t="n">
        <x:v>0</x:v>
      </x:c>
      <x:c r="M95" t="str">
        <x:v>scripts/extract_markers/markers_output_v2/DOI_10.1038_s42255-023-00876-x_review.csv</x:v>
      </x:c>
      <x:c r="N95" t="str">
        <x:v>2026-08-21</x:v>
      </x:c>
      <x:c r="O95" t="str">
        <x:v>新版 v2 机器提取；无新增总表记录（不满足 PNS/formal 规则或与已有总表重复）。</x:v>
      </x:c>
    </x:row>
    <x:row r="96">
      <x:c r="A96" t="str">
        <x:v>B20260821-001</x:v>
      </x:c>
      <x:c r="B96" t="n">
        <x:v>12</x:v>
      </x:c>
      <x:c r="C96" t="str">
        <x:v>DOI_10.1038_s44318-024-00328-6</x:v>
      </x:c>
      <x:c r="D96" t="str">
        <x:v>DOI_10.1038_s44318-024-00328-6</x:v>
      </x:c>
      <x:c r="E96" t="str">
        <x:v>A novel human fetal lung-derived alveolar organoid model reveals mechanisms of surfactant protein C maturation relevant to interstitial lung disease.</x:v>
      </x:c>
      <x:c r="F96" t="str">
        <x:v>machine_v2</x:v>
      </x:c>
      <x:c r="G96" t="n">
        <x:v>33</x:v>
      </x:c>
      <x:c r="H96" t="n">
        <x:v>26</x:v>
      </x:c>
      <x:c r="I96" t="n">
        <x:v>0</x:v>
      </x:c>
      <x:c r="J96" t="n">
        <x:v>0</x:v>
      </x:c>
      <x:c r="K96" t="n">
        <x:v>7</x:v>
      </x:c>
      <x:c r="L96" t="n">
        <x:v>0</x:v>
      </x:c>
      <x:c r="M96" t="str">
        <x:v>scripts/extract_markers/markers_output_v2/DOI_10.1038_s44318-024-00328-6_review.csv</x:v>
      </x:c>
      <x:c r="N96" t="str">
        <x:v>2026-08-21</x:v>
      </x:c>
      <x:c r="O96" t="str">
        <x:v>新版 v2 机器提取；无新增总表记录（不满足 PNS/formal 规则或与已有总表重复）。</x:v>
      </x:c>
    </x:row>
    <x:row r="97">
      <x:c r="A97" t="str">
        <x:v>B20260821-001</x:v>
      </x:c>
      <x:c r="B97" t="n">
        <x:v>26</x:v>
      </x:c>
      <x:c r="C97" t="str">
        <x:v>DOI_10.1101_2024.10.23.619925</x:v>
      </x:c>
      <x:c r="D97" t="str">
        <x:v>DOI_10.1101_2024.10.23.619925</x:v>
      </x:c>
      <x:c r="E97" t="str">
        <x:v>Profiling of epithelial functional states and fibroblast phenotypes in hormone therapy-naïve localised prostate cancer</x:v>
      </x:c>
      <x:c r="F97" t="str">
        <x:v>machine_v2</x:v>
      </x:c>
      <x:c r="G97" t="n">
        <x:v>71</x:v>
      </x:c>
      <x:c r="H97" t="n">
        <x:v>7</x:v>
      </x:c>
      <x:c r="I97" t="n">
        <x:v>0</x:v>
      </x:c>
      <x:c r="J97" t="n">
        <x:v>0</x:v>
      </x:c>
      <x:c r="K97" t="n">
        <x:v>64</x:v>
      </x:c>
      <x:c r="L97" t="n">
        <x:v>0</x:v>
      </x:c>
      <x:c r="M97" t="str">
        <x:v>scripts/extract_markers/markers_output_v2/DOI_10.1101_2024.10.23.619925_review.csv</x:v>
      </x:c>
      <x:c r="N97" t="str">
        <x:v>2026-08-21</x:v>
      </x:c>
      <x:c r="O97" t="str">
        <x:v>新版 v2 机器提取；无新增总表记录（不满足 PNS/formal 规则或与已有总表重复）。</x:v>
      </x:c>
    </x:row>
    <x:row r="98">
      <x:c r="A98" t="str">
        <x:v>B20260821-001</x:v>
      </x:c>
      <x:c r="B98" t="n">
        <x:v>27</x:v>
      </x:c>
      <x:c r="C98" t="str">
        <x:v>DOI_10.1101_2025.01.17.633590</x:v>
      </x:c>
      <x:c r="D98" t="str">
        <x:v>DOI_10.1101_2025.01.17.633590</x:v>
      </x:c>
      <x:c r="E98" t="str">
        <x:v>Single-cell decoding of human islet cell type-specific alterations in type 2 diabetes reveals converging genetic- and state-driven β-cell gene expression defects</x:v>
      </x:c>
      <x:c r="F98" t="str">
        <x:v>machine_v2</x:v>
      </x:c>
      <x:c r="G98" t="n">
        <x:v>36</x:v>
      </x:c>
      <x:c r="H98" t="n">
        <x:v>21</x:v>
      </x:c>
      <x:c r="I98" t="n">
        <x:v>0</x:v>
      </x:c>
      <x:c r="J98" t="n">
        <x:v>0</x:v>
      </x:c>
      <x:c r="K98" t="n">
        <x:v>15</x:v>
      </x:c>
      <x:c r="L98" t="n">
        <x:v>0</x:v>
      </x:c>
      <x:c r="M98" t="str">
        <x:v>scripts/extract_markers/markers_output_v2/DOI_10.1101_2025.01.17.633590_review.csv</x:v>
      </x:c>
      <x:c r="N98" t="str">
        <x:v>2026-08-21</x:v>
      </x:c>
      <x:c r="O98" t="str">
        <x:v>新版 v2 机器提取；无新增总表记录（不满足 PNS/formal 规则或与已有总表重复）。</x:v>
      </x:c>
    </x:row>
    <x:row r="99">
      <x:c r="A99" t="str">
        <x:v>B20260821-001</x:v>
      </x:c>
      <x:c r="B99" t="n">
        <x:v>39</x:v>
      </x:c>
      <x:c r="C99" t="str">
        <x:v>DOI_10.1101_2025.09.26.678707</x:v>
      </x:c>
      <x:c r="D99" t="str">
        <x:v>DOI_10.1101_2025.09.26.678707</x:v>
      </x:c>
      <x:c r="E99" t="str">
        <x:v>Cellular and Spatial Drivers of Unresolved Injury and Functional Decline in the Human Kidney</x:v>
      </x:c>
      <x:c r="F99" t="str">
        <x:v>machine_v2</x:v>
      </x:c>
      <x:c r="G99" t="n">
        <x:v>76</x:v>
      </x:c>
      <x:c r="H99" t="n">
        <x:v>9</x:v>
      </x:c>
      <x:c r="I99" t="n">
        <x:v>0</x:v>
      </x:c>
      <x:c r="J99" t="n">
        <x:v>0</x:v>
      </x:c>
      <x:c r="K99" t="n">
        <x:v>67</x:v>
      </x:c>
      <x:c r="L99" t="n">
        <x:v>0</x:v>
      </x:c>
      <x:c r="M99" t="str">
        <x:v>scripts/extract_markers/markers_output_v2/DOI_10.1101_2025.09.26.678707_review.csv</x:v>
      </x:c>
      <x:c r="N99" t="str">
        <x:v>2026-08-21</x:v>
      </x:c>
      <x:c r="O99" t="str">
        <x:v>新版 v2 机器提取；无新增总表记录（不满足 PNS/formal 规则或与已有总表重复）。</x:v>
      </x:c>
    </x:row>
    <x:row r="100">
      <x:c r="A100" t="str">
        <x:v>B20260821-001</x:v>
      </x:c>
      <x:c r="B100" t="n">
        <x:v>22</x:v>
      </x:c>
      <x:c r="C100" t="str">
        <x:v>DOI_10.1126_science.aat5031</x:v>
      </x:c>
      <x:c r="D100" t="str">
        <x:v>DOI_10.1126_science.aat5031</x:v>
      </x:c>
      <x:c r="E100" t="str">
        <x:v>Spatiotemporal immune zonation of the human kidney.</x:v>
      </x:c>
      <x:c r="F100" t="str">
        <x:v>machine_v2</x:v>
      </x:c>
      <x:c r="G100" t="n">
        <x:v>43</x:v>
      </x:c>
      <x:c r="H100" t="n">
        <x:v>4</x:v>
      </x:c>
      <x:c r="I100" t="n">
        <x:v>0</x:v>
      </x:c>
      <x:c r="J100" t="n">
        <x:v>0</x:v>
      </x:c>
      <x:c r="K100" t="n">
        <x:v>39</x:v>
      </x:c>
      <x:c r="L100" t="n">
        <x:v>0</x:v>
      </x:c>
      <x:c r="M100" t="str">
        <x:v>scripts/extract_markers/markers_output_v2/DOI_10.1126_science.aat5031_review.csv</x:v>
      </x:c>
      <x:c r="N100" t="str">
        <x:v>2026-08-21</x:v>
      </x:c>
      <x:c r="O100" t="str">
        <x:v>新版 v2 机器提取；无新增总表记录（不满足 PNS/formal 规则或与已有总表重复）。</x:v>
      </x:c>
    </x:row>
    <x:row r="101">
      <x:c r="A101" t="str">
        <x:v>B20260821-001</x:v>
      </x:c>
      <x:c r="B101" t="n">
        <x:v>34</x:v>
      </x:c>
      <x:c r="C101" t="str">
        <x:v>DOI_10.1126_science.abl4290</x:v>
      </x:c>
      <x:c r="D101" t="str">
        <x:v>DOI_10.1126_science.abl4290</x:v>
      </x:c>
      <x:c r="E101" t="str">
        <x:v>Single-nucleus cross-tissue molecular reference maps toward understanding disease gene function.</x:v>
      </x:c>
      <x:c r="F101" t="str">
        <x:v>machine_v2</x:v>
      </x:c>
      <x:c r="G101" t="n">
        <x:v>57</x:v>
      </x:c>
      <x:c r="H101" t="n">
        <x:v>3</x:v>
      </x:c>
      <x:c r="I101" t="n">
        <x:v>0</x:v>
      </x:c>
      <x:c r="J101" t="n">
        <x:v>0</x:v>
      </x:c>
      <x:c r="K101" t="n">
        <x:v>54</x:v>
      </x:c>
      <x:c r="L101" t="n">
        <x:v>0</x:v>
      </x:c>
      <x:c r="M101" t="str">
        <x:v>scripts/extract_markers/markers_output_v2/DOI_10.1126_science.abl4290_review.csv</x:v>
      </x:c>
      <x:c r="N101" t="str">
        <x:v>2026-08-21</x:v>
      </x:c>
      <x:c r="O101" t="str">
        <x:v>新版 v2 机器提取；无新增总表记录（不满足 PNS/formal 规则或与已有总表重复）。</x:v>
      </x:c>
    </x:row>
    <x:row r="102">
      <x:c r="A102" t="str">
        <x:v>B20260821-001</x:v>
      </x:c>
      <x:c r="B102" t="n">
        <x:v>35</x:v>
      </x:c>
      <x:c r="C102" t="str">
        <x:v>DOI_10.1126_science.abo0510</x:v>
      </x:c>
      <x:c r="D102" t="str">
        <x:v>DOI_10.1126_science.abo0510</x:v>
      </x:c>
      <x:c r="E102" t="str">
        <x:v>Mapping the developing human immune system across organs.</x:v>
      </x:c>
      <x:c r="F102" t="str">
        <x:v>machine_v2</x:v>
      </x:c>
      <x:c r="G102" t="n">
        <x:v>60</x:v>
      </x:c>
      <x:c r="H102" t="n">
        <x:v>22</x:v>
      </x:c>
      <x:c r="I102" t="n">
        <x:v>0</x:v>
      </x:c>
      <x:c r="J102" t="n">
        <x:v>0</x:v>
      </x:c>
      <x:c r="K102" t="n">
        <x:v>38</x:v>
      </x:c>
      <x:c r="L102" t="n">
        <x:v>0</x:v>
      </x:c>
      <x:c r="M102" t="str">
        <x:v>scripts/extract_markers/markers_output_v2/DOI_10.1126_science.abo0510_review.csv</x:v>
      </x:c>
      <x:c r="N102" t="str">
        <x:v>2026-08-21</x:v>
      </x:c>
      <x:c r="O102" t="str">
        <x:v>新版 v2 机器提取；无新增总表记录（不满足 PNS/formal 规则或与已有总表重复）。</x:v>
      </x:c>
    </x:row>
    <x:row r="103">
      <x:c r="A103" t="str">
        <x:v>B20260821-001</x:v>
      </x:c>
      <x:c r="B103" t="n">
        <x:v>13</x:v>
      </x:c>
      <x:c r="C103" t="str">
        <x:v>DOI_10.1126_sciimmunol.adf9988</x:v>
      </x:c>
      <x:c r="D103" t="str">
        <x:v>DOI_10.1126_sciimmunol.adf9988</x:v>
      </x:c>
      <x:c r="E103" t="str">
        <x:v>Early human lung immune cell development and its role in epithelial cell fate.</x:v>
      </x:c>
      <x:c r="F103" t="str">
        <x:v>machine_v2</x:v>
      </x:c>
      <x:c r="G103" t="n">
        <x:v>94</x:v>
      </x:c>
      <x:c r="H103" t="n">
        <x:v>21</x:v>
      </x:c>
      <x:c r="I103" t="n">
        <x:v>0</x:v>
      </x:c>
      <x:c r="J103" t="n">
        <x:v>0</x:v>
      </x:c>
      <x:c r="K103" t="n">
        <x:v>73</x:v>
      </x:c>
      <x:c r="L103" t="n">
        <x:v>0</x:v>
      </x:c>
      <x:c r="M103" t="str">
        <x:v>scripts/extract_markers/markers_output_v2/DOI_10.1126_sciimmunol.adf9988_review.csv</x:v>
      </x:c>
      <x:c r="N103" t="str">
        <x:v>2026-08-21</x:v>
      </x:c>
      <x:c r="O103" t="str">
        <x:v>新版 v2 机器提取；无新增总表记录（不满足 PNS/formal 规则或与已有总表重复）。</x:v>
      </x:c>
    </x:row>
    <x:row r="104">
      <x:c r="A104" t="str">
        <x:v>B20260821-001</x:v>
      </x:c>
      <x:c r="B104" t="n">
        <x:v>6</x:v>
      </x:c>
      <x:c r="C104" t="str">
        <x:v>DOI_10.1164_rccm.202207-1384oc</x:v>
      </x:c>
      <x:c r="D104" t="str">
        <x:v>DOI_10.1164_rccm.202207-1384oc</x:v>
      </x:c>
      <x:c r="E104" t="str">
        <x:v>A Unique Cellular Organization of Human Distal Airways and Its Disarray in Chronic Obstructive Pulmonary Disease.</x:v>
      </x:c>
      <x:c r="F104" t="str">
        <x:v>machine_v2</x:v>
      </x:c>
      <x:c r="G104" t="n">
        <x:v>49</x:v>
      </x:c>
      <x:c r="H104" t="n">
        <x:v>22</x:v>
      </x:c>
      <x:c r="I104" t="n">
        <x:v>0</x:v>
      </x:c>
      <x:c r="J104" t="n">
        <x:v>0</x:v>
      </x:c>
      <x:c r="K104" t="n">
        <x:v>27</x:v>
      </x:c>
      <x:c r="L104" t="n">
        <x:v>3</x:v>
      </x:c>
      <x:c r="M104" t="str">
        <x:v>scripts/extract_markers/markers_output_v2/DOI_10.1164_rccm.202207-1384oc_review.csv</x:v>
      </x:c>
      <x:c r="N104" t="str">
        <x:v>2026-08-21</x:v>
      </x:c>
      <x:c r="O104" t="str">
        <x:v>新版 v2 机器提取；3 条 formal_candidate 且 PNS=true 进入总表，当前为 pending，待人工快速一致性复核。</x:v>
      </x:c>
    </x:row>
    <x:row r="105">
      <x:c r="A105" t="str">
        <x:v>B20260821-001</x:v>
      </x:c>
      <x:c r="B105" t="n">
        <x:v>21</x:v>
      </x:c>
      <x:c r="C105" t="str">
        <x:v>DOI_10.64898_2025.12.18.695268</x:v>
      </x:c>
      <x:c r="D105" t="str">
        <x:v>DOI_10.64898_2025.12.18.695268</x:v>
      </x:c>
      <x:c r="E105" t="str">
        <x:v>A poly(A) isoform–aware single-cell and spatial atlas defines fibroblast niches in the human bladder</x:v>
      </x:c>
      <x:c r="F105" t="str">
        <x:v>machine_v2</x:v>
      </x:c>
      <x:c r="G105" t="n">
        <x:v>80</x:v>
      </x:c>
      <x:c r="H105" t="n">
        <x:v>23</x:v>
      </x:c>
      <x:c r="I105" t="n">
        <x:v>0</x:v>
      </x:c>
      <x:c r="J105" t="n">
        <x:v>0</x:v>
      </x:c>
      <x:c r="K105" t="n">
        <x:v>57</x:v>
      </x:c>
      <x:c r="L105" t="n">
        <x:v>1</x:v>
      </x:c>
      <x:c r="M105" t="str">
        <x:v>scripts/extract_markers/markers_output_v2/DOI_10.64898_2025.12.18.695268_review.csv</x:v>
      </x:c>
      <x:c r="N105" t="str">
        <x:v>2026-08-21</x:v>
      </x:c>
      <x:c r="O105" t="str">
        <x:v>新版 v2 机器提取；1 条 formal_candidate 且 PNS=true 进入总表，当前为 pending，待人工快速一致性复核。</x:v>
      </x:c>
    </x:row>
    <x:row r="106">
      <x:c r="A106" t="str">
        <x:v>B20260821-001</x:v>
      </x:c>
      <x:c r="B106" t="n">
        <x:v>11</x:v>
      </x:c>
      <x:c r="C106" t="str">
        <x:v>DOI_10.7554_elife.62522</x:v>
      </x:c>
      <x:c r="D106" t="str">
        <x:v>DOI_10.7554_elife.62522</x:v>
      </x:c>
      <x:c r="E106" t="str">
        <x:v>Single-cell multiomic profiling of human lungs reveals cell-type-specific and age-dynamic control of SARS-CoV2 host genes.</x:v>
      </x:c>
      <x:c r="F106" t="str">
        <x:v>machine_v2</x:v>
      </x:c>
      <x:c r="G106" t="n">
        <x:v>4</x:v>
      </x:c>
      <x:c r="H106" t="n">
        <x:v>0</x:v>
      </x:c>
      <x:c r="I106" t="n">
        <x:v>0</x:v>
      </x:c>
      <x:c r="J106" t="n">
        <x:v>0</x:v>
      </x:c>
      <x:c r="K106" t="n">
        <x:v>4</x:v>
      </x:c>
      <x:c r="L106" t="n">
        <x:v>0</x:v>
      </x:c>
      <x:c r="M106" t="str">
        <x:v>scripts/extract_markers/markers_output_v2/DOI_10.7554_elife.62522_review.csv</x:v>
      </x:c>
      <x:c r="N106" t="str">
        <x:v>2026-08-21</x:v>
      </x:c>
      <x:c r="O106" t="str">
        <x:v>新版 v2 机器提取；无新增总表记录（不满足 PNS/formal 规则或与已有总表重复）。</x:v>
      </x:c>
    </x:row>
    <x:row r="107">
      <x:c r="A107" t="str">
        <x:v>B20260821-001</x:v>
      </x:c>
      <x:c r="B107" t="n">
        <x:v>38</x:v>
      </x:c>
      <x:c r="C107" t="str">
        <x:v>PMID_35115729</x:v>
      </x:c>
      <x:c r="D107" t="str">
        <x:v>PMID_35115729</x:v>
      </x:c>
      <x:c r="E107" t="str">
        <x:v>Disentangling glial diversity in peripheral nerves at single-nuclei resolution</x:v>
      </x:c>
      <x:c r="F107" t="str">
        <x:v>machine_v2</x:v>
      </x:c>
      <x:c r="G107" t="n">
        <x:v>70</x:v>
      </x:c>
      <x:c r="H107" t="n">
        <x:v>22</x:v>
      </x:c>
      <x:c r="I107" t="n">
        <x:v>0</x:v>
      </x:c>
      <x:c r="J107" t="n">
        <x:v>0</x:v>
      </x:c>
      <x:c r="K107" t="n">
        <x:v>48</x:v>
      </x:c>
      <x:c r="L107" t="n">
        <x:v>16</x:v>
      </x:c>
      <x:c r="M107" t="str">
        <x:v>scripts/extract_markers/markers_output_v2/PMID_35115729_review.csv</x:v>
      </x:c>
      <x:c r="N107" t="str">
        <x:v>2026-08-21</x:v>
      </x:c>
      <x:c r="O107" t="str">
        <x:v>新版 v2 机器提取；16 条 formal_candidate 且 PNS=true 进入总表，当前为 pending，待人工快速一致性复核。</x:v>
      </x:c>
    </x:row>
  </x:sheetData>
  <x:pageMargins left="0.7" right="0.7" top="0.75" bottom="0.75" header="0.3" footer="0.3"/>
  <x:tableParts count="1">
    <x:tablePart xmlns:r="http://schemas.openxmlformats.org/officeDocument/2006/relationships" r:id="R33755da601844f8d"/>
  </x:tableParts>
</x:worksheet>
</file>