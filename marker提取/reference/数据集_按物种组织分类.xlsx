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614dfb7a58f54a6/Desktop/组/db/reference/"/>
    </mc:Choice>
  </mc:AlternateContent>
  <xr:revisionPtr revIDLastSave="1" documentId="11_B9BD943C8C2ACA15B1433401F19E04A454C33DAF" xr6:coauthVersionLast="47" xr6:coauthVersionMax="47" xr10:uidLastSave="{02179AD7-A410-496B-ADC6-B075999218F8}"/>
  <bookViews>
    <workbookView minimized="1" xWindow="900" yWindow="1848" windowWidth="17280" windowHeight="10500" xr2:uid="{00000000-000D-0000-FFFF-FFFF00000000}"/>
  </bookViews>
  <sheets>
    <sheet name="汇总" sheetId="1" r:id="rId1"/>
    <sheet name="全部" sheetId="2" r:id="rId2"/>
    <sheet name="人 Human" sheetId="3" r:id="rId3"/>
    <sheet name="鼠 Mouse" sheetId="4" r:id="rId4"/>
    <sheet name="人鼠 Mixed" sheetId="5" r:id="rId5"/>
  </sheets>
  <definedNames>
    <definedName name="_xlnm._FilterDatabase" localSheetId="1" hidden="1">全部!$A$1:$X$89</definedName>
    <definedName name="_xlnm._FilterDatabase" localSheetId="2" hidden="1">'人 Human'!$A$1:$X$72</definedName>
    <definedName name="_xlnm._FilterDatabase" localSheetId="4" hidden="1">'人鼠 Mixed'!$A$1:$X$2</definedName>
    <definedName name="_xlnm._FilterDatabase" localSheetId="3" hidden="1">'鼠 Mouse'!$A$1:$X$17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1" l="1"/>
  <c r="D20" i="1"/>
  <c r="C20" i="1"/>
  <c r="B20" i="1"/>
  <c r="E20" i="1" s="1"/>
  <c r="F19" i="1"/>
  <c r="D19" i="1"/>
  <c r="C19" i="1"/>
  <c r="B19" i="1"/>
  <c r="E19" i="1" s="1"/>
  <c r="F18" i="1"/>
  <c r="D18" i="1"/>
  <c r="C18" i="1"/>
  <c r="B18" i="1"/>
  <c r="E18" i="1" s="1"/>
  <c r="F17" i="1"/>
  <c r="D17" i="1"/>
  <c r="C17" i="1"/>
  <c r="B17" i="1"/>
  <c r="E17" i="1" s="1"/>
  <c r="F16" i="1"/>
  <c r="D16" i="1"/>
  <c r="C16" i="1"/>
  <c r="B16" i="1"/>
  <c r="E16" i="1" s="1"/>
  <c r="F15" i="1"/>
  <c r="D15" i="1"/>
  <c r="C15" i="1"/>
  <c r="B15" i="1"/>
  <c r="E15" i="1" s="1"/>
  <c r="F14" i="1"/>
  <c r="D14" i="1"/>
  <c r="C14" i="1"/>
  <c r="B14" i="1"/>
  <c r="E14" i="1" s="1"/>
  <c r="F13" i="1"/>
  <c r="D13" i="1"/>
  <c r="C13" i="1"/>
  <c r="B13" i="1"/>
  <c r="E13" i="1" s="1"/>
  <c r="F12" i="1"/>
  <c r="D12" i="1"/>
  <c r="C12" i="1"/>
  <c r="B12" i="1"/>
  <c r="E12" i="1" s="1"/>
  <c r="F11" i="1"/>
  <c r="D11" i="1"/>
  <c r="C11" i="1"/>
  <c r="B11" i="1"/>
  <c r="E11" i="1" s="1"/>
  <c r="F10" i="1"/>
  <c r="D10" i="1"/>
  <c r="C10" i="1"/>
  <c r="B10" i="1"/>
  <c r="E10" i="1" s="1"/>
  <c r="F9" i="1"/>
  <c r="D9" i="1"/>
  <c r="C9" i="1"/>
  <c r="B9" i="1"/>
  <c r="E9" i="1" s="1"/>
  <c r="F8" i="1"/>
  <c r="D8" i="1"/>
  <c r="C8" i="1"/>
  <c r="B8" i="1"/>
  <c r="E8" i="1" s="1"/>
  <c r="F7" i="1"/>
  <c r="F21" i="1" s="1"/>
  <c r="D7" i="1"/>
  <c r="D21" i="1" s="1"/>
  <c r="C7" i="1"/>
  <c r="C21" i="1" s="1"/>
  <c r="B7" i="1"/>
  <c r="B21" i="1" s="1"/>
  <c r="E7" i="1" l="1"/>
  <c r="E21" i="1" s="1"/>
</calcChain>
</file>

<file path=xl/sharedStrings.xml><?xml version="1.0" encoding="utf-8"?>
<sst xmlns="http://schemas.openxmlformats.org/spreadsheetml/2006/main" count="3971" uniqueCount="959">
  <si>
    <t>外周神经 scRNA 数据集 · 按物种 × 组织系统大类 重新分类</t>
  </si>
  <si>
    <t>来源：合并文献检索_四层整合版.xlsx（Tier-1 Catalog 真源）｜去重键=代表Dataset_ID｜共 88 个独立数据集｜生成日期 2026-06-14
说明：左侧 3 列「物种(中文)/组织系统大类/主组织」为便捷分析【派生列·非真源】；组织系统大类按 Tissue 关键词归纳，命中 ≥4 个不同系统判为「多器官图谱/全身」；原始 21 列完整保留。</t>
  </si>
  <si>
    <t>组织系统大类</t>
  </si>
  <si>
    <t>人 Human</t>
  </si>
  <si>
    <t>鼠 Mouse</t>
  </si>
  <si>
    <t>人鼠 Human;Mouse</t>
  </si>
  <si>
    <t>数据集合计</t>
  </si>
  <si>
    <t>细胞数合计</t>
  </si>
  <si>
    <t>周围神经节/神经干</t>
  </si>
  <si>
    <t>肠神经/消化道</t>
  </si>
  <si>
    <t>皮肤</t>
  </si>
  <si>
    <t>心血管</t>
  </si>
  <si>
    <t>呼吸系统</t>
  </si>
  <si>
    <t>泌尿系统</t>
  </si>
  <si>
    <t>生殖/乳腺</t>
  </si>
  <si>
    <t>内分泌/胰岛</t>
  </si>
  <si>
    <t>肌肉骨骼</t>
  </si>
  <si>
    <t>口腔牙齿</t>
  </si>
  <si>
    <t>肝胆</t>
  </si>
  <si>
    <t>淋巴/免疫/血液</t>
  </si>
  <si>
    <t>胚胎/发育</t>
  </si>
  <si>
    <t>多器官图谱/全身</t>
  </si>
  <si>
    <t>总计</t>
  </si>
  <si>
    <t>物种(中文)</t>
  </si>
  <si>
    <t>主组织</t>
  </si>
  <si>
    <t>Species</t>
  </si>
  <si>
    <t>细胞分层</t>
  </si>
  <si>
    <t>分层依据(具体细胞)</t>
  </si>
  <si>
    <t>泛化提示</t>
  </si>
  <si>
    <t>collection_id</t>
  </si>
  <si>
    <t>代表Dataset_ID</t>
  </si>
  <si>
    <t>Publication_Title</t>
  </si>
  <si>
    <t>中文标题</t>
  </si>
  <si>
    <t>Year</t>
  </si>
  <si>
    <t>PMID/DOI</t>
  </si>
  <si>
    <t>Tissue</t>
  </si>
  <si>
    <t>Disease</t>
  </si>
  <si>
    <t>Technology</t>
  </si>
  <si>
    <t>悬浮susp</t>
  </si>
  <si>
    <t>Cell_Number</t>
  </si>
  <si>
    <t>外周相关细胞(规范)</t>
  </si>
  <si>
    <t>Marker_Genes</t>
  </si>
  <si>
    <t>Application_Tags</t>
  </si>
  <si>
    <t>h5ad下载</t>
  </si>
  <si>
    <t>collection链接</t>
  </si>
  <si>
    <t>折叠ds数</t>
  </si>
  <si>
    <t>分工</t>
  </si>
  <si>
    <t>choroid plexus</t>
  </si>
  <si>
    <t>Homo sapiens</t>
  </si>
  <si>
    <t>待定(泛神经)</t>
  </si>
  <si>
    <t>—</t>
  </si>
  <si>
    <t>含泛glial(疑中枢胶质,慎收)</t>
  </si>
  <si>
    <t>59c9ecfe-c47d-4a6a-bab0-895cc0c1942b</t>
  </si>
  <si>
    <t>CELLxGENE:595c9010-99ec-462d-b6a1-2b2fe5407871</t>
  </si>
  <si>
    <t>Dysregulation of brain and choroid plexus cell types in severe COVID-19</t>
  </si>
  <si>
    <t>严重COVID-19中脑和脉络丛细胞类型的失调</t>
  </si>
  <si>
    <t>2024</t>
  </si>
  <si>
    <t>10.1038/s41586-021-03710-0</t>
  </si>
  <si>
    <t>COVID-19|aspiration pneumonia|influenza|malignant pancreatic neoplasm</t>
  </si>
  <si>
    <t>10x 3' v3</t>
  </si>
  <si>
    <t>nucleus</t>
  </si>
  <si>
    <t>glial cell</t>
  </si>
  <si>
    <t>神经-免疫通讯;炎症</t>
  </si>
  <si>
    <t>https://datasets.cellxgene.cziscience.com/6dd04cc1-f4b6-49c4-b34c-56508ea8af8c.h5ad</t>
  </si>
  <si>
    <t>https://cellxgene.cziscience.com/collections/59c9ecfe-c47d-4a6a-bab0-895cc0c1942b</t>
  </si>
  <si>
    <t>?</t>
  </si>
  <si>
    <t>B</t>
  </si>
  <si>
    <t>cranial nerve II</t>
  </si>
  <si>
    <t>L2</t>
  </si>
  <si>
    <t>L2:Myelinating Schwann cell/Non-myelinating Schwann cell</t>
  </si>
  <si>
    <t>05e3d0fc-c9dd-4f14-9163-2b242b3bb5c2</t>
  </si>
  <si>
    <t>CELLxGENE:3c364ffe-d599-44d5-a77f-6c5fd7038cf6</t>
  </si>
  <si>
    <t>Single cell atlas of the human optic nerve</t>
  </si>
  <si>
    <t>人视神经单细胞图谱</t>
  </si>
  <si>
    <t>2025</t>
  </si>
  <si>
    <t>not reported in repository metadata</t>
  </si>
  <si>
    <t>cranial nerve II|optic disc</t>
  </si>
  <si>
    <t>normal</t>
  </si>
  <si>
    <t>microglial cell|myelinating Schwann cell|non-myelinating Schwann cell</t>
  </si>
  <si>
    <t>针灸作用相关;外周神经再生</t>
  </si>
  <si>
    <t>https://datasets.cellxgene.cziscience.com/b27057d6-a6a0-40e8-a4ba-5373a03746d2.h5ad</t>
  </si>
  <si>
    <t>https://cellxgene.cziscience.com/collections/05e3d0fc-c9dd-4f14-9163-2b242b3bb5c2</t>
  </si>
  <si>
    <t>dorsal root ganglion</t>
  </si>
  <si>
    <t>L1</t>
  </si>
  <si>
    <t>L1:Sensory neuron (DRG)</t>
  </si>
  <si>
    <t>741abcf7-af4b-425d-88db-7e0b0d845719</t>
  </si>
  <si>
    <t>CELLxGENE:d973ea15-3722-4bc8-a0e8-1d956d26e203</t>
  </si>
  <si>
    <t>Single-nucleus transcriptomic analysis of human dorsal root ganglion neurons.</t>
  </si>
  <si>
    <t>人背根神经节神经元的单核转录组分析</t>
  </si>
  <si>
    <t>10.7554/eLife.71752</t>
  </si>
  <si>
    <t>10x 3' v2|10x 3' v3</t>
  </si>
  <si>
    <t>sensory neuron of dorsal root ganglion</t>
  </si>
  <si>
    <t>针灸作用相关</t>
  </si>
  <si>
    <t>https://datasets.cellxgene.cziscience.com/cf1271ef-08be-46dd-b39e-90c3aa72755e.h5ad</t>
  </si>
  <si>
    <t>https://cellxgene.cziscience.com/collections/741abcf7-af4b-425d-88db-7e0b0d845719</t>
  </si>
  <si>
    <t>ascending colon</t>
  </si>
  <si>
    <t>L1;L2;L4</t>
  </si>
  <si>
    <t>L1:Afferent neuron/Enteric neuron/Inhibitory motor neuron/Interneuron (ENS)/Motor neuron | L2:Enteroglial cell | L4:Enteroendocrine cell/Type EC enteroendocrine cell/Type G enteroendocrine cell/Type X enteroendocrine cell</t>
  </si>
  <si>
    <t>f11cb29c-b546-4738-9bd8-66ea621a7bd5</t>
  </si>
  <si>
    <t>CELLxGENE:19053a82-9c89-4fb8-bd19-d7b1800b0b7b</t>
  </si>
  <si>
    <t>Single-cell integration reveals metaplasia in inflammatory gut diseases</t>
  </si>
  <si>
    <t>单细胞整合揭示炎症性肠道疾病中的化生</t>
  </si>
  <si>
    <t>10.1038/s41586-024-07571-1</t>
  </si>
  <si>
    <t>ascending colon|body of stomach|buccal mucosa|caecum|caecum epithelium|cecum mucosa|colon|colonic epithelium|colonic mucosa|descending colon|duodenal epithelium|duodenum|epithelium of esophagus|epithelium of rectum|epithelium of small intestine|epithelium of stomach|esophagus|gingiva|ileal epithelium|ileum|ileum lamina propria|intestine|jejunum|labial gland|lamina propria of mucosa of colon|lamina propria of small intestine|mesenteric lymph node|mucosa of sigmoid colon|mucosa of transverse colon|parotid gland|periodontium|pyloric antrum|pylorus|rectosigmoid junction|rectum|sigmoid colon|small intestine|stomach|transverse colon|vermiform appendix</t>
  </si>
  <si>
    <t>Crohn disease|celiac disease|colorectal cancer|gastric cancer|inflammatory bowel disease|normal|ulcerative colitis</t>
  </si>
  <si>
    <t>10x 3' v1|10x 3' v2|10x 3' v3|10x 5' transcription profiling|10x 5' v1|10x 5' v2</t>
  </si>
  <si>
    <t>cell</t>
  </si>
  <si>
    <t>afferent neuron|enteric neuron|enteroendocrine cell|enteroglial cell|inhibitory motor neuron|interneuron|motor neuron|type EC enteroendocrine cell|type G enteroendocrine cell|type X enteroendocrine cell</t>
  </si>
  <si>
    <t>神经-免疫通讯;炎症;伤口修复</t>
  </si>
  <si>
    <t>https://datasets.cellxgene.cziscience.com/757945c8-a916-431d-aceb-1afbc80a7c55.h5ad</t>
  </si>
  <si>
    <t>https://cellxgene.cziscience.com/collections/f11cb29c-b546-4738-9bd8-66ea621a7bd5</t>
  </si>
  <si>
    <t>A</t>
  </si>
  <si>
    <t>L1;L4</t>
  </si>
  <si>
    <t>L1:Inhibitory motor neuron/Interneuron (ENS)/Motor neuron | L4:Enteroendocrine cell/Type D enteroendocrine cell/Type EC enteroendocrine cell/Type L enteroendocrine cell</t>
  </si>
  <si>
    <t>含泛glial(疑肠胶质,可能L2)</t>
  </si>
  <si>
    <t>e33ffcd3-7cbf-4b8c-b0f4-85587ad5019a</t>
  </si>
  <si>
    <t>CELLxGENE:80a2c5b6-02e7-4fc0-9f12-179f5247c1bc</t>
  </si>
  <si>
    <t>Cells of the human intestinal tract mapped across space and time</t>
  </si>
  <si>
    <t>人类肠道细胞在空间和时间上的图谱</t>
  </si>
  <si>
    <t>2022</t>
  </si>
  <si>
    <t>10.1038/s41586-021-03852-1</t>
  </si>
  <si>
    <t>ascending colon|caecum|colon|descending colon|duodenum|ileum|jejunum|large intestine|lymph node|mesenteric lymph node|rectum|sigmoid colon|small intestine|transverse colon|vermiform appendix</t>
  </si>
  <si>
    <t>Crohn disease|normal</t>
  </si>
  <si>
    <t>10x 3' v2|10x 5' v2</t>
  </si>
  <si>
    <t>enteroendocrine cell|glial cell|inhibitory motor neuron|interneuron|motor neuron|primary sensory neuron (sensu Teleostei)|type D enteroendocrine cell|type EC enteroendocrine cell|type I enteroendocrine cell|type L enteroendocrine cell|type N enteroendocrine cell</t>
  </si>
  <si>
    <t>针灸作用相关;神经-免疫通讯;炎症</t>
  </si>
  <si>
    <t>https://datasets.cellxgene.cziscience.com/47ae9727-f767-46b8-9d56-a25ddcd9ae94.h5ad</t>
  </si>
  <si>
    <t>https://cellxgene.cziscience.com/collections/e33ffcd3-7cbf-4b8c-b0f4-85587ad5019a</t>
  </si>
  <si>
    <t>L2;L4</t>
  </si>
  <si>
    <t>L2:Schwann cell | L4:Enteroendocrine cell of colon</t>
  </si>
  <si>
    <t>3a844375-60ea-474b-adf1-98e76928baee</t>
  </si>
  <si>
    <t>CELLxGENE:05a8c945-bc12-414f-960d-a31943bbcdd1</t>
  </si>
  <si>
    <t>Single-cell integration and multi-modal profiling reveals phenotypes and spatial organization of neutrophils in colorectal cancer</t>
  </si>
  <si>
    <t>单细胞整合与多模态分析揭示结直肠癌中中性粒细胞的表型及空间组织</t>
  </si>
  <si>
    <t>2026</t>
  </si>
  <si>
    <t>10.1016/j.ccell.2025.12.003</t>
  </si>
  <si>
    <t>ascending colon|blood|caecum|caecum epithelium|colon|colonic epithelium|colorectal mucosa|colorectum|descending colon|hepatic cecum|hepatic flexure of colon|left colon|liver|lymph node|mesenteric lymph node|mucosa of transverse colon|rectosigmoid junction|rectum|right colon|sigmoid colon|splenic flexure of colon|transverse colon</t>
  </si>
  <si>
    <t>colon adenocarcinoma|colon adenocarcinoma || mucinous adenocarcinoma|colon adenoma|colon adenoma || colorectal tubulovillous adenoma|colon adenoma || tubular adenoma|colon carcinoma|colon sessile serrated adenoma/polyp|colorectal adenocarcinoma|colorectal cancer|colorectal neoplasm|colorectal tubulovillous adenoma|hyperplastic polyp|metastasis from malignant tumor of colon|mucinous adenocarcinoma|normal|polyp of colon|rectum adenocarcinoma|tubular adenoma</t>
  </si>
  <si>
    <t>10x 3' v1|10x 3' v2|10x 3' v3|10x 5' transcription profiling|10x 5' v1|10x 5' v2|BD Rhapsody Whole Transcriptome Analysis|Fluidigm C1-based SMARTer library preparation|GEXSCOPE technology|Smart-seq2|TruDrop</t>
  </si>
  <si>
    <t>Schwann cell|enteroendocrine cell of colon</t>
  </si>
  <si>
    <t>神经-免疫通讯;外周神经再生</t>
  </si>
  <si>
    <t>https://datasets.cellxgene.cziscience.com/4a8b9568-965e-46b8-a427-baab6bf018e5.h5ad</t>
  </si>
  <si>
    <t>https://cellxgene.cziscience.com/collections/3a844375-60ea-474b-adf1-98e76928baee</t>
  </si>
  <si>
    <t>L4</t>
  </si>
  <si>
    <t>L4:Enteroendocrine cell of colon/Enteroendocrine cell of small intestine</t>
  </si>
  <si>
    <t>64b24fda-6591-4ce1-89e7-33eb6c43ad7b</t>
  </si>
  <si>
    <t>CELLxGENE:019c7af2-c827-4454-9970-44d5e39ce068</t>
  </si>
  <si>
    <t>A proximal-to-distal survey of healthy adult human small intestine and colon epithelium by single-cell transcriptomics</t>
  </si>
  <si>
    <t>通过单细胞转录组学对健康成人小肠和结肠上皮进行近端到远端的调查</t>
  </si>
  <si>
    <t>2023</t>
  </si>
  <si>
    <t>10.1016/j.jcmgh.2022.02.007</t>
  </si>
  <si>
    <t>ascending colon|descending colon|duodenum|ileum|jejunum|transverse colon</t>
  </si>
  <si>
    <t>enteroendocrine cell of colon|enteroendocrine cell of small intestine</t>
  </si>
  <si>
    <t>general peripheral neurobiology</t>
  </si>
  <si>
    <t>https://datasets.cellxgene.cziscience.com/487be01d-3df6-417f-83c5-ad2bff5c46e7.h5ad</t>
  </si>
  <si>
    <t>https://cellxgene.cziscience.com/collections/64b24fda-6591-4ce1-89e7-33eb6c43ad7b</t>
  </si>
  <si>
    <t>L4:Enteroendocrine cell</t>
  </si>
  <si>
    <t>854c0855-23ad-4362-8b77-6b1639e7a9fc</t>
  </si>
  <si>
    <t>CELLxGENE:cbec7853-d996-4493-bbf8-5d82857a4e51</t>
  </si>
  <si>
    <t>Automatic cell-type harmonization and integration across Human Cell Atlas datasets</t>
  </si>
  <si>
    <t>人类细胞图谱数据集间细胞类型的自动协调与整合</t>
  </si>
  <si>
    <t>10.1016/j.cell.2023.11.026</t>
  </si>
  <si>
    <t>ascending colon|caecum|caecum epithelium|caecum lamina propria|colonic epithelium|descending colon|duodenum|ileum|jejunum|lamina propria of mucosa of colon|large intestine|rectum|sigmoid colon|small intestine|transverse colon|transverse colon epithelium|transverse colon lamina propria|vermiform appendix</t>
  </si>
  <si>
    <t>10x 3' v1|10x 3' v2|10x 3' v3|10x 5' v2</t>
  </si>
  <si>
    <t>enteroendocrine cell|glial cell</t>
  </si>
  <si>
    <t>https://datasets.cellxgene.cziscience.com/0add1772-6d6e-43e1-8702-93fdf84e4dbc.h5ad</t>
  </si>
  <si>
    <t>https://cellxgene.cziscience.com/collections/854c0855-23ad-4362-8b77-6b1639e7a9fc</t>
  </si>
  <si>
    <t>L4:Intestinal enteroendocrine cell</t>
  </si>
  <si>
    <t>a48f5033-3438-4550-8574-cdff3263fdfd</t>
  </si>
  <si>
    <t>CELLxGENE:e40c6272-af77-4a10-9385-62a398884f27</t>
  </si>
  <si>
    <t>HTAN VUMC - Differential pre-malignant programs and microenvironment chart distinct paths to malignancy in human colorectal polyps</t>
  </si>
  <si>
    <t>HTAN VUMC - 差异性的癌前程序与微环境描绘了人类结直肠息肉中通向恶性肿瘤的不同路径</t>
  </si>
  <si>
    <t>10.1016/j.cell.2021.11.031</t>
  </si>
  <si>
    <t>ascending colon|descending colon|hepatic cecum|hepatic flexure of colon|rectum|sigmoid colon|transverse colon</t>
  </si>
  <si>
    <t>colon sessile serrated adenoma/polyp|colorectal neoplasm|hyperplastic polyp|normal|tubular adenoma|tubulovillous adenoma</t>
  </si>
  <si>
    <t>TruDrop</t>
  </si>
  <si>
    <t>intestinal enteroendocrine cell</t>
  </si>
  <si>
    <t>https://datasets.cellxgene.cziscience.com/9da034b0-de48-47ab-97f6-21b5f2dbd1a4.h5ad</t>
  </si>
  <si>
    <t>https://cellxgene.cziscience.com/collections/a48f5033-3438-4550-8574-cdff3263fdfd</t>
  </si>
  <si>
    <t>blood</t>
  </si>
  <si>
    <t>L4:Enterochromaffin-like cell/Intestinal enteroendocrine cell</t>
  </si>
  <si>
    <t>7f7fdf50-aa0e-4a6f-979c-53655cac9d5d</t>
  </si>
  <si>
    <t>CELLxGENE:0e5c75da-7bc9-4a2c-83fc-ef1e378bd5f9</t>
  </si>
  <si>
    <t>IBDverse: Cell type-resolved genetic variation shapes inflammatory bowel disease risk</t>
  </si>
  <si>
    <t>IBDverse：细胞类型解析的遗传变异塑造炎症性肠病风险</t>
  </si>
  <si>
    <t>10.1038/s41586-026-10627-z</t>
  </si>
  <si>
    <t>blood|ileum|rectum</t>
  </si>
  <si>
    <t>enterochromaffin-like cell|glial cell|intestinal enteroendocrine cell</t>
  </si>
  <si>
    <t>https://datasets.cellxgene.cziscience.com/e3460364-c300-4616-9923-3a0224894998.h5ad</t>
  </si>
  <si>
    <t>https://cellxgene.cziscience.com/collections/7f7fdf50-aa0e-4a6f-979c-53655cac9d5d</t>
  </si>
  <si>
    <t>body of stomach</t>
  </si>
  <si>
    <t>L1:Peripheral nervous system neuron | L4:Enteroendocrine cell</t>
  </si>
  <si>
    <t>dfc09a93-bce0-4c77-893d-e153d1b7f9fa</t>
  </si>
  <si>
    <t>CELLxGENE:9968be68-ab65-4a38-9e1a-c9b6abece194</t>
  </si>
  <si>
    <t>Charting human development using a multi-endodermal organ atlas and organoid models</t>
  </si>
  <si>
    <t>利用多内胚层器官图谱与类器官模型描绘人类发育过程</t>
  </si>
  <si>
    <t>10.1016/j.cell.2021.04.028</t>
  </si>
  <si>
    <t>body of stomach|colon|duodenum|epithelium of trachea|esophagus|ileum|jejunum|liver|lung|pyloric antrum|small intestine|stomach</t>
  </si>
  <si>
    <t>enteroendocrine cell|glial cell|peripheral nervous system neuron</t>
  </si>
  <si>
    <t>https://datasets.cellxgene.cziscience.com/00b80c9b-8dbd-45c1-8347-51fbe8bd150e.h5ad</t>
  </si>
  <si>
    <t>https://cellxgene.cziscience.com/collections/dfc09a93-bce0-4c77-893d-e153d1b7f9fa</t>
  </si>
  <si>
    <t>L4:Enteroendocrine cell/Type G enteroendocrine cell</t>
  </si>
  <si>
    <t>a18474f4-ff1e-4864-af69-270b956cee5b</t>
  </si>
  <si>
    <t>CELLxGENE:7bb64315-9e5a-41b9-9235-59acf9642a3e</t>
  </si>
  <si>
    <t>Single-cell RNA sequencing unifies developmental programs of Esophageal and Gastric Intestinal Metaplasia</t>
  </si>
  <si>
    <t>单细胞RNA测序统一食管与胃肠化生的发育程序</t>
  </si>
  <si>
    <t>10.1158/2159-8290.cd-22-0824</t>
  </si>
  <si>
    <t>body of stomach|cardia of stomach|colon|duodenum|esophagogastric junction|ileum|lower esophagus|rectum|submucosal esophageal gland</t>
  </si>
  <si>
    <t>Barrett esophagus|gastric cancer|gastric intestinal metaplasia|gastritis|normal</t>
  </si>
  <si>
    <t>10x 3' v2|10x 3' v3|10x 5' v1</t>
  </si>
  <si>
    <t>P/D1 enteroendocrine cell|enteroendocrine cell|type G enteroendocrine cell</t>
  </si>
  <si>
    <t>神经-免疫通讯</t>
  </si>
  <si>
    <t>https://datasets.cellxgene.cziscience.com/3b5ba887-80df-43db-8486-3fc03027a15e.h5ad</t>
  </si>
  <si>
    <t>https://cellxgene.cziscience.com/collections/a18474f4-ff1e-4864-af69-270b956cee5b</t>
  </si>
  <si>
    <t>caecum</t>
  </si>
  <si>
    <t>L4:Enteroendocrine cell of colon</t>
  </si>
  <si>
    <t>1cbfb478-2c7f-4d15-b522-9f74e9fe52a8</t>
  </si>
  <si>
    <t>CELLxGENE:829a3cd1-a466-49f1-b2e9-d3f6b7f392e2</t>
  </si>
  <si>
    <t>Progressive plasticity during colorectal cancer metastasis</t>
  </si>
  <si>
    <t>结直肠癌转移过程中的渐进式可塑性</t>
  </si>
  <si>
    <t>10.1038/s41586-024-08560-0</t>
  </si>
  <si>
    <t>caecum|chest wall|descending colon|hepatic flexure of colon|liver|lung|peritoneum|rectum|sigmoid colon|transverse colon</t>
  </si>
  <si>
    <t>colorectal cancer|normal</t>
  </si>
  <si>
    <t>enteroendocrine cell of colon</t>
  </si>
  <si>
    <t>https://datasets.cellxgene.cziscience.com/81bd8922-b69a-45ea-9b2a-032c480c0e37.h5ad</t>
  </si>
  <si>
    <t>https://cellxgene.cziscience.com/collections/1cbfb478-2c7f-4d15-b522-9f74e9fe52a8</t>
  </si>
  <si>
    <t>caecum epithelium</t>
  </si>
  <si>
    <t>33d19f34-87f5-455b-8ca5-9023a2e5453d</t>
  </si>
  <si>
    <t>CELLxGENE:4dd00779-7f73-4f50-89bb-e2d3c6b71b18</t>
  </si>
  <si>
    <t>Intra- and Inter-cellular Rewiring of the Human Colon during Ulcerative Colitis</t>
  </si>
  <si>
    <t>溃疡性结肠炎期间人结肠的细胞内与细胞间重连</t>
  </si>
  <si>
    <t>10.1016/j.cell.2019.06.029</t>
  </si>
  <si>
    <t>caecum epithelium|colonic epithelium|transverse colon epithelium</t>
  </si>
  <si>
    <t>10x 3' v1|10x 3' v2</t>
  </si>
  <si>
    <t>enteroendocrine cell</t>
  </si>
  <si>
    <t>https://datasets.cellxgene.cziscience.com/774d77e7-210d-4237-8ca8-8d2bb841a2e4.h5ad</t>
  </si>
  <si>
    <t>https://cellxgene.cziscience.com/collections/33d19f34-87f5-455b-8ca5-9023a2e5453d</t>
  </si>
  <si>
    <t>colon</t>
  </si>
  <si>
    <t>L1:Enteric neuron | L4:Enteroendocrine cell</t>
  </si>
  <si>
    <t>17481d16-ee44-49e5-bcf0-28c0780d8c4a</t>
  </si>
  <si>
    <t>CELLxGENE:b46237d1-19c6-4af2-9335-9854634bad16</t>
  </si>
  <si>
    <t>Single-Cell Sequencing of Developing Human Gut Reveals Transcriptional Links to Childhood Crohn’s Disease</t>
  </si>
  <si>
    <t>发育中人类肠道的单细胞测序揭示与儿童克罗恩病的转录关联</t>
  </si>
  <si>
    <t>10.1016/j.devcel.2020.11.010</t>
  </si>
  <si>
    <t>colon|duodeno-jejunal junction|ileum</t>
  </si>
  <si>
    <t>10x 3' v2</t>
  </si>
  <si>
    <t>enteric neuron|enteroendocrine cell</t>
  </si>
  <si>
    <t>https://datasets.cellxgene.cziscience.com/5cf26393-87e2-4946-8a97-2d42625856a3.h5ad</t>
  </si>
  <si>
    <t>https://cellxgene.cziscience.com/collections/17481d16-ee44-49e5-bcf0-28c0780d8c4a</t>
  </si>
  <si>
    <t>L1:Inhibitory motor neuron/Interneuron (ENS)/Motor neuron | L4:Neuroendocrine cell</t>
  </si>
  <si>
    <t>60358420-6055-411d-ba4f-e8ac80682a2e</t>
  </si>
  <si>
    <t>CELLxGENE:bbd16004-09e8-4b6c-b465-73ff83a52837</t>
  </si>
  <si>
    <t>Spatiotemporal analysis of human intestinal development at single-cell resolution</t>
  </si>
  <si>
    <t>单细胞分辨率下人类肠道发育的时空分析</t>
  </si>
  <si>
    <t>2021</t>
  </si>
  <si>
    <t>10.1016/j.cell.2020.12.016</t>
  </si>
  <si>
    <t>colon|hindgut|ileum</t>
  </si>
  <si>
    <t>glial cell|inhibitory motor neuron|interneuron|motor neuron|neuroendocrine cell</t>
  </si>
  <si>
    <t>https://datasets.cellxgene.cziscience.com/a40d9047-5990-4aa1-aac8-2ff55649dab5.h5ad</t>
  </si>
  <si>
    <t>https://cellxgene.cziscience.com/collections/60358420-6055-411d-ba4f-e8ac80682a2e</t>
  </si>
  <si>
    <t>colorectum</t>
  </si>
  <si>
    <t>L2:Schwann cell | L4:Enteroendocrine cell</t>
  </si>
  <si>
    <t>4d82bd8e-8827-410b-8fc7-685b7dd92585</t>
  </si>
  <si>
    <t>CELLxGENE:16023185-de21-4c0d-a9c8-73abdd52d142</t>
  </si>
  <si>
    <t>Spatially organized multicellular immune hubs in human colorectal cancer</t>
  </si>
  <si>
    <t>人类结直肠癌中空间组织的多细胞免疫枢纽</t>
  </si>
  <si>
    <t>10.1016/j.cell.2021.08.003</t>
  </si>
  <si>
    <t>colon adenocarcinoma|normal</t>
  </si>
  <si>
    <t>Schwann cell|enteroendocrine cell</t>
  </si>
  <si>
    <t>https://datasets.cellxgene.cziscience.com/3d1f3641-5755-47e2-b797-10317d33fe32.h5ad</t>
  </si>
  <si>
    <t>https://cellxgene.cziscience.com/collections/4d82bd8e-8827-410b-8fc7-685b7dd92585</t>
  </si>
  <si>
    <t>duodenum</t>
  </si>
  <si>
    <t>L2:Enteroglial cell | L4:Enteroendocrine cell of small intestine</t>
  </si>
  <si>
    <t>e5f58829-1a66-40b5-a624-9046778e74f5</t>
  </si>
  <si>
    <t>CELLxGENE:a357414d-2042-4eb5-95f0-c58604a18bdd</t>
  </si>
  <si>
    <t>Tabula Sapiens</t>
  </si>
  <si>
    <t>10.1126/science.abl4896</t>
  </si>
  <si>
    <t>duodenum|ileum|jejunum|small intestine</t>
  </si>
  <si>
    <t>10x 3' v3|Smart-seq2</t>
  </si>
  <si>
    <t>enteroendocrine cell of small intestine|enteroglial cell</t>
  </si>
  <si>
    <t>https://datasets.cellxgene.cziscience.com/6db4dfe6-d421-4287-a9dc-22eaa59be966.h5ad</t>
  </si>
  <si>
    <t>https://cellxgene.cziscience.com/collections/e5f58829-1a66-40b5-a624-9046778e74f5</t>
  </si>
  <si>
    <t>epithelium of small intestine</t>
  </si>
  <si>
    <t>L4:Type EC enteroendocrine cell/Type L enteroendocrine cell</t>
  </si>
  <si>
    <t>5c868b6f-62c5-4532-9d7f-a346ad4b50a7</t>
  </si>
  <si>
    <t>CELLxGENE:fe4b89d5-461e-440c-a5a8-621b37b122c0</t>
  </si>
  <si>
    <t>The landscape of immune dysregulation in Crohn’s disease revealed through single-cell transcriptomic profiling in the ileum and colon</t>
  </si>
  <si>
    <t>单细胞转录组谱分析揭示克罗恩病回肠与结肠免疫失调的全景</t>
  </si>
  <si>
    <t>10.1016/j.immuni.2023.01.002</t>
  </si>
  <si>
    <t>epithelium of small intestine|ileal epithelium|ileum|ileum lamina propria|lamina propria of small intestine|small intestine</t>
  </si>
  <si>
    <t>type EC enteroendocrine cell|type L enteroendocrine cell</t>
  </si>
  <si>
    <t>https://datasets.cellxgene.cziscience.com/6a6b7339-106f-420b-95ae-c8d2d91f9945.h5ad</t>
  </si>
  <si>
    <t>https://cellxgene.cziscience.com/collections/5c868b6f-62c5-4532-9d7f-a346ad4b50a7</t>
  </si>
  <si>
    <t>ileum</t>
  </si>
  <si>
    <t>ff668d5d-5b3f-49ee-a007-ff0664bf35ec</t>
  </si>
  <si>
    <t>CELLxGENE:248cf7bf-508b-4c28-a2fd-cabe2ab956aa</t>
  </si>
  <si>
    <t>Single-cell transcriptome analysis reveals differential nutrient absorption functions in human intestine</t>
  </si>
  <si>
    <t>单细胞转录组分析揭示人肠道中差异性的营养吸收功能</t>
  </si>
  <si>
    <t>10.1084/jem.20191130</t>
  </si>
  <si>
    <t>https://datasets.cellxgene.cziscience.com/685f053a-2204-489a-b166-1d0190406be6.h5ad</t>
  </si>
  <si>
    <t>https://cellxgene.cziscience.com/collections/ff668d5d-5b3f-49ee-a007-ff0664bf35ec</t>
  </si>
  <si>
    <t>L4:Enteroendocrine cell of small intestine</t>
  </si>
  <si>
    <t>2b02dff7-e427-4cdc-96fb-c0f354c099aa</t>
  </si>
  <si>
    <t>CELLxGENE:36c867a7-be10-4e69-9b39-5de12b0af6da</t>
  </si>
  <si>
    <t>Single-Cell Analysis of Crohn’s Disease Lesions Identifies a Pathogenic Cellular Module Associated with Resistance to Anti-TNF Therapy</t>
  </si>
  <si>
    <t>克罗恩病病灶的单细胞分析识别出与抗TNF治疗耐药相关的致病性细胞模块</t>
  </si>
  <si>
    <t>10.1016/j.cell.2019.08.008</t>
  </si>
  <si>
    <t>enteroendocrine cell of small intestine|glial cell</t>
  </si>
  <si>
    <t>https://datasets.cellxgene.cziscience.com/aa44120b-7b9f-4584-a8a2-0f3aceafc87c.h5ad</t>
  </si>
  <si>
    <t>https://cellxgene.cziscience.com/collections/2b02dff7-e427-4cdc-96fb-c0f354c099aa</t>
  </si>
  <si>
    <t>intestinal mucosa</t>
  </si>
  <si>
    <t>含泛neuron(肠,待裁定)</t>
  </si>
  <si>
    <t>f30e0bf7-7b03-44b0-b312-cda799ef0240</t>
  </si>
  <si>
    <t>CELLxGENE:51d9716c-50bb-4fd8-8d1e-7d9329969cb7</t>
  </si>
  <si>
    <t>iPSC-derived small intestine-on-chip with self-organizing epithelial, mesenchymal and neural cells</t>
  </si>
  <si>
    <t>iPSC衍生的小肠芯片模型：具有自组织上皮、间充质及神经细胞</t>
  </si>
  <si>
    <t>10.1016/j.celrep.2024.114247</t>
  </si>
  <si>
    <t>enteroendocrine cell|neuron</t>
  </si>
  <si>
    <t>https://datasets.cellxgene.cziscience.com/c4bfcccf-6009-4590-a06d-c1443372c6c7.h5ad</t>
  </si>
  <si>
    <t>https://cellxgene.cziscience.com/collections/f30e0bf7-7b03-44b0-b312-cda799ef0240</t>
  </si>
  <si>
    <t>lamina propria of small intestine</t>
  </si>
  <si>
    <t>a064d795-3b77-44ae-9fb5-beb57c567443</t>
  </si>
  <si>
    <t>CELLxGENE:6ceeaa86-9ceb-4582-b390-6d4dd6ff0572</t>
  </si>
  <si>
    <t>Pediatric FGID lamina propria of ileum biopsies.</t>
  </si>
  <si>
    <t>儿童FGID回肠固有层活检</t>
  </si>
  <si>
    <t>10.1101/2021.09.17.21263540</t>
  </si>
  <si>
    <t>digestive system disorder</t>
  </si>
  <si>
    <t>https://datasets.cellxgene.cziscience.com/8cf9e6a2-5cd6-4d8e-95bd-b8c54d05e3f1.h5ad</t>
  </si>
  <si>
    <t>https://cellxgene.cziscience.com/collections/a064d795-3b77-44ae-9fb5-beb57c567443</t>
  </si>
  <si>
    <t>right colon</t>
  </si>
  <si>
    <t>L1:Neuronal receptor cell</t>
  </si>
  <si>
    <t>3b8b7fec-ed65-4483-9579-9f98f5a93a74</t>
  </si>
  <si>
    <t>CELLxGENE:5d4415d1-cfcd-4b43-b2b2-138b5afd68af</t>
  </si>
  <si>
    <t>Epithelium-enriched single cell transcriptomes from the ascending colon of pediatric and adult control subjects</t>
  </si>
  <si>
    <t>儿童和成人对照升结肠上皮富集的单细胞转录组</t>
  </si>
  <si>
    <t>10.1016/j.jcmgh.2025.101665</t>
  </si>
  <si>
    <t>neuronal receptor cell</t>
  </si>
  <si>
    <t>https://datasets.cellxgene.cziscience.com/45566c3d-0484-4b2b-858b-8aea1783f21f.h5ad</t>
  </si>
  <si>
    <t>https://cellxgene.cziscience.com/collections/3b8b7fec-ed65-4483-9579-9f98f5a93a74</t>
  </si>
  <si>
    <t>small intestine</t>
  </si>
  <si>
    <t>7651ac1a-f947-463a-9223-a9e408a41989</t>
  </si>
  <si>
    <t>CELLxGENE:3f32121d-126b-4e8d-9f69-d86502d2a1b1</t>
  </si>
  <si>
    <t>Insulin is expressed by enteroendocrine cells during human fetal development</t>
  </si>
  <si>
    <t>人胎儿发育期间肠内分泌细胞表达胰岛素</t>
  </si>
  <si>
    <t>10.1038/s41591-021-01586-1</t>
  </si>
  <si>
    <t>https://datasets.cellxgene.cziscience.com/fe96972c-7199-4146-9e03-af518d8916cc.h5ad</t>
  </si>
  <si>
    <t>https://cellxgene.cziscience.com/collections/7651ac1a-f947-463a-9223-a9e408a41989</t>
  </si>
  <si>
    <t>arm skin</t>
  </si>
  <si>
    <t>L2:Schwann cell</t>
  </si>
  <si>
    <t>34f12de7-c5e5-4813-a136-832677f98ac8</t>
  </si>
  <si>
    <t>CELLxGENE:e7c5ba7e-4be0-4696-af50-a07d0dc7aac5</t>
  </si>
  <si>
    <t>Multi-scale spatial mapping of cell populations across anatomical sites in healthy human skin and basal cell carcinoma</t>
  </si>
  <si>
    <t>健康人皮肤和基底细胞癌中跨解剖部位细胞群体的多尺度空间图谱</t>
  </si>
  <si>
    <t>10.1073/pnas.2313326120</t>
  </si>
  <si>
    <t>arm skin|nose skin|skin of abdomen|skin of cheek|skin of external ear|skin of forehead|skin of temple</t>
  </si>
  <si>
    <t>basal cell carcinoma|normal</t>
  </si>
  <si>
    <t>10x 3' v1|10x 3' v2|10x 3' v3</t>
  </si>
  <si>
    <t>Schwann cell</t>
  </si>
  <si>
    <t>外周神经再生</t>
  </si>
  <si>
    <t>https://datasets.cellxgene.cziscience.com/82515193-f68f-49f1-923e-d10a2b798b42.h5ad</t>
  </si>
  <si>
    <t>https://cellxgene.cziscience.com/collections/34f12de7-c5e5-4813-a136-832677f98ac8</t>
  </si>
  <si>
    <t>dermis</t>
  </si>
  <si>
    <t>73f82ac8-15cc-4fcd-87f8-5683723fce7f</t>
  </si>
  <si>
    <t>CELLxGENE:f0f0d7c4-3bec-428e-9539-c99d36548d96</t>
  </si>
  <si>
    <t>Developmental cell programs are co-opted in inflammatory skin disease</t>
  </si>
  <si>
    <t>炎症性皮肤病中发育细胞程序被共选利用</t>
  </si>
  <si>
    <t>10.1126/science.aba6500</t>
  </si>
  <si>
    <t>dermis|skin epidermis</t>
  </si>
  <si>
    <t>神经-免疫通讯;外周神经再生;炎症</t>
  </si>
  <si>
    <t>https://datasets.cellxgene.cziscience.com/f8b5c4f4-7ece-4314-9f49-fc254bbd5c71.h5ad</t>
  </si>
  <si>
    <t>https://cellxgene.cziscience.com/collections/73f82ac8-15cc-4fcd-87f8-5683723fce7f</t>
  </si>
  <si>
    <t>skin of body</t>
  </si>
  <si>
    <t>5e143645-177c-45b6-952d-48770e29a54b</t>
  </si>
  <si>
    <t>CELLxGENE:b0ef440b-e303-4ad2-ada8-ce13336280ba</t>
  </si>
  <si>
    <t>Multi-modal skin atlas identifies a multicellular immune-stromal community associated with altered cornification and specific T cell expansion in atopic dermatitis</t>
  </si>
  <si>
    <t>多模态皮肤图谱识别出与特应性皮炎中角质化改变及特定T细胞扩增相关的多细胞免疫-基质群落</t>
  </si>
  <si>
    <t>10.1038/s41467-026-69587-7</t>
  </si>
  <si>
    <t>atopic eczema|normal</t>
  </si>
  <si>
    <t>https://datasets.cellxgene.cziscience.com/e046218f-6a66-46f9-a91c-7f26b4ee00c2.h5ad</t>
  </si>
  <si>
    <t>https://cellxgene.cziscience.com/collections/5e143645-177c-45b6-952d-48770e29a54b</t>
  </si>
  <si>
    <t>subcutaneous abdominal adipose tissue</t>
  </si>
  <si>
    <t>6b701826-37bb-4356-9792-ff41fc4c3161</t>
  </si>
  <si>
    <t>CELLxGENE:9d8e5dca-03a3-457d-b7fb-844c75735c83</t>
  </si>
  <si>
    <t>Single-Nucleus Analysis of Human White Adipose Tissue Reveals Adipocyte Subsets with Distinct Metabolic Profiles</t>
  </si>
  <si>
    <t>人白色脂肪组织单细胞核分析揭示具有不同代谢特征的脂肪细胞亚群</t>
  </si>
  <si>
    <t>10.1101/2025.09.14.673351</t>
  </si>
  <si>
    <t>subcutaneous abdominal adipose tissue|visceral abdominal adipose tissue</t>
  </si>
  <si>
    <t>Schwann cell|neuron associated cell</t>
  </si>
  <si>
    <t>https://datasets.cellxgene.cziscience.com/3d0f967f-ad82-4470-a46d-6d156ad13e42.h5ad</t>
  </si>
  <si>
    <t>https://cellxgene.cziscience.com/collections/6b701826-37bb-4356-9792-ff41fc4c3161</t>
  </si>
  <si>
    <t>apex of heart</t>
  </si>
  <si>
    <t>L1:Cardiac neuron</t>
  </si>
  <si>
    <t>20eea6c8-9d64-42c9-9b6f-c11b5249e0e9</t>
  </si>
  <si>
    <t>CELLxGENE:2e9d2f32-4cfb-49b5-b990-cbf4c241214e</t>
  </si>
  <si>
    <t>Single-cell genomics improves the discovery of risk variants and genes of atrial fibrillation</t>
  </si>
  <si>
    <t>单细胞基因组学改进心房颤动风险变异和基因的发现</t>
  </si>
  <si>
    <t>10.1038/s41467-023-40505-5</t>
  </si>
  <si>
    <t>apex of heart|heart left ventricle|heart right ventricle|interventricular septum</t>
  </si>
  <si>
    <t>cardiac neuron</t>
  </si>
  <si>
    <t>https://datasets.cellxgene.cziscience.com/f35a8c3f-b3a0-4373-a4cd-c937db7f7ec2.h5ad</t>
  </si>
  <si>
    <t>https://cellxgene.cziscience.com/collections/20eea6c8-9d64-42c9-9b6f-c11b5249e0e9</t>
  </si>
  <si>
    <t>e75342a8-0f3b-4ec5-8ee1-245a23e0f7cb</t>
  </si>
  <si>
    <t>CELLxGENE:65badd7a-9262-4fd1-9ce2-eb5dc0ca8039</t>
  </si>
  <si>
    <t>Pathogenic variants damage cell composition and single cell transcription in cardiomyopathies</t>
  </si>
  <si>
    <t>致病性变异损害心肌病中的细胞组成与单细胞转录</t>
  </si>
  <si>
    <t>10.1126/science.abo1984</t>
  </si>
  <si>
    <t>arrhythmogenic right ventricular cardiomyopathy|dilated cardiomyopathy|non-compaction cardiomyopathy|normal</t>
  </si>
  <si>
    <t>https://datasets.cellxgene.cziscience.com/6d0b8b8a-2b22-4578-b8ee-8ca4ab893594.h5ad</t>
  </si>
  <si>
    <t>https://cellxgene.cziscience.com/collections/e75342a8-0f3b-4ec5-8ee1-245a23e0f7cb</t>
  </si>
  <si>
    <t>328d71f0-0ed7-4518-966f-be6bd0797324</t>
  </si>
  <si>
    <t>CELLxGENE:fe7aae33-6f7c-41a5-8d29-9996a9ddf1ab</t>
  </si>
  <si>
    <t>The cellular and molecular cardiac tissue responses in human inflammatory cardiomyopathies after SARS-CoV-2 infection and COVID-19 vaccination</t>
  </si>
  <si>
    <t>SARS-CoV-2感染和COVID-19疫苗接种后人炎症性心肌病的心脏细胞与分子组织反应</t>
  </si>
  <si>
    <t>10.1038/s44161-025-00612-6</t>
  </si>
  <si>
    <t>apex of heart|heart left ventricle</t>
  </si>
  <si>
    <t>myocarditis|normal</t>
  </si>
  <si>
    <t>https://datasets.cellxgene.cziscience.com/5ca4319d-488f-444d-b383-e909fe0783d4.h5ad</t>
  </si>
  <si>
    <t>https://cellxgene.cziscience.com/collections/328d71f0-0ed7-4518-966f-be6bd0797324</t>
  </si>
  <si>
    <t>含泛neuron(器官图谱→疑中枢/噪声,待裁定)</t>
  </si>
  <si>
    <t>43b45a20-a969-49ac-a8e8-8c84b211bd01</t>
  </si>
  <si>
    <t>CELLxGENE:5500c673-1610-40a0-86d9-64d987ae50e6</t>
  </si>
  <si>
    <t>Integrated adult and foetal heart single-cell RNA sequencing</t>
  </si>
  <si>
    <t>整合成人与胎儿心脏单细胞RNA测序</t>
  </si>
  <si>
    <t>10.1038/s44161-022-00183-w</t>
  </si>
  <si>
    <t>apex of heart|basal zone of heart|heart left ventricle|heart right ventricle|interventricular septum|left cardiac atrium|right cardiac atrium</t>
  </si>
  <si>
    <t>cell|nucleus</t>
  </si>
  <si>
    <t>neuron</t>
  </si>
  <si>
    <t>https://datasets.cellxgene.cziscience.com/85f6cdae-10c2-4c97-8a95-cf03f87ecd2e.h5ad</t>
  </si>
  <si>
    <t>https://cellxgene.cziscience.com/collections/43b45a20-a969-49ac-a8e8-8c84b211bd01</t>
  </si>
  <si>
    <t>apical region of left ventricle</t>
  </si>
  <si>
    <t>68e7e5b7-4dc9-4609-832e-7656aa6182ba</t>
  </si>
  <si>
    <t>CELLxGENE:99e317c0-1fab-4f73-b511-859e752fd1c3</t>
  </si>
  <si>
    <t>Sex-Specific Control of Human Heart Maturation by the Progesterone Receptor</t>
  </si>
  <si>
    <t>孕激素受体对人类心脏成熟的性别特异性调控</t>
  </si>
  <si>
    <t>10.1161/CIRCULATIONAHA.120.051921</t>
  </si>
  <si>
    <t>https://datasets.cellxgene.cziscience.com/59c9aa5c-ee73-4252-b149-5cb011f924b1.h5ad</t>
  </si>
  <si>
    <t>https://cellxgene.cziscience.com/collections/68e7e5b7-4dc9-4609-832e-7656aa6182ba</t>
  </si>
  <si>
    <t>heart</t>
  </si>
  <si>
    <t>9c9ce98a-6b02-4262-9407-1ebb2de31f63</t>
  </si>
  <si>
    <t>CELLxGENE:9928ad5f-6afd-4fb0-89b0-6690e2a2ce25</t>
  </si>
  <si>
    <t>Integrated multi-omic characterization of congenital heart disease</t>
  </si>
  <si>
    <t>先天性心脏病的整合多组学特征分析</t>
  </si>
  <si>
    <t>10.1038/s41586-022-04989-3</t>
  </si>
  <si>
    <t>congenital heart disease|dilated cardiomyopathy|hypertrophic cardiomyopathy|hypoplastic left heart syndrome|tetralogy of fallot</t>
  </si>
  <si>
    <t>https://datasets.cellxgene.cziscience.com/beb6ae0c-c47b-4a8d-9f8d-39a43f5853bd.h5ad</t>
  </si>
  <si>
    <t>https://cellxgene.cziscience.com/collections/9c9ce98a-6b02-4262-9407-1ebb2de31f63</t>
  </si>
  <si>
    <t>heart left ventricle</t>
  </si>
  <si>
    <t>8191c283-0816-424b-9b61-c3e1d6258a77</t>
  </si>
  <si>
    <t>CELLxGENE:1c739a3e-c3f5-49d5-98e0-73975e751201</t>
  </si>
  <si>
    <t>Spatial multi-omic map of human myocardial infarction</t>
  </si>
  <si>
    <t>人类心肌梗死的空间多组学图谱</t>
  </si>
  <si>
    <t>10.1038/s41586-022-05060-x</t>
  </si>
  <si>
    <t>myocardial infarction|normal</t>
  </si>
  <si>
    <t>https://datasets.cellxgene.cziscience.com/4780eb7d-4c7c-4630-8705-471f0de8e27a.h5ad</t>
  </si>
  <si>
    <t>https://cellxgene.cziscience.com/collections/8191c283-0816-424b-9b61-c3e1d6258a77</t>
  </si>
  <si>
    <t>right atrium auricular region</t>
  </si>
  <si>
    <t>8c782494-01ed-491b-97b9-6f0d3b76c676</t>
  </si>
  <si>
    <t>CELLxGENE:8f4f8502-9170-4ac2-9707-3b6985ebfe5f</t>
  </si>
  <si>
    <t>Transcriptomic and spatial dissection of human ex vivo right atrial tissue reveals proinflammatory microvascular changes in ischemic heart disease</t>
  </si>
  <si>
    <t>人类离体右心房组织的转录组与空间解析揭示缺血性心脏病中的促炎性微血管变化</t>
  </si>
  <si>
    <t>10.1016/j.xcrm.2024.101556</t>
  </si>
  <si>
    <t>heart failure|heart valve disorder|myocardial ischemia|normal</t>
  </si>
  <si>
    <t>Schwann cell|neuron</t>
  </si>
  <si>
    <t>针灸作用相关;神经-免疫通讯;外周神经再生;炎症</t>
  </si>
  <si>
    <t>https://datasets.cellxgene.cziscience.com/86094298-00c2-4d09-b11d-342c5aa1f951.h5ad</t>
  </si>
  <si>
    <t>https://cellxgene.cziscience.com/collections/8c782494-01ed-491b-97b9-6f0d3b76c676</t>
  </si>
  <si>
    <t>L4:Pulmonary neuroendocrine cell</t>
  </si>
  <si>
    <t>5d445965-6f1a-4b68-ba3a-b8f765155d3a</t>
  </si>
  <si>
    <t>CELLxGENE:8c42cfd0-0b0a-46d5-910c-fc833d83c45e</t>
  </si>
  <si>
    <t>A molecular cell atlas of the human lung from single cell RNA sequencing</t>
  </si>
  <si>
    <t>单细胞RNA测序揭示的人类肺分子细胞图谱</t>
  </si>
  <si>
    <t>2020</t>
  </si>
  <si>
    <t>10.1038/s41586-020-2922-4</t>
  </si>
  <si>
    <t>blood|lung</t>
  </si>
  <si>
    <t>pulmonary neuroendocrine cell</t>
  </si>
  <si>
    <t>https://datasets.cellxgene.cziscience.com/f5568ea3-c249-4e4e-91f8-46abc30a5612.h5ad</t>
  </si>
  <si>
    <t>https://cellxgene.cziscience.com/collections/5d445965-6f1a-4b68-ba3a-b8f765155d3a</t>
  </si>
  <si>
    <t>bronchus</t>
  </si>
  <si>
    <t>L2:Myelinating Schwann cell/Non-myelinating Schwann cell | L4:Neuroendocrine cell</t>
  </si>
  <si>
    <t>c1241244-b22d-483d-875b-75699efb9f3c</t>
  </si>
  <si>
    <t>CELLxGENE:093d3bfe-6f0f-4ac0-a7a1-829f94d0a49f</t>
  </si>
  <si>
    <t>A spatially resolved atlas of the human lung characterizes a gland-associated immune niche</t>
  </si>
  <si>
    <t>人类肺部的空间分辨图谱刻画了一个腺体相关的免疫微环境</t>
  </si>
  <si>
    <t>10.1038/s41588-022-01243-4</t>
  </si>
  <si>
    <t>bronchus|lower lobe of left lung|lung|trachea|upper lobe of left lung</t>
  </si>
  <si>
    <t>10x 3' v2|10x 3' v3|10x 5' transcription profiling</t>
  </si>
  <si>
    <t>myelinating Schwann cell|neuroendocrine cell|non-myelinating Schwann cell</t>
  </si>
  <si>
    <t>https://datasets.cellxgene.cziscience.com/dea9f35e-1be6-4240-919d-7eb2f471cbe9.h5ad</t>
  </si>
  <si>
    <t>https://cellxgene.cziscience.com/collections/c1241244-b22d-483d-875b-75699efb9f3c</t>
  </si>
  <si>
    <t>L2:Schwann cell | L4:Pulmonary neuroendocrine cell</t>
  </si>
  <si>
    <t>4f30b962-d49b-4624-a233-64f048cf8632</t>
  </si>
  <si>
    <t>CELLxGENE:b61a921b-7fa3-4b42-b455-aaaf32447920</t>
  </si>
  <si>
    <t>A Unique Cellular Organization of Human Distal Airways and Its Disarray in Chronic Obstructive Pulmonary Disease</t>
  </si>
  <si>
    <t>人类远端气道的独特细胞组织及其在慢性阻塞性肺疾病中的紊乱</t>
  </si>
  <si>
    <t>10.1164/rccm.202207-1384OC</t>
  </si>
  <si>
    <t>bronchus|segmental bronchus|terminal bronchus</t>
  </si>
  <si>
    <t>chronic obstructive pulmonary disease|normal</t>
  </si>
  <si>
    <t>Schwann cell|pulmonary neuroendocrine cell</t>
  </si>
  <si>
    <t>https://datasets.cellxgene.cziscience.com/a8e4f394-d141-4755-9a35-790c734d1dab.h5ad</t>
  </si>
  <si>
    <t>https://cellxgene.cziscience.com/collections/4f30b962-d49b-4624-a233-64f048cf8632</t>
  </si>
  <si>
    <t>L4:Neuroendocrine cell</t>
  </si>
  <si>
    <t>03f821b4-87be-4ff4-b65a-b5fc00061da7</t>
  </si>
  <si>
    <t>CELLxGENE:edc8d3fe-153c-4e3d-8be0-2108d30f8d70</t>
  </si>
  <si>
    <t>Local and systemic responses to SARS-CoV-2 infection in children and adults</t>
  </si>
  <si>
    <t>儿童和成人对SARS-CoV-2感染的局部及全身反应</t>
  </si>
  <si>
    <t>10.1038/s41586-021-04345-x</t>
  </si>
  <si>
    <t>bronchus|nasal cavity|trachea</t>
  </si>
  <si>
    <t>COVID-19|normal</t>
  </si>
  <si>
    <t>10x 5' v1|10x 5' v2</t>
  </si>
  <si>
    <t>neuroendocrine cell</t>
  </si>
  <si>
    <t>https://datasets.cellxgene.cziscience.com/f9efb73e-f116-46b5-a775-d4233e758024.h5ad</t>
  </si>
  <si>
    <t>https://cellxgene.cziscience.com/collections/03f821b4-87be-4ff4-b65a-b5fc00061da7</t>
  </si>
  <si>
    <t>carina of trachea</t>
  </si>
  <si>
    <t>54004c5c-af08-4693-a606-73871b6ef989</t>
  </si>
  <si>
    <t>CELLxGENE:1ab4ebbc-18d6-4838-89c2-cdc5b10accfb</t>
  </si>
  <si>
    <t>Cystic Fibrosis and healthy control biopsy</t>
  </si>
  <si>
    <t>囊性纤维化与健康对照活检</t>
  </si>
  <si>
    <t>10.1016/j.jcf.2025.01.016</t>
  </si>
  <si>
    <t>carina of trachea|respiratory tube</t>
  </si>
  <si>
    <t>cystic fibrosis|normal</t>
  </si>
  <si>
    <t>纤维化</t>
  </si>
  <si>
    <t>https://datasets.cellxgene.cziscience.com/08530c67-a192-4d76-bfe5-b7834e8da231.h5ad</t>
  </si>
  <si>
    <t>https://cellxgene.cziscience.com/collections/54004c5c-af08-4693-a606-73871b6ef989</t>
  </si>
  <si>
    <t>lung</t>
  </si>
  <si>
    <t>L2:Schwann cell/Schwann cell precursor/Immature Schwann cell | L4:Pulmonary neuroendocrine cell</t>
  </si>
  <si>
    <t>2d2e2acd-dade-489f-a2da-6c11aa654028</t>
  </si>
  <si>
    <t>CELLxGENE:3dc61ca1-ce40-46b6-8337-f27260fd9a03</t>
  </si>
  <si>
    <t>A human fetal lung cell atlas uncovers proximal-distal gradients of differentiation and key regulators of epithelial fates</t>
  </si>
  <si>
    <t>人类胎儿肺细胞图谱揭示分化的近端-远端梯度及上皮命运的关键调控因子</t>
  </si>
  <si>
    <t>10.1016/j.cell.2022.11.005</t>
  </si>
  <si>
    <t>10x 5' v1</t>
  </si>
  <si>
    <t>Schwann cell|Schwann cell precursor|immature Schwann cell|neuron|pulmonary neuroendocrine cell</t>
  </si>
  <si>
    <t>https://datasets.cellxgene.cziscience.com/c961f0d3-15cd-481a-b167-d356ccf6659a.h5ad</t>
  </si>
  <si>
    <t>https://cellxgene.cziscience.com/collections/2d2e2acd-dade-489f-a2da-6c11aa654028</t>
  </si>
  <si>
    <t>e276e3e2-197a-4524-abd1-a753a48dc33a</t>
  </si>
  <si>
    <t>CELLxGENE:10c0c666-bd99-4a5c-b697-f1be835f5427</t>
  </si>
  <si>
    <t>Human Lung Allografts Experience Persistent Fibrogenic Shift Following Acute Cellular Rejection</t>
  </si>
  <si>
    <t>人肺同种异体移植物在急性细胞排斥后经历持续性纤维化转变</t>
  </si>
  <si>
    <t>10.1016/j.healun.2026.02.1666</t>
  </si>
  <si>
    <t>acute graft versus host disease|normal</t>
  </si>
  <si>
    <t>10x 3' v3|10x 5' v1|10x 5' v2</t>
  </si>
  <si>
    <t>https://datasets.cellxgene.cziscience.com/af6e81be-e65c-4821-987e-e0eb6c8acd59.h5ad</t>
  </si>
  <si>
    <t>https://cellxgene.cziscience.com/collections/e276e3e2-197a-4524-abd1-a753a48dc33a</t>
  </si>
  <si>
    <t>625f6bf4-2f33-4942-962e-35243d284837</t>
  </si>
  <si>
    <t>CELLxGENE:3de0ad6d-4378-4f62-b37b-ec0b75a50d94</t>
  </si>
  <si>
    <t>LungMAP — Human data from a broad age healthy donor group</t>
  </si>
  <si>
    <t>LungMAP — 来自广泛年龄健康捐赠者群体的人类数据</t>
  </si>
  <si>
    <t>10.7554/eLife.62522</t>
  </si>
  <si>
    <t>https://datasets.cellxgene.cziscience.com/92167705-4b81-4c4b-a0b5-abe08910415e.h5ad</t>
  </si>
  <si>
    <t>https://cellxgene.cziscience.com/collections/625f6bf4-2f33-4942-962e-35243d284837</t>
  </si>
  <si>
    <t>92db8a7e-8761-4317-873f-15606c016ce5</t>
  </si>
  <si>
    <t>CELLxGENE:781cc817-3fd0-487c-a55a-b47b2786a05d</t>
  </si>
  <si>
    <t>A novel human fetal lung-derived alveolar organoid model reveals mechanisms of surfactant protein C maturation relevant to interstitial lung disease</t>
  </si>
  <si>
    <t>一种新型人胎肺来源肺泡类器官模型揭示与间质性肺病相关的表面活性蛋白C成熟机制</t>
  </si>
  <si>
    <t>10.1038/s44318-024-00328-6</t>
  </si>
  <si>
    <t>https://datasets.cellxgene.cziscience.com/89a17e6a-bbb0-4a9a-b2b4-3bafd89277a8.h5ad</t>
  </si>
  <si>
    <t>https://cellxgene.cziscience.com/collections/92db8a7e-8761-4317-873f-15606c016ce5</t>
  </si>
  <si>
    <t>ec329aed-22bc-4d6e-8935-8282dcb1acac</t>
  </si>
  <si>
    <t>CELLxGENE:8dc858b0-b076-4326-94bb-7c2d1cd721a3</t>
  </si>
  <si>
    <t>Early human lung immune cell development and its role in epithelial cell fate</t>
  </si>
  <si>
    <t>早期人类肺免疫细胞发育及其在上皮细胞命运中的作用</t>
  </si>
  <si>
    <t>10.1126/sciimmunol.adf9988</t>
  </si>
  <si>
    <t>10x 5' transcription profiling</t>
  </si>
  <si>
    <t>https://datasets.cellxgene.cziscience.com/2ebaaba9-0401-46a8-a242-f44f333ddb0d.h5ad</t>
  </si>
  <si>
    <t>https://cellxgene.cziscience.com/collections/ec329aed-22bc-4d6e-8935-8282dcb1acac</t>
  </si>
  <si>
    <t>6f6d381a-7701-4781-935c-db10d30de293</t>
  </si>
  <si>
    <t>CELLxGENE:9f222629-9e39-47d0-b83f-e08d610c7479</t>
  </si>
  <si>
    <t>The integrated Human Lung Cell Atlas</t>
  </si>
  <si>
    <t>整合性人类肺细胞图谱</t>
  </si>
  <si>
    <t>10.1038/s41591-023-02327-2</t>
  </si>
  <si>
    <t>lung|lung parenchyma|nose|respiratory airway</t>
  </si>
  <si>
    <t>COVID-19|chronic obstructive pulmonary disease|chronic rhinitis|cystic fibrosis|hypersensitivity pneumonitis|interstitial lung disease|lung adenocarcinoma|lung large cell carcinoma|lymphangioleiomyomatosis|non-specific interstitial pneumonia|normal|pleomorphic carcinoma|pneumonia|pulmonary fibrosis|pulmonary sarcoidosis|squamous cell lung carcinoma</t>
  </si>
  <si>
    <t>10x 3' v1|10x 3' v2|10x 3' v3|10x 5' transcription profiling|10x 5' v1|10x 5' v2|Drop-seq|Seq-Well</t>
  </si>
  <si>
    <t>神经-免疫通讯;炎症;纤维化</t>
  </si>
  <si>
    <t>https://datasets.cellxgene.cziscience.com/5f863718-02a6-46cb-83e7-52be988b915b.h5ad</t>
  </si>
  <si>
    <t>https://cellxgene.cziscience.com/collections/6f6d381a-7701-4781-935c-db10d30de293</t>
  </si>
  <si>
    <t>f86d6317-7215-409e-bfda-3f4ded3dadaa</t>
  </si>
  <si>
    <t>CELLxGENE:eb499fd8-7000-419f-8854-926b9b61b11f</t>
  </si>
  <si>
    <t>Human CellCards Multi-Study CellRef 1.0 Atlas</t>
  </si>
  <si>
    <t>Human CellCards 多研究 CellRef 1.0 图谱</t>
  </si>
  <si>
    <t>10.1038/s41467-023-40173-5</t>
  </si>
  <si>
    <t>https://datasets.cellxgene.cziscience.com/d6184057-2178-4946-b9b1-dc56543a77aa.h5ad</t>
  </si>
  <si>
    <t>https://cellxgene.cziscience.com/collections/f86d6317-7215-409e-bfda-3f4ded3dadaa</t>
  </si>
  <si>
    <t>07e12576-b41b-4350-adfc-059bfc4328ea</t>
  </si>
  <si>
    <t>CELLxGENE:f14bc322-1322-4184-8d16-409557525ea5</t>
  </si>
  <si>
    <t>Single-cell RNA-seq analysis of Interstitial Lung Disease (ILD) subtypes</t>
  </si>
  <si>
    <t>间质性肺病(ILD)亚型的单细胞RNA-seq分析</t>
  </si>
  <si>
    <t>10.1038/s41588-024-01702-0</t>
  </si>
  <si>
    <t>anthracosis|hypersensitivity pneumonitis|interstitial lung disease|lymphoid interstitial pneumonia|non-specific interstitial pneumonia|normal|pulmonary sarcoidosis</t>
  </si>
  <si>
    <t>https://datasets.cellxgene.cziscience.com/c3d9262e-0dc5-4eca-bf20-56e6d96d0306.h5ad</t>
  </si>
  <si>
    <t>https://cellxgene.cziscience.com/collections/07e12576-b41b-4350-adfc-059bfc4328ea</t>
  </si>
  <si>
    <t>e4c9ed14-e560-4900-a3bf-b0f8d2ce6a10</t>
  </si>
  <si>
    <t>CELLxGENE:d8da613f-e681-4c69-b463-e94f5e66847f</t>
  </si>
  <si>
    <t>A molecular single-cell lung atlas of lethal COVID-19</t>
  </si>
  <si>
    <t>致死性COVID-19的分子单细胞肺图谱</t>
  </si>
  <si>
    <t>10.1038/s41586-021-03569-1</t>
  </si>
  <si>
    <t>https://datasets.cellxgene.cziscience.com/1792df55-7cfe-4564-afcf-4bb3ffb73bc0.h5ad</t>
  </si>
  <si>
    <t>https://cellxgene.cziscience.com/collections/e4c9ed14-e560-4900-a3bf-b0f8d2ce6a10</t>
  </si>
  <si>
    <t>lung epithelium</t>
  </si>
  <si>
    <t>2d42fb2f-e635-466e-a2f4-9ea34f2e0feb</t>
  </si>
  <si>
    <t>CELLxGENE:43a1506b-aa9e-46a3-b288-d210f4595ddf</t>
  </si>
  <si>
    <t>Organoid modeling of human fetal lung alveolar development reveals mechanisms of cell fate patterning and neonatal respiratory disease</t>
  </si>
  <si>
    <t>人胎肺肺泡发育的类器官模型揭示细胞命运模式化及新生儿呼吸疾病的机制</t>
  </si>
  <si>
    <t>10.1016/j.stem.2022.11.013</t>
  </si>
  <si>
    <t>neuroendocrine cell of epithelium of lobar bronchus|pulmonary neuroendocrine cell</t>
  </si>
  <si>
    <t>https://datasets.cellxgene.cziscience.com/8dfa9273-352e-4b67-aea0-67a108f39a0f.h5ad</t>
  </si>
  <si>
    <t>https://cellxgene.cziscience.com/collections/2d42fb2f-e635-466e-a2f4-9ea34f2e0feb</t>
  </si>
  <si>
    <t>middle lobe of right lung</t>
  </si>
  <si>
    <t>3a5dbf8a-9b3e-4309-b4c5-d8a024f83734</t>
  </si>
  <si>
    <t>CELLxGENE:d68a8b48-abf0-4bd5-8834-155d34ec448a</t>
  </si>
  <si>
    <t>Bronchopulmonary Dysplasia</t>
  </si>
  <si>
    <t>支气管肺发育不良</t>
  </si>
  <si>
    <t>bronchopulmonary dysplasia|normal</t>
  </si>
  <si>
    <t>https://datasets.cellxgene.cziscience.com/83bbeaaf-f5e0-42ac-be8a-dbc4e0c0d433.h5ad</t>
  </si>
  <si>
    <t>https://cellxgene.cziscience.com/collections/3a5dbf8a-9b3e-4309-b4c5-d8a024f83734</t>
  </si>
  <si>
    <t>nasopharynx</t>
  </si>
  <si>
    <t>35d0b748-3eed-43a5-a1c4-1dade5ec5ca0</t>
  </si>
  <si>
    <t>CELLxGENE:13b61a7d-5605-4948-ba48-02c588960143</t>
  </si>
  <si>
    <t>Impaired local intrinsic immunity to SARS-CoV-2 infection in severe COVID-19</t>
  </si>
  <si>
    <t>重症COVID-19中SARS-CoV-2感染时局部固有免疫受损</t>
  </si>
  <si>
    <t>10.1016/j.cell.2021.07.023</t>
  </si>
  <si>
    <t>COVID-19|long COVID-19|normal|respiratory failure</t>
  </si>
  <si>
    <t>Seq-Well S3</t>
  </si>
  <si>
    <t>https://datasets.cellxgene.cziscience.com/6a6db93e-901f-4054-90e0-14af5207978a.h5ad</t>
  </si>
  <si>
    <t>https://cellxgene.cziscience.com/collections/35d0b748-3eed-43a5-a1c4-1dade5ec5ca0</t>
  </si>
  <si>
    <t>dome of urinary bladder</t>
  </si>
  <si>
    <t>afd343f4-bb60-4632-9902-73a4a1ff1557</t>
  </si>
  <si>
    <t>CELLxGENE:fb5eeccf-3c2a-473c-b6e3-7a1dda18d42d</t>
  </si>
  <si>
    <t>A poly(A) isoform–aware single-cell and spatial atlas defines fibroblast niches in the human bladder</t>
  </si>
  <si>
    <t>一种多聚腺苷酸异构体感知的单细胞与空间图谱定义了人类膀胱中的成纤维细胞微环境</t>
  </si>
  <si>
    <t>10.64898/2025.12.18.695268</t>
  </si>
  <si>
    <t>dome of urinary bladder|neck of urinary bladder|ureteral orifice|ureterovesical junction</t>
  </si>
  <si>
    <t>https://datasets.cellxgene.cziscience.com/1352a8d5-e392-4e1d-8acd-c47f3c93f22e.h5ad</t>
  </si>
  <si>
    <t>https://cellxgene.cziscience.com/collections/afd343f4-bb60-4632-9902-73a4a1ff1557</t>
  </si>
  <si>
    <t>kidney</t>
  </si>
  <si>
    <t>120e86b4-1195-48c5-845b-b98054105eec</t>
  </si>
  <si>
    <t>CELLxGENE:d7dcfd8f-2ee7-4385-b9ac-e074c23ed190</t>
  </si>
  <si>
    <t>Spatiotemporal immune zonation of the human kidney</t>
  </si>
  <si>
    <t>人肾脏的时空免疫分区</t>
  </si>
  <si>
    <t>10.1126/science.aat5031</t>
  </si>
  <si>
    <t>https://datasets.cellxgene.cziscience.com/4ae88372-a0dc-4f9e-b93a-18ade11be813.h5ad</t>
  </si>
  <si>
    <t>https://cellxgene.cziscience.com/collections/120e86b4-1195-48c5-845b-b98054105eec</t>
  </si>
  <si>
    <t>urinary bladder</t>
  </si>
  <si>
    <t>0e54d4de-44f0-4d50-8649-b5c2bbe8f5d1</t>
  </si>
  <si>
    <t>CELLxGENE:2dd9d7a2-4bee-4c3f-a1f5-89bc3271c4f0</t>
  </si>
  <si>
    <t>Exploring the Utility of snRNA-seq in Profiling Human Bladder Tissue: A Comprehensive Comparison with scRNA-seq</t>
  </si>
  <si>
    <t>探索snRNA-seq在人类膀胱组织分析中的效用：与scRNA-seq的全面比较</t>
  </si>
  <si>
    <t>10.1016/j.isci.2024.111628</t>
  </si>
  <si>
    <t>https://datasets.cellxgene.cziscience.com/ac25d153-eb19-4e0e-ba4f-dd5be7295994.h5ad</t>
  </si>
  <si>
    <t>https://cellxgene.cziscience.com/collections/0e54d4de-44f0-4d50-8649-b5c2bbe8f5d1</t>
  </si>
  <si>
    <t>peripheral zone of prostate</t>
  </si>
  <si>
    <t>fbc5881f-1ee3-4ffe-8095-35e15e1a08fc</t>
  </si>
  <si>
    <t>CELLxGENE:8b2e5453-faf7-46ea-9073-aea69b283cb7</t>
  </si>
  <si>
    <t>Urethral luminal epithelia are castration-insensitive cells of the proximal prostate</t>
  </si>
  <si>
    <t>尿道腔上皮是前列腺近端的不受去势影响的细胞</t>
  </si>
  <si>
    <t>10.1002/pros.24020</t>
  </si>
  <si>
    <t>peripheral zone of prostate|transition zone of prostate</t>
  </si>
  <si>
    <t>benign prostatic hyperplasia|normal</t>
  </si>
  <si>
    <t>https://datasets.cellxgene.cziscience.com/b11b78b1-af0f-45d2-986c-bfaaa96d1291.h5ad</t>
  </si>
  <si>
    <t>https://cellxgene.cziscience.com/collections/fbc5881f-1ee3-4ffe-8095-35e15e1a08fc</t>
  </si>
  <si>
    <t>e2a4a67f-6a18-431a-ab9c-6e77dd31cc80</t>
  </si>
  <si>
    <t>CELLxGENE:c3fe3c1e-5bf8-4678-b74a-79899243ad41</t>
  </si>
  <si>
    <t>A Cellular Anatomy of the Normal Adult Human Prostate and Prostatic Urethra</t>
  </si>
  <si>
    <t>正常成人前列腺和前列腺尿道的细胞解剖学</t>
  </si>
  <si>
    <t>10.1016/j.celrep.2018.11.086</t>
  </si>
  <si>
    <t>https://datasets.cellxgene.cziscience.com/13907b46-3c3c-4092-bb6d-7b3cdb0cf7a6.h5ad</t>
  </si>
  <si>
    <t>https://cellxgene.cziscience.com/collections/e2a4a67f-6a18-431a-ab9c-6e77dd31cc80</t>
  </si>
  <si>
    <t>prostate gland</t>
  </si>
  <si>
    <t>L2:Myelinating Schwann cell</t>
  </si>
  <si>
    <t>bdac7a53-fe34-4f04-8c46-f9bd5297c099</t>
  </si>
  <si>
    <t>CELLxGENE:881e0e6b-a185-45f1-9b56-81606e91e7ff</t>
  </si>
  <si>
    <t>Profiling of epithelial functional states and fibroblast phenotypes in hormone therapy-naïve localised prostate cancer</t>
  </si>
  <si>
    <t>激素治疗初治局限性前列腺癌中上皮功能状态与成纤维细胞表型的分析</t>
  </si>
  <si>
    <t>10.1101/2024.10.23.619925</t>
  </si>
  <si>
    <t>prostatic acinar adenocarcinoma</t>
  </si>
  <si>
    <t>glial cell|myelinating Schwann cell|prostate neuroendocrine cell</t>
  </si>
  <si>
    <t>https://datasets.cellxgene.cziscience.com/68b23fda-7191-46a5-8870-819feca3e66e.h5ad</t>
  </si>
  <si>
    <t>https://cellxgene.cziscience.com/collections/bdac7a53-fe34-4f04-8c46-f9bd5297c099</t>
  </si>
  <si>
    <t>islet of Langerhans</t>
  </si>
  <si>
    <t>58e85c2f-d52e-4c19-8393-b854b84d516e</t>
  </si>
  <si>
    <t>CELLxGENE:e51bae9a-c747-4b64-904a-4da7cda218ab</t>
  </si>
  <si>
    <t>A pancreatic islet scRNA-seq atlas from 48 non-diabetic, prediabetic and type 2 diabetic individuals of matched demographic and ethnic backgrounds</t>
  </si>
  <si>
    <t>来自48名非糖尿病、前驱糖尿病和2型糖尿病个体（具有匹配的人口统计学和种族背景）的胰岛scRNA-seq图谱</t>
  </si>
  <si>
    <t>10.1101/2025.01.17.633590</t>
  </si>
  <si>
    <t>normal|prediabetes syndrome|type 2 diabetes mellitus</t>
  </si>
  <si>
    <t>https://datasets.cellxgene.cziscience.com/3a4e48e2-9e80-4ea8-ac63-87fdf70f1a97.h5ad</t>
  </si>
  <si>
    <t>https://cellxgene.cziscience.com/collections/58e85c2f-d52e-4c19-8393-b854b84d516e</t>
  </si>
  <si>
    <t>L4:Type D enteroendocrine cell</t>
  </si>
  <si>
    <t>a238e9fa-2bdf-41df-8522-69046f99baff</t>
  </si>
  <si>
    <t>CELLxGENE:66d15835-5dc8-4e96-b0eb-f48971cb65e8</t>
  </si>
  <si>
    <t>Single-Cell Analysis of Human Pancreas Reveals Transcriptional Signatures of Aging and Somatic Mutation Patterns</t>
  </si>
  <si>
    <t>人类胰腺单细胞分析揭示衰老的转录特征与体细胞突变模式</t>
  </si>
  <si>
    <t>10.1016/j.cell.2017.09.004</t>
  </si>
  <si>
    <t>Smart-seq2</t>
  </si>
  <si>
    <t>type A enteroendocrine cell|type D enteroendocrine cell</t>
  </si>
  <si>
    <t>https://datasets.cellxgene.cziscience.com/08d4b9cf-3425-4413-a30f-8f97fe87b1e1.h5ad</t>
  </si>
  <si>
    <t>https://cellxgene.cziscience.com/collections/a238e9fa-2bdf-41df-8522-69046f99baff</t>
  </si>
  <si>
    <t>intercostal muscle</t>
  </si>
  <si>
    <t>L2;L3</t>
  </si>
  <si>
    <t>L2:Myelinating Schwann cell/Non-myelinating Schwann cell | L3:Perineurial cell</t>
  </si>
  <si>
    <t>2d40e6a7-f2fd-49ba-9db9-6b97e4c6dad5</t>
  </si>
  <si>
    <t>CELLxGENE:b3c9904b-2ffd-4038-8620-ee1c5b072e9c</t>
  </si>
  <si>
    <t>Human skeletal muscle ageing atlas</t>
  </si>
  <si>
    <t>人类骨骼肌衰老图谱</t>
  </si>
  <si>
    <t>10.1038/s43587-024-00613-3</t>
  </si>
  <si>
    <t>myelinating Schwann cell|non-myelinating Schwann cell|perineurial cell</t>
  </si>
  <si>
    <t>https://datasets.cellxgene.cziscience.com/5fd93c55-8047-48fb-905c-6ef2f7767483.h5ad</t>
  </si>
  <si>
    <t>https://cellxgene.cziscience.com/collections/2d40e6a7-f2fd-49ba-9db9-6b97e4c6dad5</t>
  </si>
  <si>
    <t>dental pulp</t>
  </si>
  <si>
    <t>bd3f7d45-43a0-4944-8327-62d6c89e2ae1</t>
  </si>
  <si>
    <t>CELLxGENE:bdd109f1-ca27-45dc-bb9f-473008449428</t>
  </si>
  <si>
    <t>Single-Cell Transcriptomic Profiling of Human Dental Pulp in Sound and Carious Teeth: A Pilot Study</t>
  </si>
  <si>
    <t>单细胞转录组学分析健康与龋齿人牙髓：一项初步研究</t>
  </si>
  <si>
    <t>10.3389/fdmed.2021.806294</t>
  </si>
  <si>
    <t>enamel caries|normal|pulpitis</t>
  </si>
  <si>
    <t>Schwann cell|glial cell</t>
  </si>
  <si>
    <t>https://datasets.cellxgene.cziscience.com/c184cf5a-2c44-4908-96d9-165dd5e07f07.h5ad</t>
  </si>
  <si>
    <t>https://cellxgene.cziscience.com/collections/bd3f7d45-43a0-4944-8327-62d6c89e2ae1</t>
  </si>
  <si>
    <t>liver</t>
  </si>
  <si>
    <t>a96133de-e951-4e2d-ace6-59db8b3bfb1d</t>
  </si>
  <si>
    <t>CELLxGENE:71513028-e4a0-4c62-a435-16598791690a</t>
  </si>
  <si>
    <t>HTAN/HTAPP Broad - Spatio-molecular dissection of the breast cancer metastatic microenvironment</t>
  </si>
  <si>
    <t>HTAN/HTAPP Broad - 乳腺癌转移微环境的时空分子解析</t>
  </si>
  <si>
    <t>10.1038/s41591-024-03215-z</t>
  </si>
  <si>
    <t>breast cancer</t>
  </si>
  <si>
    <t>https://datasets.cellxgene.cziscience.com/79a15872-c7b9-402b-8e0c-a9dd669c366b.h5ad</t>
  </si>
  <si>
    <t>https://cellxgene.cziscience.com/collections/a96133de-e951-4e2d-ace6-59db8b3bfb1d</t>
  </si>
  <si>
    <t>a261413d-835b-4f1e-ab0c-dada55ea6afd</t>
  </si>
  <si>
    <t>CELLxGENE:ec6ceff8-c8bc-488d-b6bf-30df2fa92169</t>
  </si>
  <si>
    <t>Identification of distinct tumor cell populations and key genetic mechanisms through single cell sequencing in hepatoblastoma</t>
  </si>
  <si>
    <t>通过单细胞测序鉴定肝母细胞瘤中不同的肿瘤细胞群体及关键遗传机制</t>
  </si>
  <si>
    <t>10.1038/s42003-021-02562-8</t>
  </si>
  <si>
    <t>blastoma|normal</t>
  </si>
  <si>
    <t>https://datasets.cellxgene.cziscience.com/d66d154b-5ff6-4b1a-b25e-376cf4784bb7.h5ad</t>
  </si>
  <si>
    <t>https://cellxgene.cziscience.com/collections/a261413d-835b-4f1e-ab0c-dada55ea6afd</t>
  </si>
  <si>
    <t>abdomen</t>
  </si>
  <si>
    <t>cee845e3-ec04-4781-9e2a-28734bb4f7ba</t>
  </si>
  <si>
    <t>CELLxGENE:afae4675-434d-4e89-b5ce-2854c9dc38a3</t>
  </si>
  <si>
    <t>HTAN CHOP - Longitudinal single-cell multiomic atlas of high-risk neuroblastoma reveals chemotherapy-induced tumor microenvironment rewiring</t>
  </si>
  <si>
    <t>HTAN CHOP - 高风险神经母细胞瘤的纵向单细胞多组学图谱揭示化疗诱导的肿瘤微环境重塑</t>
  </si>
  <si>
    <t>10.1038/s41588-025-02158-6</t>
  </si>
  <si>
    <t>abdomen|adrenal gland|cervical lymph node|chest|liver|lymph node|neck</t>
  </si>
  <si>
    <t>neuroblastoma</t>
  </si>
  <si>
    <t>https://datasets.cellxgene.cziscience.com/c477b5ea-3848-49f2-96a3-bbbcc95a3e14.h5ad</t>
  </si>
  <si>
    <t>https://cellxgene.cziscience.com/collections/cee845e3-ec04-4781-9e2a-28734bb4f7ba</t>
  </si>
  <si>
    <t>bone marrow</t>
  </si>
  <si>
    <t>793fdaec-5067-428a-a9db-ecefe135c945</t>
  </si>
  <si>
    <t>CELLxGENE:1a2e3350-28a8-4f49-b33c-5b67ceb001f6</t>
  </si>
  <si>
    <t>Blood and immune development in human fetal bone marrow and Down syndrome</t>
  </si>
  <si>
    <t>人类胎儿骨髓及唐氏综合征中的血液与免疫发育</t>
  </si>
  <si>
    <t>10.1038/s41586-021-03929-x</t>
  </si>
  <si>
    <t>10x 3' v2|10x 5' v1</t>
  </si>
  <si>
    <t>https://datasets.cellxgene.cziscience.com/47362a52-4a8c-48ae-8968-00d4e57d1dfc.h5ad</t>
  </si>
  <si>
    <t>https://cellxgene.cziscience.com/collections/793fdaec-5067-428a-a9db-ecefe135c945</t>
  </si>
  <si>
    <t>alveolar sac</t>
  </si>
  <si>
    <t>L2:Schwann cell | L4:Enteroendocrine cell/Neuroendocrine cell</t>
  </si>
  <si>
    <t>6282a908-f162-44a2-99a3-8a942e4271b2</t>
  </si>
  <si>
    <t>CELLxGENE:6725ee8e-ef5b-4e68-8901-61bd14a1fe73</t>
  </si>
  <si>
    <t>Integrated human endoderm-derived organoids cell atlas (HEOCA)</t>
  </si>
  <si>
    <t>整合人内胚层来源类器官细胞图谱（HEOCA）</t>
  </si>
  <si>
    <t>10.1038/s41588-025-02182-6</t>
  </si>
  <si>
    <t>alveolar sac|biliary system|bronchus|colon|common bile duct|corpus|duodenum|gallbladder|ileum|intestine|intrahepatic bile duct|liver|lung|lung epithelium|nasopharynx|pancreas|prostate gland|pyloric antrum|salivary gland epithelium|stomach|thyroid gland</t>
  </si>
  <si>
    <t>10x 3' v2|10x 3' v3|10x 5' v1|10x multiome|CEL-seq2|SORT-seq|Seq-Well S3|Smart-seq</t>
  </si>
  <si>
    <t>Schwann cell|enteroendocrine cell|neuroendocrine cell|neuron</t>
  </si>
  <si>
    <t>https://datasets.cellxgene.cziscience.com/40f7635e-7fcd-4ede-82e9-0d32753a6b82.h5ad</t>
  </si>
  <si>
    <t>https://cellxgene.cziscience.com/collections/6282a908-f162-44a2-99a3-8a942e4271b2</t>
  </si>
  <si>
    <t>anterior wall of left ventricle</t>
  </si>
  <si>
    <t>L2:Schwann cell | L4:Neuroendocrine cell</t>
  </si>
  <si>
    <t>a3ffde6c-7ad2-498a-903c-d58e732f7470</t>
  </si>
  <si>
    <t>CELLxGENE:4ed927e9-c099-49af-b8ce-a2652d069333</t>
  </si>
  <si>
    <t>Single-nucleus cross-tissue molecular reference maps to decipher disease gene function</t>
  </si>
  <si>
    <t>单细胞核跨组织分子参考图谱解析疾病基因功能</t>
  </si>
  <si>
    <t>10.1126/science.abl4290</t>
  </si>
  <si>
    <t>anterior wall of left ventricle|breast|esophagus muscularis mucosa|gastrocnemius|lingula of left lung|mucosa|prostate gland|skin of leg</t>
  </si>
  <si>
    <t>Schwann cell|neuroendocrine cell|neuron</t>
  </si>
  <si>
    <t>https://datasets.cellxgene.cziscience.com/9130af6d-b035-4c2c-868a-ef9a572270be.h5ad</t>
  </si>
  <si>
    <t>https://cellxgene.cziscience.com/collections/a3ffde6c-7ad2-498a-903c-d58e732f7470</t>
  </si>
  <si>
    <t>含泛neuron(肠,待裁定) ; 含泛glial(疑肠胶质,可能L2)</t>
  </si>
  <si>
    <t>b1a879f6-5638-48d3-8f64-f6592c1b1561</t>
  </si>
  <si>
    <t>CELLxGENE:fd072bc3-2dfb-46f8-b4e3-467cb3223182</t>
  </si>
  <si>
    <t>Mapping the developing human immune system across organs</t>
  </si>
  <si>
    <t>跨器官绘制发育中的人类免疫系统图谱</t>
  </si>
  <si>
    <t>10.1126/science.abo0510</t>
  </si>
  <si>
    <t>bone marrow|gut wall|kidney|liver|mesenteric lymph node|skin of body|spleen|thymus|yolk sac</t>
  </si>
  <si>
    <t>enteroendocrine cell|glial cell|neuron</t>
  </si>
  <si>
    <t>https://datasets.cellxgene.cziscience.com/df38503b-8dba-4800-957d-6613747924bb.h5ad</t>
  </si>
  <si>
    <t>https://cellxgene.cziscience.com/collections/b1a879f6-5638-48d3-8f64-f6592c1b1561</t>
  </si>
  <si>
    <t>Mus musculus</t>
  </si>
  <si>
    <t>03608e22-227a-4492-910b-3cb3f16f952e</t>
  </si>
  <si>
    <t>CELLxGENE:b6f472f1-a58d-43a7-a898-2d6822a0b2b2</t>
  </si>
  <si>
    <t>iPain atlas</t>
  </si>
  <si>
    <t>iPain图谱</t>
  </si>
  <si>
    <t>10.1038/s41467-024-52052-8</t>
  </si>
  <si>
    <t>normal|peripheral neuropathy</t>
  </si>
  <si>
    <t>10x 3' v2|10x 3' v3|10x multiome|Smart-seq2|Smart-seq3|inDrop</t>
  </si>
  <si>
    <t>nucleus|cell</t>
  </si>
  <si>
    <t>glial cell|sensory neuron of dorsal root ganglion</t>
  </si>
  <si>
    <t>https://datasets.cellxgene.cziscience.com/9e592a91-b992-4f54-9bbe-2f53dd3308da.h5ad</t>
  </si>
  <si>
    <t>https://cellxgene.cziscience.com/collections/03608e22-227a-4492-910b-3cb3f16f952e</t>
  </si>
  <si>
    <t>lumbar dorsal root ganglia L3-L5</t>
  </si>
  <si>
    <t>GEO补充(未规范化)</t>
  </si>
  <si>
    <t>NA</t>
  </si>
  <si>
    <t>GSE198485</t>
  </si>
  <si>
    <t>Single cell RNAseq Adult Mouse Lumbar Dorsal Root Ganglia (DRG)</t>
  </si>
  <si>
    <t>单细胞RNA测序成年小鼠腰椎背根神经节(DRG)</t>
  </si>
  <si>
    <t>PMID:37120427; PMID:37664243</t>
  </si>
  <si>
    <t>naive adult male mouse</t>
  </si>
  <si>
    <t>scRNA-seq</t>
  </si>
  <si>
    <t>not reported in GEO summary; processed TAR 114.2 Mb</t>
  </si>
  <si>
    <t>sensory neuron; non-neuronal DRG cells</t>
  </si>
  <si>
    <t>https://www.ncbi.nlm.nih.gov/geo/query/acc.cgi?acc=GSE198485</t>
  </si>
  <si>
    <t>sciatic nerve</t>
  </si>
  <si>
    <t>GSE182098</t>
  </si>
  <si>
    <t>Disentangling glial diversity in peripheral nerves at single-nuclei resolution</t>
  </si>
  <si>
    <t>单核分辨率下解析外周神经胶质细胞多样性</t>
  </si>
  <si>
    <t>PMID:35115729</t>
  </si>
  <si>
    <t>sciatic nerve; peroneal nerve; sural nerve; vagus nerve</t>
  </si>
  <si>
    <t>normal; ALS model comparison in associated study</t>
  </si>
  <si>
    <t>snRNA-seq; scRNA-seq</t>
  </si>
  <si>
    <t>not reported in GEO summary; 12 sc/sn libraries</t>
  </si>
  <si>
    <t>Schwann cell; myelinating Schwann cell; non-myelinating Schwann cell; stromal/immune nerve cells</t>
  </si>
  <si>
    <t>针灸作用相关;神经-免疫通讯;外周神经再生</t>
  </si>
  <si>
    <t>https://milbrandtlab.wustl.edu/glia-portal/</t>
  </si>
  <si>
    <t>L1;L2</t>
  </si>
  <si>
    <t>GSE149524</t>
  </si>
  <si>
    <t>Single Cell RNA-sequencing analysis of the juvenile and embryonic mouse enteric nervous system (ENS) of the small intestine</t>
  </si>
  <si>
    <t>幼年和胚胎小鼠小肠肠神经系统（ENS）的单细胞RNA测序分析</t>
  </si>
  <si>
    <t>PMID:33288908</t>
  </si>
  <si>
    <t>small intestine; enteric nervous system</t>
  </si>
  <si>
    <t>juvenile and embryonic development</t>
  </si>
  <si>
    <t>not reported in GEO summary; 4 samples</t>
  </si>
  <si>
    <t>enteric neuron; enteric glia; enteric progenitor</t>
  </si>
  <si>
    <t>https://www.ncbi.nlm.nih.gov/geo/query/acc.cgi?acc=GSE149524</t>
  </si>
  <si>
    <t>GSE156905</t>
  </si>
  <si>
    <t>scRNA-sequencing reveals new enteric nervous system roles for GDNF, NRTN, and TBX3</t>
  </si>
  <si>
    <t>scRNA-测序揭示GDNF、NRTN和TBX3在肠神经系统中的新作用</t>
  </si>
  <si>
    <t>juvenile/adolescent ENS development</t>
  </si>
  <si>
    <t>enteric neuron; enteric glia</t>
  </si>
  <si>
    <t>https://www.omicsdi.org/dataset/geo/GSE156905</t>
  </si>
  <si>
    <t>GSE184981</t>
  </si>
  <si>
    <t>Single-cell transcriptomic and epigenetic profiling of mouse myenteric plexus glial cells</t>
  </si>
  <si>
    <t>小鼠肌间神经丛胶质细胞的单细胞转录组与表观遗传学分析</t>
  </si>
  <si>
    <t>small intestine; myenteric plexus</t>
  </si>
  <si>
    <t>normal; glial neurogenesis / neurosphere culture</t>
  </si>
  <si>
    <t>scRNA-seq; snATAC-seq</t>
  </si>
  <si>
    <t>enteric glia; neurogenic glia</t>
  </si>
  <si>
    <t>3db5617e-9f12-4eb4-8416-94893a0d7c46</t>
  </si>
  <si>
    <t>CELLxGENE:a5ab6cde-46d4-4667-9b32-cfce54fa7a4e</t>
  </si>
  <si>
    <t>Epithelial zonation along the mammalian small intestine defines five discrete metabolic domains</t>
  </si>
  <si>
    <t>哺乳动物小肠沿线的上皮分区定义了五个离散的代谢区域</t>
  </si>
  <si>
    <t>10.1038/s41556-023-01337-z</t>
  </si>
  <si>
    <t>enteroendocrine cell of small intestine</t>
  </si>
  <si>
    <t>https://datasets.cellxgene.cziscience.com/3dfc4a1f-5683-4f2a-8a19-bedf27daa3e5.h5ad</t>
  </si>
  <si>
    <t>https://cellxgene.cziscience.com/collections/3db5617e-9f12-4eb4-8416-94893a0d7c46</t>
  </si>
  <si>
    <t>autopod skin</t>
  </si>
  <si>
    <t>f5af7a2f-ab4c-4728-829e-48efb9562105</t>
  </si>
  <si>
    <t>CELLxGENE:7be2824e-d62a-42ef-9169-084555c6df87</t>
  </si>
  <si>
    <t>Single cell RNA sequencing of paw skin from healthy and Col7a1 knockout (RDEB) mice</t>
  </si>
  <si>
    <t>健康与Col7a1基因敲除（RDEB）小鼠爪垫皮肤的单细胞RNA测序</t>
  </si>
  <si>
    <t>10.3389/fimmu.2023.1211505</t>
  </si>
  <si>
    <t>epidermolysis bullosa|normal</t>
  </si>
  <si>
    <t>https://datasets.cellxgene.cziscience.com/2965d8bb-05c5-40a1-bb03-c0b568cb1919.h5ad</t>
  </si>
  <si>
    <t>https://cellxgene.cziscience.com/collections/f5af7a2f-ab4c-4728-829e-48efb9562105</t>
  </si>
  <si>
    <t>613f5480-4957-4f80-b804-0e2b85ac454c</t>
  </si>
  <si>
    <t>CELLxGENE:731e0ae7-e600-470f-a6dc-8c35c28d6c3d</t>
  </si>
  <si>
    <t>Mouse perinatal heart maturation scRNA-seq</t>
  </si>
  <si>
    <t>小鼠围产期心脏成熟scRNA-seq</t>
  </si>
  <si>
    <t>10.1101/2024.03.05.583423</t>
  </si>
  <si>
    <t>Drop-seq</t>
  </si>
  <si>
    <t>https://datasets.cellxgene.cziscience.com/287a43aa-a1bd-41bd-925e-0ac43fdb1228.h5ad</t>
  </si>
  <si>
    <t>https://cellxgene.cziscience.com/collections/613f5480-4957-4f80-b804-0e2b85ac454c</t>
  </si>
  <si>
    <t>9c9d04c4-8899-417f-bb6f-6107dcadf14f</t>
  </si>
  <si>
    <t>CELLxGENE:9ac3d74d-1d94-4ff9-abf9-fe5abe4bd2a6</t>
  </si>
  <si>
    <t>Cellular and Spatial Drivers of Unresolved Injury and Functional Decline in the Human Kidney</t>
  </si>
  <si>
    <t>人类肾脏中未消退损伤与功能衰退的细胞及空间驱动因素</t>
  </si>
  <si>
    <t>10.1101/2025.09.26.678707</t>
  </si>
  <si>
    <t>acute kidney injury|normal</t>
  </si>
  <si>
    <t>10x 3' v2|10x multiome</t>
  </si>
  <si>
    <t>外周神经再生;伤口修复</t>
  </si>
  <si>
    <t>https://datasets.cellxgene.cziscience.com/19aab2ef-654a-4047-8f60-3529c041851d.h5ad</t>
  </si>
  <si>
    <t>https://cellxgene.cziscience.com/collections/9c9d04c4-8899-417f-bb6f-6107dcadf14f</t>
  </si>
  <si>
    <t>mammary gland</t>
  </si>
  <si>
    <t>bae2ee8c-b49c-41d0-9097-960d18a39e20</t>
  </si>
  <si>
    <t>CELLxGENE:6c6b4c47-096d-4084-97e7-714ee10c556c</t>
  </si>
  <si>
    <t>Time-resolved single-cell analysis of Brca1 associated mammary tumourigenesis reveals aberrant differentiation of luminal progenitors</t>
  </si>
  <si>
    <t>时间分辨单细胞分析揭示Brca1相关乳腺肿瘤发生中腔祖细胞的异常分化</t>
  </si>
  <si>
    <t>10.1038/s41467-021-21783-3</t>
  </si>
  <si>
    <t>neoplasm|normal</t>
  </si>
  <si>
    <t>https://datasets.cellxgene.cziscience.com/e05a1540-f925-412d-919c-8e0116c1b4be.h5ad</t>
  </si>
  <si>
    <t>https://cellxgene.cziscience.com/collections/bae2ee8c-b49c-41d0-9097-960d18a39e20</t>
  </si>
  <si>
    <t>296237e2-393d-4e31-b590-b03f74ac5070</t>
  </si>
  <si>
    <t>CELLxGENE:49e4ffcc-5444-406d-bdee-577127404ba8</t>
  </si>
  <si>
    <t>Mouse pancreatic islet scRNA-seq atlas across sexes, ages, and stress conditions including diabetes</t>
  </si>
  <si>
    <t>小鼠胰岛scRNA-seq图谱：涵盖性别、年龄及包括糖尿病在内的应激条件</t>
  </si>
  <si>
    <t>10.1038/s42255-023-00876-x</t>
  </si>
  <si>
    <t>islet of Langerhans|pancreas</t>
  </si>
  <si>
    <t>endocrine pancreas disorder|normal|type 1 diabetes mellitus|type 2 diabetes mellitus</t>
  </si>
  <si>
    <t>https://datasets.cellxgene.cziscience.com/2cf0b367-e31b-4ab3-8557-8f2c4ac2a31a.h5ad</t>
  </si>
  <si>
    <t>https://cellxgene.cziscience.com/collections/296237e2-393d-4e31-b590-b03f74ac5070</t>
  </si>
  <si>
    <t>gastrocnemius</t>
  </si>
  <si>
    <t>L2:Schwann cell | L3:Perineurial cell</t>
  </si>
  <si>
    <t>ef9f0fae-c12c-4f1a-bb67-63346c2ae0f1</t>
  </si>
  <si>
    <t>CELLxGENE:a48343a2-7570-49d0-8849-9db6c21dffcb</t>
  </si>
  <si>
    <t>Single Nuclei Atlas of Innervated and Denervated Mouse Muscle</t>
  </si>
  <si>
    <t>小鼠肌肉神经支配与去神经支配的单细胞核图谱</t>
  </si>
  <si>
    <t>10.1038/s41467-025-57487-1</t>
  </si>
  <si>
    <t>gastrocnemius|skeletal muscle tissue of tibialis anterior</t>
  </si>
  <si>
    <t>lesion of sciatic nerve|neuromuscular junction disease|normal|toxin-mediated infectious botulism</t>
  </si>
  <si>
    <t>Schwann cell|perineurial cell</t>
  </si>
  <si>
    <t>https://datasets.cellxgene.cziscience.com/f991c1a9-d2ff-488e-bd18-d75e0e1d2d7b.h5ad</t>
  </si>
  <si>
    <t>https://cellxgene.cziscience.com/collections/ef9f0fae-c12c-4f1a-bb67-63346c2ae0f1</t>
  </si>
  <si>
    <t>embryo</t>
  </si>
  <si>
    <t>L1:Efferent neuron/Enteric neuron/Parasympathetic neuron/Peripheral nervous system neuron/Sensory neuron (DRG)/Sympathetic neuron | L2:Schwann cell precursor/Myelinating Schwann cell/Satellite glial cell | L4:Intestinal enteroendocrine cell</t>
  </si>
  <si>
    <t>45d5d2c3-bc28-4814-aed6-0bb6f0e11c82</t>
  </si>
  <si>
    <t>CELLxGENE:dcfd4feb-18a3-4b30-81d7-1b0c544a8ab3</t>
  </si>
  <si>
    <t>A single-cell transcriptional timelapse of mouse embryonic development, from gastrula to pup</t>
  </si>
  <si>
    <t>10.1038/s41586-024-07069-w</t>
  </si>
  <si>
    <t>sci-RNA-seq3</t>
  </si>
  <si>
    <t>GABAergic neuron|Schwann cell precursor|cerebral cortex GABAergic interneuron|cranial motor neuron|efferent neuron|enteric neuron|glutamatergic neuron|intestinal enteroendocrine cell|microglial cell|myelinating Schwann cell|neuron|parasympathetic neuron|perineuronal satellite cell|peripheral nervous system neuron|retinal bipolar neuron|sensory neuron of dorsal root ganglion|spinal cord motor neuron|spiral ganglion neuron|sympathetic neuron|thalamic excitatory neuron</t>
  </si>
  <si>
    <t>https://datasets.cellxgene.cziscience.com/1bc30289-9565-4099-abf9-3326328c11ac.h5ad</t>
  </si>
  <si>
    <t>https://cellxgene.cziscience.com/collections/45d5d2c3-bc28-4814-aed6-0bb6f0e11c82</t>
  </si>
  <si>
    <t>adipose tissue</t>
  </si>
  <si>
    <t>L1:Cardiac neuron | L2:Schwann cell | L4:Neuroendocrine cell/Pulmonary neuroendocrine cell</t>
  </si>
  <si>
    <t>0b9d8a04-bb9d-44da-aa27-705bb65b54eb</t>
  </si>
  <si>
    <t>CELLxGENE:48b37086-25f7-4ecd-be66-f5bb378e3aea</t>
  </si>
  <si>
    <t>Tabula Muris Senis</t>
  </si>
  <si>
    <t>10.1038/s41586-020-2496-1</t>
  </si>
  <si>
    <t>adipose tissue|bladder lumen|bone marrow|heart|kidney|large intestine|limb muscle|liver|lung|mammary gland|pancreas|skin of body|spleen|thymus|tongue|trachea</t>
  </si>
  <si>
    <t>Schwann cell|cardiac neuron|neuroendocrine cell|pulmonary neuroendocrine cell</t>
  </si>
  <si>
    <t>https://datasets.cellxgene.cziscience.com/084058cc-4f17-43ce-b14e-1278df074013.h5ad</t>
  </si>
  <si>
    <t>https://cellxgene.cziscience.com/collections/0b9d8a04-bb9d-44da-aa27-705bb65b54eb</t>
  </si>
  <si>
    <t>24e324a1-b42d-4438-9bb5-cf5233fa90b0</t>
  </si>
  <si>
    <t>CELLxGENE:7b6bab5a-f9c4-4a56-9ed4-3b9079b14867</t>
  </si>
  <si>
    <t>Single cell transcriptomic analyses of the dynamic local and systemic response to cardiac injury in mice and zebrafish.</t>
  </si>
  <si>
    <t>小鼠和斑马鱼心脏损伤后动态局部及全身反应的单细胞转录组分析</t>
  </si>
  <si>
    <t>10.1038/s42003-024-07315-x</t>
  </si>
  <si>
    <t>blood|heart|kidney|liver|pancreas</t>
  </si>
  <si>
    <t>针灸作用相关;外周神经再生;伤口修复</t>
  </si>
  <si>
    <t>https://datasets.cellxgene.cziscience.com/3ae58a8e-a64e-44b5-94c6-af55c88e02d3.h5ad</t>
  </si>
  <si>
    <t>https://cellxgene.cziscience.com/collections/24e324a1-b42d-4438-9bb5-cf5233fa90b0</t>
  </si>
  <si>
    <t>Homo sapiens; Mus musculus</t>
  </si>
  <si>
    <t>SCP1038</t>
  </si>
  <si>
    <t>The human and mouse enteric nervous system at single cell resolution</t>
  </si>
  <si>
    <t>单细胞分辨率下的人类和小鼠肠神经系统</t>
  </si>
  <si>
    <t>DOI:10.1016/j.cell.2020.08.003</t>
  </si>
  <si>
    <t>colon; ileum; enteric nervous system/myenteric plexus</t>
  </si>
  <si>
    <t>normal adult/fetal/reference ENS</t>
  </si>
  <si>
    <t>586460 total cells in portal; includes neuron/glia subsets</t>
  </si>
  <si>
    <t>https://singlecell.broadinstitute.org/single_cell/study/SCP1038/the-human-and-mouse-enteric-nervous-system-at-single-cell-resolution</t>
  </si>
  <si>
    <t>SOX10;PLP1;S100B;GFRA3;FABP7</t>
  </si>
  <si>
    <t>SOX10;MPZ;PLP1;MBP;PMP22</t>
  </si>
  <si>
    <t>RBFOX3;TUBB3;SNAP25;PRPH;PHOX2B</t>
  </si>
  <si>
    <t>CHGA;CHGB;NEUROD1;PAX6;GCG</t>
  </si>
  <si>
    <t>CHGA;CHGB;ASCL1;SYP;NCAM1</t>
  </si>
  <si>
    <t>RBFOX3;TUBB3;PRPH;SCN10A;TRPV1;SOX10;PLP1</t>
  </si>
  <si>
    <t>SOX10;MPZ;PLP1;MBP;PMP22;CLDN14;ADAMTSL1;PMP2</t>
  </si>
  <si>
    <t>RBFOX3;TUBB3;PHOX2B;RET;SOX10;PLP1</t>
  </si>
  <si>
    <t>SOX10;PLP1;S100B;GFAP;FABP7;ELAVL4</t>
  </si>
  <si>
    <t>RBFOX3;TUBB3;SNAP25;PHOX2B;SOX10;PLP1;S100B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</si>
</sst>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7">
    <font>
      <sz val="11"/>
      <color theme="1"/>
      <name val="宋体"/>
      <family val="2"/>
      <scheme val="minor"/>
    </font>
    <font>
      <b/>
      <sz val="14"/>
      <color rgb="FF305496"/>
      <name val="微软雅黑"/>
      <family val="2"/>
      <charset val="134"/>
    </font>
    <font>
      <i/>
      <sz val="9"/>
      <color rgb="FF808080"/>
      <name val="微软雅黑"/>
      <family val="2"/>
      <charset val="134"/>
    </font>
    <font>
      <b/>
      <sz val="10"/>
      <color rgb="FFFFFFFF"/>
      <name val="微软雅黑"/>
      <family val="2"/>
      <charset val="134"/>
    </font>
    <font>
      <sz val="10"/>
      <name val="微软雅黑"/>
      <family val="2"/>
      <charset val="134"/>
    </font>
    <font>
      <b/>
      <sz val="10"/>
      <name val="微软雅黑"/>
      <family val="2"/>
      <charset val="134"/>
    </font>
    <font>
      <sz val="9"/>
      <name val="宋体"/>
      <family val="3"/>
      <charset val="134"/>
      <scheme val="minor"/>
    </font>
  </fonts>
  <fills count="19">
    <fill>
      <patternFill patternType="none"/>
    </fill>
    <fill>
      <patternFill patternType="gray125"/>
    </fill>
    <fill>
      <patternFill patternType="solid">
        <fgColor rgb="FF305496"/>
      </patternFill>
    </fill>
    <fill>
      <patternFill patternType="solid">
        <fgColor rgb="FFFFE5CC"/>
      </patternFill>
    </fill>
    <fill>
      <patternFill patternType="solid">
        <fgColor rgb="FFFFF2CC"/>
      </patternFill>
    </fill>
    <fill>
      <patternFill patternType="solid">
        <fgColor rgb="FFFCE4D6"/>
      </patternFill>
    </fill>
    <fill>
      <patternFill patternType="solid">
        <fgColor rgb="FFF8CBAD"/>
      </patternFill>
    </fill>
    <fill>
      <patternFill patternType="solid">
        <fgColor rgb="FFDDEBF7"/>
      </patternFill>
    </fill>
    <fill>
      <patternFill patternType="solid">
        <fgColor rgb="FFD6E4F0"/>
      </patternFill>
    </fill>
    <fill>
      <patternFill patternType="solid">
        <fgColor rgb="FFE6D5F2"/>
      </patternFill>
    </fill>
    <fill>
      <patternFill patternType="solid">
        <fgColor rgb="FFE2EFDA"/>
      </patternFill>
    </fill>
    <fill>
      <patternFill patternType="solid">
        <fgColor rgb="FFEDEDED"/>
      </patternFill>
    </fill>
    <fill>
      <patternFill patternType="solid">
        <fgColor rgb="FFFFF0F5"/>
      </patternFill>
    </fill>
    <fill>
      <patternFill patternType="solid">
        <fgColor rgb="FFFDE9D9"/>
      </patternFill>
    </fill>
    <fill>
      <patternFill patternType="solid">
        <fgColor rgb="FFDAEEF3"/>
      </patternFill>
    </fill>
    <fill>
      <patternFill patternType="solid">
        <fgColor rgb="FFE8F5E9"/>
      </patternFill>
    </fill>
    <fill>
      <patternFill patternType="solid">
        <fgColor rgb="FFD9D9D9"/>
      </patternFill>
    </fill>
    <fill>
      <patternFill patternType="solid">
        <fgColor rgb="FFD9E1F2"/>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3" fillId="2" borderId="1" xfId="0" applyFont="1" applyFill="1" applyBorder="1" applyAlignment="1">
      <alignment horizontal="center" vertical="center" wrapText="1"/>
    </xf>
    <xf numFmtId="0" fontId="4" fillId="3" borderId="1" xfId="0" applyFont="1" applyFill="1" applyBorder="1"/>
    <xf numFmtId="176" fontId="4" fillId="0" borderId="1" xfId="0" applyNumberFormat="1" applyFont="1" applyBorder="1" applyAlignment="1">
      <alignment horizontal="center"/>
    </xf>
    <xf numFmtId="3" fontId="5" fillId="0" borderId="1" xfId="0" applyNumberFormat="1" applyFont="1" applyBorder="1" applyAlignment="1">
      <alignment horizontal="center"/>
    </xf>
    <xf numFmtId="3" fontId="4" fillId="0" borderId="1" xfId="0" applyNumberFormat="1" applyFont="1" applyBorder="1" applyAlignment="1">
      <alignment horizontal="center"/>
    </xf>
    <xf numFmtId="0" fontId="4" fillId="4" borderId="1" xfId="0" applyFont="1" applyFill="1" applyBorder="1"/>
    <xf numFmtId="0" fontId="4" fillId="5" borderId="1" xfId="0" applyFont="1" applyFill="1" applyBorder="1"/>
    <xf numFmtId="0" fontId="4" fillId="6" borderId="1" xfId="0" applyFont="1" applyFill="1" applyBorder="1"/>
    <xf numFmtId="0" fontId="4" fillId="7" borderId="1" xfId="0" applyFont="1" applyFill="1" applyBorder="1"/>
    <xf numFmtId="0" fontId="4" fillId="8" borderId="1" xfId="0" applyFont="1" applyFill="1" applyBorder="1"/>
    <xf numFmtId="0" fontId="4" fillId="9" borderId="1" xfId="0" applyFont="1" applyFill="1" applyBorder="1"/>
    <xf numFmtId="0" fontId="4" fillId="10" borderId="1" xfId="0" applyFont="1" applyFill="1" applyBorder="1"/>
    <xf numFmtId="0" fontId="4" fillId="11" borderId="1" xfId="0" applyFont="1" applyFill="1" applyBorder="1"/>
    <xf numFmtId="0" fontId="4" fillId="12" borderId="1" xfId="0" applyFont="1" applyFill="1" applyBorder="1"/>
    <xf numFmtId="0" fontId="4" fillId="13" borderId="1" xfId="0" applyFont="1" applyFill="1" applyBorder="1"/>
    <xf numFmtId="0" fontId="4" fillId="14" borderId="1" xfId="0" applyFont="1" applyFill="1" applyBorder="1"/>
    <xf numFmtId="0" fontId="4" fillId="15" borderId="1" xfId="0" applyFont="1" applyFill="1" applyBorder="1"/>
    <xf numFmtId="0" fontId="4" fillId="16" borderId="1" xfId="0" applyFont="1" applyFill="1" applyBorder="1"/>
    <xf numFmtId="0" fontId="5" fillId="17" borderId="1" xfId="0" applyFont="1" applyFill="1" applyBorder="1"/>
    <xf numFmtId="3" fontId="5" fillId="17" borderId="1" xfId="0" applyNumberFormat="1" applyFont="1" applyFill="1" applyBorder="1" applyAlignment="1">
      <alignment horizontal="center"/>
    </xf>
    <xf numFmtId="0" fontId="4" fillId="0" borderId="1" xfId="0" applyFont="1" applyBorder="1" applyAlignment="1">
      <alignment vertical="center"/>
    </xf>
    <xf numFmtId="0" fontId="4" fillId="3" borderId="1" xfId="0" applyFont="1" applyFill="1" applyBorder="1" applyAlignment="1">
      <alignment vertical="center"/>
    </xf>
    <xf numFmtId="3" fontId="4" fillId="0" borderId="1" xfId="0" applyNumberFormat="1" applyFont="1" applyBorder="1" applyAlignment="1">
      <alignment vertical="center"/>
    </xf>
    <xf numFmtId="0" fontId="4" fillId="4" borderId="1" xfId="0" applyFont="1" applyFill="1" applyBorder="1" applyAlignment="1">
      <alignment vertical="center"/>
    </xf>
    <xf numFmtId="0" fontId="4" fillId="5" borderId="1" xfId="0" applyFont="1" applyFill="1" applyBorder="1" applyAlignment="1">
      <alignment vertical="center"/>
    </xf>
    <xf numFmtId="0" fontId="4" fillId="6" borderId="1" xfId="0" applyFont="1" applyFill="1" applyBorder="1" applyAlignment="1">
      <alignment vertical="center"/>
    </xf>
    <xf numFmtId="0" fontId="4" fillId="7" borderId="1" xfId="0" applyFont="1" applyFill="1" applyBorder="1" applyAlignment="1">
      <alignment vertical="center"/>
    </xf>
    <xf numFmtId="0" fontId="4" fillId="8" borderId="1" xfId="0" applyFont="1" applyFill="1" applyBorder="1" applyAlignment="1">
      <alignment vertical="center"/>
    </xf>
    <xf numFmtId="0" fontId="4" fillId="9" borderId="1" xfId="0" applyFont="1" applyFill="1" applyBorder="1" applyAlignment="1">
      <alignment vertical="center"/>
    </xf>
    <xf numFmtId="0" fontId="4" fillId="10" borderId="1" xfId="0" applyFont="1" applyFill="1" applyBorder="1" applyAlignment="1">
      <alignment vertical="center"/>
    </xf>
    <xf numFmtId="0" fontId="4" fillId="11" borderId="1" xfId="0" applyFont="1" applyFill="1" applyBorder="1" applyAlignment="1">
      <alignment vertical="center"/>
    </xf>
    <xf numFmtId="0" fontId="4" fillId="12" borderId="1" xfId="0" applyFont="1" applyFill="1" applyBorder="1" applyAlignment="1">
      <alignment vertical="center"/>
    </xf>
    <xf numFmtId="0" fontId="4" fillId="13" borderId="1" xfId="0" applyFont="1" applyFill="1" applyBorder="1" applyAlignment="1">
      <alignment vertical="center"/>
    </xf>
    <xf numFmtId="0" fontId="4" fillId="14" borderId="1" xfId="0" applyFont="1" applyFill="1" applyBorder="1" applyAlignment="1">
      <alignment vertical="center"/>
    </xf>
    <xf numFmtId="0" fontId="4" fillId="16" borderId="1" xfId="0" applyFont="1" applyFill="1" applyBorder="1" applyAlignment="1">
      <alignment vertical="center"/>
    </xf>
    <xf numFmtId="0" fontId="4" fillId="15" borderId="1" xfId="0" applyFont="1" applyFill="1" applyBorder="1" applyAlignment="1">
      <alignment vertical="center"/>
    </xf>
    <xf numFmtId="0" fontId="3" fillId="0" borderId="0" xfId="0" applyFont="1"/>
    <xf numFmtId="0" fontId="4" fillId="18" borderId="1" xfId="0" applyFont="1" applyFill="1" applyBorder="1" applyAlignment="1">
      <alignment vertical="center"/>
    </xf>
    <xf numFmtId="3" fontId="4" fillId="18" borderId="1" xfId="0" applyNumberFormat="1" applyFont="1" applyFill="1" applyBorder="1" applyAlignment="1">
      <alignment vertical="center"/>
    </xf>
    <xf numFmtId="0" fontId="0" fillId="18" borderId="0" xfId="0" applyFill="1"/>
    <xf numFmtId="0" fontId="2" fillId="0" borderId="0" xfId="0" applyFont="1" applyAlignment="1">
      <alignment vertical="top" wrapText="1"/>
    </xf>
    <xf numFmtId="0" fontId="0" fillId="0" borderId="0" xfId="0"/>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D5" sqref="D5"/>
    </sheetView>
  </sheetViews>
  <sheetFormatPr defaultRowHeight="14.4"/>
  <cols>
    <col min="1" max="1" width="16" customWidth="1"/>
    <col min="2" max="2" width="15" customWidth="1"/>
    <col min="3" max="3" width="13" customWidth="1"/>
    <col min="4" max="4" width="16" customWidth="1"/>
    <col min="5" max="5" width="12" customWidth="1"/>
    <col min="6" max="6" width="14" customWidth="1"/>
  </cols>
  <sheetData>
    <row r="1" spans="1:6" ht="20.399999999999999">
      <c r="A1" s="43" t="s">
        <v>0</v>
      </c>
      <c r="B1" s="42"/>
      <c r="C1" s="42"/>
      <c r="D1" s="42"/>
      <c r="E1" s="42"/>
      <c r="F1" s="42"/>
    </row>
    <row r="2" spans="1:6">
      <c r="A2" s="41" t="s">
        <v>1</v>
      </c>
      <c r="B2" s="42"/>
      <c r="C2" s="42"/>
      <c r="D2" s="42"/>
      <c r="E2" s="42"/>
      <c r="F2" s="42"/>
    </row>
    <row r="3" spans="1:6">
      <c r="A3" s="42"/>
      <c r="B3" s="42"/>
      <c r="C3" s="42"/>
      <c r="D3" s="42"/>
      <c r="E3" s="42"/>
      <c r="F3" s="42"/>
    </row>
    <row r="4" spans="1:6" ht="63" customHeight="1">
      <c r="A4" s="42"/>
      <c r="B4" s="42"/>
      <c r="C4" s="42"/>
      <c r="D4" s="42"/>
      <c r="E4" s="42"/>
      <c r="F4" s="42"/>
    </row>
    <row r="6" spans="1:6" ht="31.2">
      <c r="A6" s="1" t="s">
        <v>2</v>
      </c>
      <c r="B6" s="1" t="s">
        <v>3</v>
      </c>
      <c r="C6" s="1" t="s">
        <v>4</v>
      </c>
      <c r="D6" s="1" t="s">
        <v>5</v>
      </c>
      <c r="E6" s="1" t="s">
        <v>6</v>
      </c>
      <c r="F6" s="1" t="s">
        <v>7</v>
      </c>
    </row>
    <row r="7" spans="1:6" ht="16.2">
      <c r="A7" s="2" t="s">
        <v>8</v>
      </c>
      <c r="B7" s="3">
        <f>COUNTIFS(全部!$A$2:$A$89,"人 Human",全部!$B$2:$B$89,$A7)</f>
        <v>3</v>
      </c>
      <c r="C7" s="3">
        <f>COUNTIFS(全部!$A$2:$A$89,"鼠 Mouse",全部!$B$2:$B$89,$A7)</f>
        <v>3</v>
      </c>
      <c r="D7" s="3">
        <f>COUNTIFS(全部!$A$2:$A$89,"人鼠 Human;Mouse",全部!$B$2:$B$89,$A7)</f>
        <v>0</v>
      </c>
      <c r="E7" s="4">
        <f t="shared" ref="E7:E20" si="0">SUM(B7:D7)</f>
        <v>6</v>
      </c>
      <c r="F7" s="5">
        <f>SUMIFS(全部!$R$2:$R$89,全部!$B$2:$B$89,$A7)</f>
        <v>1180356</v>
      </c>
    </row>
    <row r="8" spans="1:6" ht="16.2">
      <c r="A8" s="6" t="s">
        <v>9</v>
      </c>
      <c r="B8" s="3">
        <f>COUNTIFS(全部!$A$2:$A$89,"人 Human",全部!$B$2:$B$89,$A8)</f>
        <v>22</v>
      </c>
      <c r="C8" s="3">
        <f>COUNTIFS(全部!$A$2:$A$89,"鼠 Mouse",全部!$B$2:$B$89,$A8)</f>
        <v>4</v>
      </c>
      <c r="D8" s="3">
        <f>COUNTIFS(全部!$A$2:$A$89,"人鼠 Human;Mouse",全部!$B$2:$B$89,$A8)</f>
        <v>1</v>
      </c>
      <c r="E8" s="4">
        <f t="shared" si="0"/>
        <v>27</v>
      </c>
      <c r="F8" s="5">
        <f>SUMIFS(全部!$R$2:$R$89,全部!$B$2:$B$89,$A8)</f>
        <v>9404410</v>
      </c>
    </row>
    <row r="9" spans="1:6" ht="16.2">
      <c r="A9" s="7" t="s">
        <v>10</v>
      </c>
      <c r="B9" s="3">
        <f>COUNTIFS(全部!$A$2:$A$89,"人 Human",全部!$B$2:$B$89,$A9)</f>
        <v>4</v>
      </c>
      <c r="C9" s="3">
        <f>COUNTIFS(全部!$A$2:$A$89,"鼠 Mouse",全部!$B$2:$B$89,$A9)</f>
        <v>1</v>
      </c>
      <c r="D9" s="3">
        <f>COUNTIFS(全部!$A$2:$A$89,"人鼠 Human;Mouse",全部!$B$2:$B$89,$A9)</f>
        <v>0</v>
      </c>
      <c r="E9" s="4">
        <f t="shared" si="0"/>
        <v>5</v>
      </c>
      <c r="F9" s="5">
        <f>SUMIFS(全部!$R$2:$R$89,全部!$B$2:$B$89,$A9)</f>
        <v>710597</v>
      </c>
    </row>
    <row r="10" spans="1:6" ht="16.2">
      <c r="A10" s="8" t="s">
        <v>11</v>
      </c>
      <c r="B10" s="3">
        <f>COUNTIFS(全部!$A$2:$A$89,"人 Human",全部!$B$2:$B$89,$A10)</f>
        <v>8</v>
      </c>
      <c r="C10" s="3">
        <f>COUNTIFS(全部!$A$2:$A$89,"鼠 Mouse",全部!$B$2:$B$89,$A10)</f>
        <v>1</v>
      </c>
      <c r="D10" s="3">
        <f>COUNTIFS(全部!$A$2:$A$89,"人鼠 Human;Mouse",全部!$B$2:$B$89,$A10)</f>
        <v>0</v>
      </c>
      <c r="E10" s="4">
        <f t="shared" si="0"/>
        <v>9</v>
      </c>
      <c r="F10" s="5">
        <f>SUMIFS(全部!$R$2:$R$89,全部!$B$2:$B$89,$A10)</f>
        <v>1868493</v>
      </c>
    </row>
    <row r="11" spans="1:6" ht="16.2">
      <c r="A11" s="9" t="s">
        <v>12</v>
      </c>
      <c r="B11" s="3">
        <f>COUNTIFS(全部!$A$2:$A$89,"人 Human",全部!$B$2:$B$89,$A11)</f>
        <v>17</v>
      </c>
      <c r="C11" s="3">
        <f>COUNTIFS(全部!$A$2:$A$89,"鼠 Mouse",全部!$B$2:$B$89,$A11)</f>
        <v>0</v>
      </c>
      <c r="D11" s="3">
        <f>COUNTIFS(全部!$A$2:$A$89,"人鼠 Human;Mouse",全部!$B$2:$B$89,$A11)</f>
        <v>0</v>
      </c>
      <c r="E11" s="4">
        <f t="shared" si="0"/>
        <v>17</v>
      </c>
      <c r="F11" s="5">
        <f>SUMIFS(全部!$R$2:$R$89,全部!$B$2:$B$89,$A11)</f>
        <v>4444196</v>
      </c>
    </row>
    <row r="12" spans="1:6" ht="16.2">
      <c r="A12" s="10" t="s">
        <v>13</v>
      </c>
      <c r="B12" s="3">
        <f>COUNTIFS(全部!$A$2:$A$89,"人 Human",全部!$B$2:$B$89,$A12)</f>
        <v>3</v>
      </c>
      <c r="C12" s="3">
        <f>COUNTIFS(全部!$A$2:$A$89,"鼠 Mouse",全部!$B$2:$B$89,$A12)</f>
        <v>1</v>
      </c>
      <c r="D12" s="3">
        <f>COUNTIFS(全部!$A$2:$A$89,"人鼠 Human;Mouse",全部!$B$2:$B$89,$A12)</f>
        <v>0</v>
      </c>
      <c r="E12" s="4">
        <f t="shared" si="0"/>
        <v>4</v>
      </c>
      <c r="F12" s="5">
        <f>SUMIFS(全部!$R$2:$R$89,全部!$B$2:$B$89,$A12)</f>
        <v>430619</v>
      </c>
    </row>
    <row r="13" spans="1:6" ht="16.2">
      <c r="A13" s="11" t="s">
        <v>14</v>
      </c>
      <c r="B13" s="3">
        <f>COUNTIFS(全部!$A$2:$A$89,"人 Human",全部!$B$2:$B$89,$A13)</f>
        <v>3</v>
      </c>
      <c r="C13" s="3">
        <f>COUNTIFS(全部!$A$2:$A$89,"鼠 Mouse",全部!$B$2:$B$89,$A13)</f>
        <v>1</v>
      </c>
      <c r="D13" s="3">
        <f>COUNTIFS(全部!$A$2:$A$89,"人鼠 Human;Mouse",全部!$B$2:$B$89,$A13)</f>
        <v>0</v>
      </c>
      <c r="E13" s="4">
        <f t="shared" si="0"/>
        <v>4</v>
      </c>
      <c r="F13" s="5">
        <f>SUMIFS(全部!$R$2:$R$89,全部!$B$2:$B$89,$A13)</f>
        <v>323767</v>
      </c>
    </row>
    <row r="14" spans="1:6" ht="16.2">
      <c r="A14" s="12" t="s">
        <v>15</v>
      </c>
      <c r="B14" s="3">
        <f>COUNTIFS(全部!$A$2:$A$89,"人 Human",全部!$B$2:$B$89,$A14)</f>
        <v>2</v>
      </c>
      <c r="C14" s="3">
        <f>COUNTIFS(全部!$A$2:$A$89,"鼠 Mouse",全部!$B$2:$B$89,$A14)</f>
        <v>1</v>
      </c>
      <c r="D14" s="3">
        <f>COUNTIFS(全部!$A$2:$A$89,"人鼠 Human;Mouse",全部!$B$2:$B$89,$A14)</f>
        <v>0</v>
      </c>
      <c r="E14" s="4">
        <f t="shared" si="0"/>
        <v>3</v>
      </c>
      <c r="F14" s="5">
        <f>SUMIFS(全部!$R$2:$R$89,全部!$B$2:$B$89,$A14)</f>
        <v>550218</v>
      </c>
    </row>
    <row r="15" spans="1:6" ht="16.2">
      <c r="A15" s="13" t="s">
        <v>16</v>
      </c>
      <c r="B15" s="3">
        <f>COUNTIFS(全部!$A$2:$A$89,"人 Human",全部!$B$2:$B$89,$A15)</f>
        <v>1</v>
      </c>
      <c r="C15" s="3">
        <f>COUNTIFS(全部!$A$2:$A$89,"鼠 Mouse",全部!$B$2:$B$89,$A15)</f>
        <v>1</v>
      </c>
      <c r="D15" s="3">
        <f>COUNTIFS(全部!$A$2:$A$89,"人鼠 Human;Mouse",全部!$B$2:$B$89,$A15)</f>
        <v>0</v>
      </c>
      <c r="E15" s="4">
        <f t="shared" si="0"/>
        <v>2</v>
      </c>
      <c r="F15" s="5">
        <f>SUMIFS(全部!$R$2:$R$89,全部!$B$2:$B$89,$A15)</f>
        <v>285849</v>
      </c>
    </row>
    <row r="16" spans="1:6" ht="16.2">
      <c r="A16" s="14" t="s">
        <v>17</v>
      </c>
      <c r="B16" s="3">
        <f>COUNTIFS(全部!$A$2:$A$89,"人 Human",全部!$B$2:$B$89,$A16)</f>
        <v>1</v>
      </c>
      <c r="C16" s="3">
        <f>COUNTIFS(全部!$A$2:$A$89,"鼠 Mouse",全部!$B$2:$B$89,$A16)</f>
        <v>0</v>
      </c>
      <c r="D16" s="3">
        <f>COUNTIFS(全部!$A$2:$A$89,"人鼠 Human;Mouse",全部!$B$2:$B$89,$A16)</f>
        <v>0</v>
      </c>
      <c r="E16" s="4">
        <f t="shared" si="0"/>
        <v>1</v>
      </c>
      <c r="F16" s="5">
        <f>SUMIFS(全部!$R$2:$R$89,全部!$B$2:$B$89,$A16)</f>
        <v>6560</v>
      </c>
    </row>
    <row r="17" spans="1:6" ht="16.2">
      <c r="A17" s="15" t="s">
        <v>18</v>
      </c>
      <c r="B17" s="3">
        <f>COUNTIFS(全部!$A$2:$A$89,"人 Human",全部!$B$2:$B$89,$A17)</f>
        <v>2</v>
      </c>
      <c r="C17" s="3">
        <f>COUNTIFS(全部!$A$2:$A$89,"鼠 Mouse",全部!$B$2:$B$89,$A17)</f>
        <v>0</v>
      </c>
      <c r="D17" s="3">
        <f>COUNTIFS(全部!$A$2:$A$89,"人鼠 Human;Mouse",全部!$B$2:$B$89,$A17)</f>
        <v>0</v>
      </c>
      <c r="E17" s="4">
        <f t="shared" si="0"/>
        <v>2</v>
      </c>
      <c r="F17" s="5">
        <f>SUMIFS(全部!$R$2:$R$89,全部!$B$2:$B$89,$A17)</f>
        <v>79368</v>
      </c>
    </row>
    <row r="18" spans="1:6" ht="16.2">
      <c r="A18" s="16" t="s">
        <v>19</v>
      </c>
      <c r="B18" s="3">
        <f>COUNTIFS(全部!$A$2:$A$89,"人 Human",全部!$B$2:$B$89,$A18)</f>
        <v>2</v>
      </c>
      <c r="C18" s="3">
        <f>COUNTIFS(全部!$A$2:$A$89,"鼠 Mouse",全部!$B$2:$B$89,$A18)</f>
        <v>0</v>
      </c>
      <c r="D18" s="3">
        <f>COUNTIFS(全部!$A$2:$A$89,"人鼠 Human;Mouse",全部!$B$2:$B$89,$A18)</f>
        <v>0</v>
      </c>
      <c r="E18" s="4">
        <f t="shared" si="0"/>
        <v>2</v>
      </c>
      <c r="F18" s="5">
        <f>SUMIFS(全部!$R$2:$R$89,全部!$B$2:$B$89,$A18)</f>
        <v>475847</v>
      </c>
    </row>
    <row r="19" spans="1:6" ht="16.2">
      <c r="A19" s="17" t="s">
        <v>20</v>
      </c>
      <c r="B19" s="3">
        <f>COUNTIFS(全部!$A$2:$A$89,"人 Human",全部!$B$2:$B$89,$A19)</f>
        <v>0</v>
      </c>
      <c r="C19" s="3">
        <f>COUNTIFS(全部!$A$2:$A$89,"鼠 Mouse",全部!$B$2:$B$89,$A19)</f>
        <v>1</v>
      </c>
      <c r="D19" s="3">
        <f>COUNTIFS(全部!$A$2:$A$89,"人鼠 Human;Mouse",全部!$B$2:$B$89,$A19)</f>
        <v>0</v>
      </c>
      <c r="E19" s="4">
        <f t="shared" si="0"/>
        <v>1</v>
      </c>
      <c r="F19" s="5">
        <f>SUMIFS(全部!$R$2:$R$89,全部!$B$2:$B$89,$A19)</f>
        <v>11441407</v>
      </c>
    </row>
    <row r="20" spans="1:6" ht="16.2">
      <c r="A20" s="18" t="s">
        <v>21</v>
      </c>
      <c r="B20" s="3">
        <f>COUNTIFS(全部!$A$2:$A$89,"人 Human",全部!$B$2:$B$89,$A20)</f>
        <v>3</v>
      </c>
      <c r="C20" s="3">
        <f>COUNTIFS(全部!$A$2:$A$89,"鼠 Mouse",全部!$B$2:$B$89,$A20)</f>
        <v>2</v>
      </c>
      <c r="D20" s="3">
        <f>COUNTIFS(全部!$A$2:$A$89,"人鼠 Human;Mouse",全部!$B$2:$B$89,$A20)</f>
        <v>0</v>
      </c>
      <c r="E20" s="4">
        <f t="shared" si="0"/>
        <v>5</v>
      </c>
      <c r="F20" s="5">
        <f>SUMIFS(全部!$R$2:$R$89,全部!$B$2:$B$89,$A20)</f>
        <v>2363522</v>
      </c>
    </row>
    <row r="21" spans="1:6" ht="16.2">
      <c r="A21" s="19" t="s">
        <v>22</v>
      </c>
      <c r="B21" s="20">
        <f>SUM(B7:B20)</f>
        <v>71</v>
      </c>
      <c r="C21" s="20">
        <f>SUM(C7:C20)</f>
        <v>16</v>
      </c>
      <c r="D21" s="20">
        <f>SUM(D7:D20)</f>
        <v>1</v>
      </c>
      <c r="E21" s="20">
        <f>SUM(E7:E20)</f>
        <v>88</v>
      </c>
      <c r="F21" s="20">
        <f>SUM(F7:F20)</f>
        <v>33565209</v>
      </c>
    </row>
  </sheetData>
  <mergeCells count="2">
    <mergeCell ref="A2:F4"/>
    <mergeCell ref="A1:F1"/>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9"/>
  <sheetViews>
    <sheetView workbookViewId="0">
      <pane xSplit="3" ySplit="1" topLeftCell="D2" activePane="bottomRight" state="frozen"/>
      <selection pane="topRight"/>
      <selection pane="bottomLeft"/>
      <selection pane="bottomRight"/>
    </sheetView>
  </sheetViews>
  <sheetFormatPr defaultRowHeight="14.4"/>
  <cols>
    <col min="1" max="1" width="15" customWidth="1"/>
    <col min="2" max="2" width="16" customWidth="1"/>
    <col min="3" max="3" width="22" customWidth="1"/>
    <col min="4" max="4" width="13" customWidth="1"/>
    <col min="5" max="5" width="10" customWidth="1"/>
    <col min="6" max="6" width="40" customWidth="1"/>
    <col min="7" max="7" width="14" customWidth="1"/>
    <col min="8" max="8" width="16" customWidth="1"/>
    <col min="9" max="9" width="24" customWidth="1"/>
    <col min="10" max="10" width="40" customWidth="1"/>
    <col min="11" max="11" width="30" customWidth="1"/>
    <col min="12" max="12" width="7" customWidth="1"/>
    <col min="13" max="13" width="22" customWidth="1"/>
    <col min="14" max="14" width="40" customWidth="1"/>
    <col min="15" max="15" width="30" customWidth="1"/>
    <col min="16" max="16" width="24" customWidth="1"/>
    <col min="17" max="17" width="9" customWidth="1"/>
    <col min="18" max="18" width="12" customWidth="1"/>
    <col min="19" max="19" width="34" customWidth="1"/>
    <col min="20" max="20" width="24" customWidth="1"/>
    <col min="21" max="23" width="22" customWidth="1"/>
    <col min="24" max="24" width="8" customWidth="1"/>
  </cols>
  <sheetData>
    <row r="1" spans="1:26" ht="31.2">
      <c r="A1" s="1" t="s">
        <v>23</v>
      </c>
      <c r="B1" s="1" t="s">
        <v>2</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37" t="s">
        <v>46</v>
      </c>
      <c r="Z1" t="s">
        <v>46</v>
      </c>
    </row>
    <row r="2" spans="1:26" ht="15">
      <c r="A2" s="21" t="s">
        <v>3</v>
      </c>
      <c r="B2" s="21" t="s">
        <v>8</v>
      </c>
      <c r="C2" s="21" t="s">
        <v>47</v>
      </c>
      <c r="D2" s="21" t="s">
        <v>48</v>
      </c>
      <c r="E2" s="21" t="s">
        <v>49</v>
      </c>
      <c r="F2" s="21" t="s">
        <v>50</v>
      </c>
      <c r="G2" s="21" t="s">
        <v>51</v>
      </c>
      <c r="H2" s="21" t="s">
        <v>52</v>
      </c>
      <c r="I2" s="21" t="s">
        <v>53</v>
      </c>
      <c r="J2" s="21" t="s">
        <v>54</v>
      </c>
      <c r="K2" s="21" t="s">
        <v>55</v>
      </c>
      <c r="L2" s="21" t="s">
        <v>56</v>
      </c>
      <c r="M2" s="21" t="s">
        <v>57</v>
      </c>
      <c r="N2" s="21" t="s">
        <v>47</v>
      </c>
      <c r="O2" s="21" t="s">
        <v>58</v>
      </c>
      <c r="P2" s="21" t="s">
        <v>59</v>
      </c>
      <c r="Q2" s="21" t="s">
        <v>60</v>
      </c>
      <c r="R2" s="23">
        <v>27092</v>
      </c>
      <c r="S2" s="21" t="s">
        <v>61</v>
      </c>
      <c r="T2" s="21"/>
      <c r="U2" s="21" t="s">
        <v>62</v>
      </c>
      <c r="V2" s="21" t="s">
        <v>63</v>
      </c>
      <c r="W2" s="21" t="s">
        <v>64</v>
      </c>
      <c r="X2" s="21">
        <v>1</v>
      </c>
      <c r="Y2" t="s">
        <v>65</v>
      </c>
      <c r="Z2" t="s">
        <v>66</v>
      </c>
    </row>
    <row r="3" spans="1:26" ht="15">
      <c r="A3" s="21" t="s">
        <v>3</v>
      </c>
      <c r="B3" s="21" t="s">
        <v>8</v>
      </c>
      <c r="C3" s="21" t="s">
        <v>67</v>
      </c>
      <c r="D3" s="21" t="s">
        <v>48</v>
      </c>
      <c r="E3" s="21" t="s">
        <v>68</v>
      </c>
      <c r="F3" s="21" t="s">
        <v>69</v>
      </c>
      <c r="G3" s="21"/>
      <c r="H3" s="21" t="s">
        <v>70</v>
      </c>
      <c r="I3" s="21" t="s">
        <v>71</v>
      </c>
      <c r="J3" s="21" t="s">
        <v>72</v>
      </c>
      <c r="K3" s="21" t="s">
        <v>73</v>
      </c>
      <c r="L3" s="21" t="s">
        <v>74</v>
      </c>
      <c r="M3" s="21" t="s">
        <v>75</v>
      </c>
      <c r="N3" s="21" t="s">
        <v>76</v>
      </c>
      <c r="O3" s="21" t="s">
        <v>77</v>
      </c>
      <c r="P3" s="21" t="s">
        <v>59</v>
      </c>
      <c r="Q3" s="21" t="s">
        <v>60</v>
      </c>
      <c r="R3" s="23">
        <v>959629</v>
      </c>
      <c r="S3" s="21" t="s">
        <v>78</v>
      </c>
      <c r="T3" s="21"/>
      <c r="U3" s="21" t="s">
        <v>79</v>
      </c>
      <c r="V3" s="21" t="s">
        <v>80</v>
      </c>
      <c r="W3" s="21" t="s">
        <v>81</v>
      </c>
      <c r="X3" s="21">
        <v>1</v>
      </c>
      <c r="Y3" t="s">
        <v>65</v>
      </c>
      <c r="Z3" t="s">
        <v>66</v>
      </c>
    </row>
    <row r="4" spans="1:26" ht="15">
      <c r="A4" s="21" t="s">
        <v>3</v>
      </c>
      <c r="B4" s="21" t="s">
        <v>8</v>
      </c>
      <c r="C4" s="21" t="s">
        <v>82</v>
      </c>
      <c r="D4" s="21" t="s">
        <v>48</v>
      </c>
      <c r="E4" s="21" t="s">
        <v>83</v>
      </c>
      <c r="F4" s="21" t="s">
        <v>84</v>
      </c>
      <c r="G4" s="21"/>
      <c r="H4" s="21" t="s">
        <v>85</v>
      </c>
      <c r="I4" s="21" t="s">
        <v>86</v>
      </c>
      <c r="J4" s="21" t="s">
        <v>87</v>
      </c>
      <c r="K4" s="21" t="s">
        <v>88</v>
      </c>
      <c r="L4" s="21" t="s">
        <v>74</v>
      </c>
      <c r="M4" s="21" t="s">
        <v>89</v>
      </c>
      <c r="N4" s="21" t="s">
        <v>82</v>
      </c>
      <c r="O4" s="21" t="s">
        <v>77</v>
      </c>
      <c r="P4" s="21" t="s">
        <v>90</v>
      </c>
      <c r="Q4" s="21" t="s">
        <v>60</v>
      </c>
      <c r="R4" s="23">
        <v>1837</v>
      </c>
      <c r="S4" s="21" t="s">
        <v>91</v>
      </c>
      <c r="T4" s="21"/>
      <c r="U4" s="21" t="s">
        <v>92</v>
      </c>
      <c r="V4" s="21" t="s">
        <v>93</v>
      </c>
      <c r="W4" s="21" t="s">
        <v>94</v>
      </c>
      <c r="X4" s="21">
        <v>1</v>
      </c>
      <c r="Y4" t="s">
        <v>65</v>
      </c>
      <c r="Z4" t="s">
        <v>66</v>
      </c>
    </row>
    <row r="5" spans="1:26" ht="15">
      <c r="A5" s="38" t="s">
        <v>3</v>
      </c>
      <c r="B5" s="38" t="s">
        <v>9</v>
      </c>
      <c r="C5" s="38" t="s">
        <v>95</v>
      </c>
      <c r="D5" s="38" t="s">
        <v>48</v>
      </c>
      <c r="E5" s="38" t="s">
        <v>96</v>
      </c>
      <c r="F5" s="38" t="s">
        <v>97</v>
      </c>
      <c r="G5" s="38"/>
      <c r="H5" s="38" t="s">
        <v>98</v>
      </c>
      <c r="I5" s="38" t="s">
        <v>99</v>
      </c>
      <c r="J5" s="38" t="s">
        <v>100</v>
      </c>
      <c r="K5" s="38" t="s">
        <v>101</v>
      </c>
      <c r="L5" s="38" t="s">
        <v>74</v>
      </c>
      <c r="M5" s="38" t="s">
        <v>102</v>
      </c>
      <c r="N5" s="38" t="s">
        <v>103</v>
      </c>
      <c r="O5" s="38" t="s">
        <v>104</v>
      </c>
      <c r="P5" s="38" t="s">
        <v>105</v>
      </c>
      <c r="Q5" s="38" t="s">
        <v>106</v>
      </c>
      <c r="R5" s="39">
        <v>1596200</v>
      </c>
      <c r="S5" s="38" t="s">
        <v>107</v>
      </c>
      <c r="T5" s="38"/>
      <c r="U5" s="38" t="s">
        <v>108</v>
      </c>
      <c r="V5" s="38" t="s">
        <v>109</v>
      </c>
      <c r="W5" s="38" t="s">
        <v>110</v>
      </c>
      <c r="X5" s="38">
        <v>11</v>
      </c>
      <c r="Y5" s="40" t="s">
        <v>65</v>
      </c>
      <c r="Z5" s="40" t="s">
        <v>111</v>
      </c>
    </row>
    <row r="6" spans="1:26" ht="15">
      <c r="A6" s="38" t="s">
        <v>3</v>
      </c>
      <c r="B6" s="38" t="s">
        <v>9</v>
      </c>
      <c r="C6" s="38" t="s">
        <v>95</v>
      </c>
      <c r="D6" s="38" t="s">
        <v>48</v>
      </c>
      <c r="E6" s="38" t="s">
        <v>112</v>
      </c>
      <c r="F6" s="38" t="s">
        <v>113</v>
      </c>
      <c r="G6" s="38" t="s">
        <v>114</v>
      </c>
      <c r="H6" s="38" t="s">
        <v>115</v>
      </c>
      <c r="I6" s="38" t="s">
        <v>116</v>
      </c>
      <c r="J6" s="38" t="s">
        <v>117</v>
      </c>
      <c r="K6" s="38" t="s">
        <v>118</v>
      </c>
      <c r="L6" s="38" t="s">
        <v>119</v>
      </c>
      <c r="M6" s="38" t="s">
        <v>120</v>
      </c>
      <c r="N6" s="38" t="s">
        <v>121</v>
      </c>
      <c r="O6" s="38" t="s">
        <v>122</v>
      </c>
      <c r="P6" s="38" t="s">
        <v>123</v>
      </c>
      <c r="Q6" s="38" t="s">
        <v>106</v>
      </c>
      <c r="R6" s="39">
        <v>428469</v>
      </c>
      <c r="S6" s="38" t="s">
        <v>124</v>
      </c>
      <c r="T6" s="38"/>
      <c r="U6" s="38" t="s">
        <v>125</v>
      </c>
      <c r="V6" s="38" t="s">
        <v>126</v>
      </c>
      <c r="W6" s="38" t="s">
        <v>127</v>
      </c>
      <c r="X6" s="38">
        <v>1</v>
      </c>
      <c r="Y6" s="40" t="s">
        <v>65</v>
      </c>
      <c r="Z6" s="40" t="s">
        <v>111</v>
      </c>
    </row>
    <row r="7" spans="1:26" ht="15">
      <c r="A7" s="38" t="s">
        <v>3</v>
      </c>
      <c r="B7" s="38" t="s">
        <v>9</v>
      </c>
      <c r="C7" s="38" t="s">
        <v>95</v>
      </c>
      <c r="D7" s="38" t="s">
        <v>48</v>
      </c>
      <c r="E7" s="38" t="s">
        <v>128</v>
      </c>
      <c r="F7" s="38" t="s">
        <v>129</v>
      </c>
      <c r="G7" s="38"/>
      <c r="H7" s="38" t="s">
        <v>130</v>
      </c>
      <c r="I7" s="38" t="s">
        <v>131</v>
      </c>
      <c r="J7" s="38" t="s">
        <v>132</v>
      </c>
      <c r="K7" s="38" t="s">
        <v>133</v>
      </c>
      <c r="L7" s="38" t="s">
        <v>134</v>
      </c>
      <c r="M7" s="38" t="s">
        <v>135</v>
      </c>
      <c r="N7" s="38" t="s">
        <v>136</v>
      </c>
      <c r="O7" s="38" t="s">
        <v>137</v>
      </c>
      <c r="P7" s="38" t="s">
        <v>138</v>
      </c>
      <c r="Q7" s="38" t="s">
        <v>106</v>
      </c>
      <c r="R7" s="39">
        <v>3790266</v>
      </c>
      <c r="S7" s="38" t="s">
        <v>139</v>
      </c>
      <c r="T7" s="38"/>
      <c r="U7" s="38" t="s">
        <v>140</v>
      </c>
      <c r="V7" s="38" t="s">
        <v>141</v>
      </c>
      <c r="W7" s="38" t="s">
        <v>142</v>
      </c>
      <c r="X7" s="38">
        <v>1</v>
      </c>
      <c r="Y7" s="40" t="s">
        <v>65</v>
      </c>
      <c r="Z7" s="40" t="s">
        <v>111</v>
      </c>
    </row>
    <row r="8" spans="1:26" ht="15">
      <c r="A8" s="38" t="s">
        <v>3</v>
      </c>
      <c r="B8" s="38" t="s">
        <v>9</v>
      </c>
      <c r="C8" s="38" t="s">
        <v>95</v>
      </c>
      <c r="D8" s="38" t="s">
        <v>48</v>
      </c>
      <c r="E8" s="38" t="s">
        <v>143</v>
      </c>
      <c r="F8" s="38" t="s">
        <v>144</v>
      </c>
      <c r="G8" s="38"/>
      <c r="H8" s="38" t="s">
        <v>145</v>
      </c>
      <c r="I8" s="38" t="s">
        <v>146</v>
      </c>
      <c r="J8" s="38" t="s">
        <v>147</v>
      </c>
      <c r="K8" s="38" t="s">
        <v>148</v>
      </c>
      <c r="L8" s="38" t="s">
        <v>149</v>
      </c>
      <c r="M8" s="38" t="s">
        <v>150</v>
      </c>
      <c r="N8" s="38" t="s">
        <v>151</v>
      </c>
      <c r="O8" s="38" t="s">
        <v>77</v>
      </c>
      <c r="P8" s="38" t="s">
        <v>59</v>
      </c>
      <c r="Q8" s="38" t="s">
        <v>106</v>
      </c>
      <c r="R8" s="39">
        <v>12590</v>
      </c>
      <c r="S8" s="38" t="s">
        <v>152</v>
      </c>
      <c r="T8" s="38"/>
      <c r="U8" s="38" t="s">
        <v>153</v>
      </c>
      <c r="V8" s="38" t="s">
        <v>154</v>
      </c>
      <c r="W8" s="38" t="s">
        <v>155</v>
      </c>
      <c r="X8" s="38">
        <v>1</v>
      </c>
      <c r="Y8" s="40" t="s">
        <v>65</v>
      </c>
      <c r="Z8" s="40" t="s">
        <v>111</v>
      </c>
    </row>
    <row r="9" spans="1:26" ht="15">
      <c r="A9" s="38" t="s">
        <v>3</v>
      </c>
      <c r="B9" s="38" t="s">
        <v>9</v>
      </c>
      <c r="C9" s="38" t="s">
        <v>95</v>
      </c>
      <c r="D9" s="38" t="s">
        <v>48</v>
      </c>
      <c r="E9" s="38" t="s">
        <v>143</v>
      </c>
      <c r="F9" s="38" t="s">
        <v>156</v>
      </c>
      <c r="G9" s="38" t="s">
        <v>114</v>
      </c>
      <c r="H9" s="38" t="s">
        <v>157</v>
      </c>
      <c r="I9" s="38" t="s">
        <v>158</v>
      </c>
      <c r="J9" s="38" t="s">
        <v>159</v>
      </c>
      <c r="K9" s="38" t="s">
        <v>160</v>
      </c>
      <c r="L9" s="38" t="s">
        <v>56</v>
      </c>
      <c r="M9" s="38" t="s">
        <v>161</v>
      </c>
      <c r="N9" s="38" t="s">
        <v>162</v>
      </c>
      <c r="O9" s="38" t="s">
        <v>77</v>
      </c>
      <c r="P9" s="38" t="s">
        <v>163</v>
      </c>
      <c r="Q9" s="38" t="s">
        <v>106</v>
      </c>
      <c r="R9" s="39">
        <v>263275</v>
      </c>
      <c r="S9" s="38" t="s">
        <v>164</v>
      </c>
      <c r="T9" s="38"/>
      <c r="U9" s="38" t="s">
        <v>153</v>
      </c>
      <c r="V9" s="38" t="s">
        <v>165</v>
      </c>
      <c r="W9" s="38" t="s">
        <v>166</v>
      </c>
      <c r="X9" s="38">
        <v>2</v>
      </c>
      <c r="Y9" s="40" t="s">
        <v>65</v>
      </c>
      <c r="Z9" s="40" t="s">
        <v>111</v>
      </c>
    </row>
    <row r="10" spans="1:26" ht="15">
      <c r="A10" s="38" t="s">
        <v>3</v>
      </c>
      <c r="B10" s="38" t="s">
        <v>9</v>
      </c>
      <c r="C10" s="38" t="s">
        <v>95</v>
      </c>
      <c r="D10" s="38" t="s">
        <v>48</v>
      </c>
      <c r="E10" s="38" t="s">
        <v>143</v>
      </c>
      <c r="F10" s="38" t="s">
        <v>167</v>
      </c>
      <c r="G10" s="38"/>
      <c r="H10" s="38" t="s">
        <v>168</v>
      </c>
      <c r="I10" s="38" t="s">
        <v>169</v>
      </c>
      <c r="J10" s="38" t="s">
        <v>170</v>
      </c>
      <c r="K10" s="38" t="s">
        <v>171</v>
      </c>
      <c r="L10" s="38" t="s">
        <v>119</v>
      </c>
      <c r="M10" s="38" t="s">
        <v>172</v>
      </c>
      <c r="N10" s="38" t="s">
        <v>173</v>
      </c>
      <c r="O10" s="38" t="s">
        <v>174</v>
      </c>
      <c r="P10" s="38" t="s">
        <v>175</v>
      </c>
      <c r="Q10" s="38" t="s">
        <v>106</v>
      </c>
      <c r="R10" s="39">
        <v>65088</v>
      </c>
      <c r="S10" s="38" t="s">
        <v>176</v>
      </c>
      <c r="T10" s="38"/>
      <c r="U10" s="38" t="s">
        <v>153</v>
      </c>
      <c r="V10" s="38" t="s">
        <v>177</v>
      </c>
      <c r="W10" s="38" t="s">
        <v>178</v>
      </c>
      <c r="X10" s="38">
        <v>2</v>
      </c>
      <c r="Y10" s="40" t="s">
        <v>65</v>
      </c>
      <c r="Z10" s="40" t="s">
        <v>111</v>
      </c>
    </row>
    <row r="11" spans="1:26" ht="15">
      <c r="A11" s="38" t="s">
        <v>3</v>
      </c>
      <c r="B11" s="38" t="s">
        <v>9</v>
      </c>
      <c r="C11" s="38" t="s">
        <v>179</v>
      </c>
      <c r="D11" s="38" t="s">
        <v>48</v>
      </c>
      <c r="E11" s="38" t="s">
        <v>143</v>
      </c>
      <c r="F11" s="38" t="s">
        <v>180</v>
      </c>
      <c r="G11" s="38" t="s">
        <v>114</v>
      </c>
      <c r="H11" s="38" t="s">
        <v>181</v>
      </c>
      <c r="I11" s="38" t="s">
        <v>182</v>
      </c>
      <c r="J11" s="38" t="s">
        <v>183</v>
      </c>
      <c r="K11" s="38" t="s">
        <v>184</v>
      </c>
      <c r="L11" s="38" t="s">
        <v>134</v>
      </c>
      <c r="M11" s="38" t="s">
        <v>185</v>
      </c>
      <c r="N11" s="38" t="s">
        <v>186</v>
      </c>
      <c r="O11" s="38" t="s">
        <v>122</v>
      </c>
      <c r="P11" s="38" t="s">
        <v>59</v>
      </c>
      <c r="Q11" s="38" t="s">
        <v>106</v>
      </c>
      <c r="R11" s="39">
        <v>1852681</v>
      </c>
      <c r="S11" s="38" t="s">
        <v>187</v>
      </c>
      <c r="T11" s="38"/>
      <c r="U11" s="38" t="s">
        <v>62</v>
      </c>
      <c r="V11" s="38" t="s">
        <v>188</v>
      </c>
      <c r="W11" s="38" t="s">
        <v>189</v>
      </c>
      <c r="X11" s="38">
        <v>1</v>
      </c>
      <c r="Y11" s="40" t="s">
        <v>65</v>
      </c>
      <c r="Z11" s="40" t="s">
        <v>111</v>
      </c>
    </row>
    <row r="12" spans="1:26" ht="15">
      <c r="A12" s="38" t="s">
        <v>3</v>
      </c>
      <c r="B12" s="38" t="s">
        <v>9</v>
      </c>
      <c r="C12" s="38" t="s">
        <v>190</v>
      </c>
      <c r="D12" s="38" t="s">
        <v>48</v>
      </c>
      <c r="E12" s="38" t="s">
        <v>112</v>
      </c>
      <c r="F12" s="38" t="s">
        <v>191</v>
      </c>
      <c r="G12" s="38" t="s">
        <v>114</v>
      </c>
      <c r="H12" s="38" t="s">
        <v>192</v>
      </c>
      <c r="I12" s="38" t="s">
        <v>193</v>
      </c>
      <c r="J12" s="38" t="s">
        <v>194</v>
      </c>
      <c r="K12" s="38" t="s">
        <v>195</v>
      </c>
      <c r="L12" s="38" t="s">
        <v>149</v>
      </c>
      <c r="M12" s="38" t="s">
        <v>196</v>
      </c>
      <c r="N12" s="38" t="s">
        <v>197</v>
      </c>
      <c r="O12" s="38" t="s">
        <v>77</v>
      </c>
      <c r="P12" s="38" t="s">
        <v>90</v>
      </c>
      <c r="Q12" s="38" t="s">
        <v>106</v>
      </c>
      <c r="R12" s="39">
        <v>155232</v>
      </c>
      <c r="S12" s="38" t="s">
        <v>198</v>
      </c>
      <c r="T12" s="38"/>
      <c r="U12" s="38" t="s">
        <v>153</v>
      </c>
      <c r="V12" s="38" t="s">
        <v>199</v>
      </c>
      <c r="W12" s="38" t="s">
        <v>200</v>
      </c>
      <c r="X12" s="38">
        <v>2</v>
      </c>
      <c r="Y12" s="40" t="s">
        <v>65</v>
      </c>
      <c r="Z12" s="40" t="s">
        <v>111</v>
      </c>
    </row>
    <row r="13" spans="1:26" ht="15">
      <c r="A13" s="38" t="s">
        <v>3</v>
      </c>
      <c r="B13" s="38" t="s">
        <v>9</v>
      </c>
      <c r="C13" s="38" t="s">
        <v>190</v>
      </c>
      <c r="D13" s="38" t="s">
        <v>48</v>
      </c>
      <c r="E13" s="38" t="s">
        <v>143</v>
      </c>
      <c r="F13" s="38" t="s">
        <v>201</v>
      </c>
      <c r="G13" s="38"/>
      <c r="H13" s="38" t="s">
        <v>202</v>
      </c>
      <c r="I13" s="38" t="s">
        <v>203</v>
      </c>
      <c r="J13" s="38" t="s">
        <v>204</v>
      </c>
      <c r="K13" s="38" t="s">
        <v>205</v>
      </c>
      <c r="L13" s="38" t="s">
        <v>149</v>
      </c>
      <c r="M13" s="38" t="s">
        <v>206</v>
      </c>
      <c r="N13" s="38" t="s">
        <v>207</v>
      </c>
      <c r="O13" s="38" t="s">
        <v>208</v>
      </c>
      <c r="P13" s="38" t="s">
        <v>209</v>
      </c>
      <c r="Q13" s="38" t="s">
        <v>106</v>
      </c>
      <c r="R13" s="39">
        <v>293823</v>
      </c>
      <c r="S13" s="38" t="s">
        <v>210</v>
      </c>
      <c r="T13" s="38"/>
      <c r="U13" s="38" t="s">
        <v>211</v>
      </c>
      <c r="V13" s="38" t="s">
        <v>212</v>
      </c>
      <c r="W13" s="38" t="s">
        <v>213</v>
      </c>
      <c r="X13" s="38">
        <v>3</v>
      </c>
      <c r="Y13" s="40" t="s">
        <v>65</v>
      </c>
      <c r="Z13" s="40" t="s">
        <v>111</v>
      </c>
    </row>
    <row r="14" spans="1:26" ht="15">
      <c r="A14" s="38" t="s">
        <v>3</v>
      </c>
      <c r="B14" s="38" t="s">
        <v>9</v>
      </c>
      <c r="C14" s="38" t="s">
        <v>214</v>
      </c>
      <c r="D14" s="38" t="s">
        <v>48</v>
      </c>
      <c r="E14" s="38" t="s">
        <v>143</v>
      </c>
      <c r="F14" s="38" t="s">
        <v>215</v>
      </c>
      <c r="G14" s="38"/>
      <c r="H14" s="38" t="s">
        <v>216</v>
      </c>
      <c r="I14" s="38" t="s">
        <v>217</v>
      </c>
      <c r="J14" s="38" t="s">
        <v>218</v>
      </c>
      <c r="K14" s="38" t="s">
        <v>219</v>
      </c>
      <c r="L14" s="38" t="s">
        <v>74</v>
      </c>
      <c r="M14" s="38" t="s">
        <v>220</v>
      </c>
      <c r="N14" s="38" t="s">
        <v>221</v>
      </c>
      <c r="O14" s="38" t="s">
        <v>222</v>
      </c>
      <c r="P14" s="38" t="s">
        <v>59</v>
      </c>
      <c r="Q14" s="38" t="s">
        <v>106</v>
      </c>
      <c r="R14" s="39">
        <v>47107</v>
      </c>
      <c r="S14" s="38" t="s">
        <v>223</v>
      </c>
      <c r="T14" s="38"/>
      <c r="U14" s="38" t="s">
        <v>211</v>
      </c>
      <c r="V14" s="38" t="s">
        <v>224</v>
      </c>
      <c r="W14" s="38" t="s">
        <v>225</v>
      </c>
      <c r="X14" s="38">
        <v>3</v>
      </c>
      <c r="Y14" s="40" t="s">
        <v>65</v>
      </c>
      <c r="Z14" s="40" t="s">
        <v>111</v>
      </c>
    </row>
    <row r="15" spans="1:26" ht="15">
      <c r="A15" s="38" t="s">
        <v>3</v>
      </c>
      <c r="B15" s="38" t="s">
        <v>9</v>
      </c>
      <c r="C15" s="38" t="s">
        <v>226</v>
      </c>
      <c r="D15" s="38" t="s">
        <v>48</v>
      </c>
      <c r="E15" s="38" t="s">
        <v>143</v>
      </c>
      <c r="F15" s="38" t="s">
        <v>156</v>
      </c>
      <c r="G15" s="38"/>
      <c r="H15" s="38" t="s">
        <v>227</v>
      </c>
      <c r="I15" s="38" t="s">
        <v>228</v>
      </c>
      <c r="J15" s="38" t="s">
        <v>229</v>
      </c>
      <c r="K15" s="38" t="s">
        <v>230</v>
      </c>
      <c r="L15" s="38" t="s">
        <v>149</v>
      </c>
      <c r="M15" s="38" t="s">
        <v>231</v>
      </c>
      <c r="N15" s="38" t="s">
        <v>232</v>
      </c>
      <c r="O15" s="38" t="s">
        <v>77</v>
      </c>
      <c r="P15" s="38" t="s">
        <v>233</v>
      </c>
      <c r="Q15" s="38" t="s">
        <v>106</v>
      </c>
      <c r="R15" s="39">
        <v>34772</v>
      </c>
      <c r="S15" s="38" t="s">
        <v>234</v>
      </c>
      <c r="T15" s="38"/>
      <c r="U15" s="38" t="s">
        <v>108</v>
      </c>
      <c r="V15" s="38" t="s">
        <v>235</v>
      </c>
      <c r="W15" s="38" t="s">
        <v>236</v>
      </c>
      <c r="X15" s="38">
        <v>1</v>
      </c>
      <c r="Y15" s="40" t="s">
        <v>65</v>
      </c>
      <c r="Z15" s="40" t="s">
        <v>111</v>
      </c>
    </row>
    <row r="16" spans="1:26" ht="15">
      <c r="A16" s="38" t="s">
        <v>3</v>
      </c>
      <c r="B16" s="38" t="s">
        <v>9</v>
      </c>
      <c r="C16" s="38" t="s">
        <v>237</v>
      </c>
      <c r="D16" s="38" t="s">
        <v>48</v>
      </c>
      <c r="E16" s="38" t="s">
        <v>112</v>
      </c>
      <c r="F16" s="38" t="s">
        <v>238</v>
      </c>
      <c r="G16" s="38"/>
      <c r="H16" s="38" t="s">
        <v>239</v>
      </c>
      <c r="I16" s="38" t="s">
        <v>240</v>
      </c>
      <c r="J16" s="38" t="s">
        <v>241</v>
      </c>
      <c r="K16" s="38" t="s">
        <v>242</v>
      </c>
      <c r="L16" s="38" t="s">
        <v>119</v>
      </c>
      <c r="M16" s="38" t="s">
        <v>243</v>
      </c>
      <c r="N16" s="38" t="s">
        <v>244</v>
      </c>
      <c r="O16" s="38" t="s">
        <v>77</v>
      </c>
      <c r="P16" s="38" t="s">
        <v>245</v>
      </c>
      <c r="Q16" s="38" t="s">
        <v>106</v>
      </c>
      <c r="R16" s="39">
        <v>62849</v>
      </c>
      <c r="S16" s="38" t="s">
        <v>246</v>
      </c>
      <c r="T16" s="38"/>
      <c r="U16" s="38" t="s">
        <v>62</v>
      </c>
      <c r="V16" s="38" t="s">
        <v>247</v>
      </c>
      <c r="W16" s="38" t="s">
        <v>248</v>
      </c>
      <c r="X16" s="38">
        <v>2</v>
      </c>
      <c r="Y16" s="40" t="s">
        <v>65</v>
      </c>
      <c r="Z16" s="40" t="s">
        <v>111</v>
      </c>
    </row>
    <row r="17" spans="1:26" ht="15">
      <c r="A17" s="38" t="s">
        <v>3</v>
      </c>
      <c r="B17" s="38" t="s">
        <v>9</v>
      </c>
      <c r="C17" s="38" t="s">
        <v>237</v>
      </c>
      <c r="D17" s="38" t="s">
        <v>48</v>
      </c>
      <c r="E17" s="38" t="s">
        <v>112</v>
      </c>
      <c r="F17" s="38" t="s">
        <v>249</v>
      </c>
      <c r="G17" s="38" t="s">
        <v>114</v>
      </c>
      <c r="H17" s="38" t="s">
        <v>250</v>
      </c>
      <c r="I17" s="38" t="s">
        <v>251</v>
      </c>
      <c r="J17" s="38" t="s">
        <v>252</v>
      </c>
      <c r="K17" s="38" t="s">
        <v>253</v>
      </c>
      <c r="L17" s="38" t="s">
        <v>254</v>
      </c>
      <c r="M17" s="38" t="s">
        <v>255</v>
      </c>
      <c r="N17" s="38" t="s">
        <v>256</v>
      </c>
      <c r="O17" s="38" t="s">
        <v>77</v>
      </c>
      <c r="P17" s="38" t="s">
        <v>59</v>
      </c>
      <c r="Q17" s="38" t="s">
        <v>106</v>
      </c>
      <c r="R17" s="39">
        <v>4144</v>
      </c>
      <c r="S17" s="38" t="s">
        <v>257</v>
      </c>
      <c r="T17" s="38"/>
      <c r="U17" s="38" t="s">
        <v>153</v>
      </c>
      <c r="V17" s="38" t="s">
        <v>258</v>
      </c>
      <c r="W17" s="38" t="s">
        <v>259</v>
      </c>
      <c r="X17" s="38">
        <v>2</v>
      </c>
      <c r="Y17" s="40" t="s">
        <v>65</v>
      </c>
      <c r="Z17" s="40" t="s">
        <v>111</v>
      </c>
    </row>
    <row r="18" spans="1:26" ht="15">
      <c r="A18" s="38" t="s">
        <v>3</v>
      </c>
      <c r="B18" s="38" t="s">
        <v>9</v>
      </c>
      <c r="C18" s="38" t="s">
        <v>260</v>
      </c>
      <c r="D18" s="38" t="s">
        <v>48</v>
      </c>
      <c r="E18" s="38" t="s">
        <v>128</v>
      </c>
      <c r="F18" s="38" t="s">
        <v>261</v>
      </c>
      <c r="G18" s="38"/>
      <c r="H18" s="38" t="s">
        <v>262</v>
      </c>
      <c r="I18" s="38" t="s">
        <v>263</v>
      </c>
      <c r="J18" s="38" t="s">
        <v>264</v>
      </c>
      <c r="K18" s="38" t="s">
        <v>265</v>
      </c>
      <c r="L18" s="38" t="s">
        <v>74</v>
      </c>
      <c r="M18" s="38" t="s">
        <v>266</v>
      </c>
      <c r="N18" s="38" t="s">
        <v>260</v>
      </c>
      <c r="O18" s="38" t="s">
        <v>267</v>
      </c>
      <c r="P18" s="38" t="s">
        <v>90</v>
      </c>
      <c r="Q18" s="38" t="s">
        <v>106</v>
      </c>
      <c r="R18" s="39">
        <v>370115</v>
      </c>
      <c r="S18" s="38" t="s">
        <v>268</v>
      </c>
      <c r="T18" s="38"/>
      <c r="U18" s="38" t="s">
        <v>140</v>
      </c>
      <c r="V18" s="38" t="s">
        <v>269</v>
      </c>
      <c r="W18" s="38" t="s">
        <v>270</v>
      </c>
      <c r="X18" s="38">
        <v>3</v>
      </c>
      <c r="Y18" s="40" t="s">
        <v>65</v>
      </c>
      <c r="Z18" s="40" t="s">
        <v>111</v>
      </c>
    </row>
    <row r="19" spans="1:26" ht="15">
      <c r="A19" s="38" t="s">
        <v>3</v>
      </c>
      <c r="B19" s="38" t="s">
        <v>9</v>
      </c>
      <c r="C19" s="38" t="s">
        <v>271</v>
      </c>
      <c r="D19" s="38" t="s">
        <v>48</v>
      </c>
      <c r="E19" s="38" t="s">
        <v>128</v>
      </c>
      <c r="F19" s="38" t="s">
        <v>272</v>
      </c>
      <c r="G19" s="38"/>
      <c r="H19" s="38" t="s">
        <v>273</v>
      </c>
      <c r="I19" s="38" t="s">
        <v>274</v>
      </c>
      <c r="J19" s="38" t="s">
        <v>275</v>
      </c>
      <c r="K19" s="38" t="s">
        <v>275</v>
      </c>
      <c r="L19" s="38" t="s">
        <v>254</v>
      </c>
      <c r="M19" s="38" t="s">
        <v>276</v>
      </c>
      <c r="N19" s="38" t="s">
        <v>277</v>
      </c>
      <c r="O19" s="38" t="s">
        <v>77</v>
      </c>
      <c r="P19" s="38" t="s">
        <v>278</v>
      </c>
      <c r="Q19" s="38" t="s">
        <v>106</v>
      </c>
      <c r="R19" s="39">
        <v>42036</v>
      </c>
      <c r="S19" s="38" t="s">
        <v>279</v>
      </c>
      <c r="T19" s="38"/>
      <c r="U19" s="38" t="s">
        <v>153</v>
      </c>
      <c r="V19" s="38" t="s">
        <v>280</v>
      </c>
      <c r="W19" s="38" t="s">
        <v>281</v>
      </c>
      <c r="X19" s="38">
        <v>5</v>
      </c>
      <c r="Y19" s="40" t="s">
        <v>65</v>
      </c>
      <c r="Z19" s="40" t="s">
        <v>111</v>
      </c>
    </row>
    <row r="20" spans="1:26" ht="15">
      <c r="A20" s="38" t="s">
        <v>3</v>
      </c>
      <c r="B20" s="38" t="s">
        <v>9</v>
      </c>
      <c r="C20" s="38" t="s">
        <v>282</v>
      </c>
      <c r="D20" s="38" t="s">
        <v>48</v>
      </c>
      <c r="E20" s="38" t="s">
        <v>143</v>
      </c>
      <c r="F20" s="38" t="s">
        <v>283</v>
      </c>
      <c r="G20" s="38"/>
      <c r="H20" s="38" t="s">
        <v>284</v>
      </c>
      <c r="I20" s="38" t="s">
        <v>285</v>
      </c>
      <c r="J20" s="38" t="s">
        <v>286</v>
      </c>
      <c r="K20" s="38" t="s">
        <v>287</v>
      </c>
      <c r="L20" s="38" t="s">
        <v>149</v>
      </c>
      <c r="M20" s="38" t="s">
        <v>288</v>
      </c>
      <c r="N20" s="38" t="s">
        <v>289</v>
      </c>
      <c r="O20" s="38" t="s">
        <v>122</v>
      </c>
      <c r="P20" s="38" t="s">
        <v>90</v>
      </c>
      <c r="Q20" s="38" t="s">
        <v>106</v>
      </c>
      <c r="R20" s="39">
        <v>154136</v>
      </c>
      <c r="S20" s="38" t="s">
        <v>290</v>
      </c>
      <c r="T20" s="38"/>
      <c r="U20" s="38" t="s">
        <v>62</v>
      </c>
      <c r="V20" s="38" t="s">
        <v>291</v>
      </c>
      <c r="W20" s="38" t="s">
        <v>292</v>
      </c>
      <c r="X20" s="38">
        <v>4</v>
      </c>
      <c r="Y20" s="40" t="s">
        <v>65</v>
      </c>
      <c r="Z20" s="40" t="s">
        <v>111</v>
      </c>
    </row>
    <row r="21" spans="1:26" ht="15">
      <c r="A21" s="38" t="s">
        <v>3</v>
      </c>
      <c r="B21" s="38" t="s">
        <v>9</v>
      </c>
      <c r="C21" s="38" t="s">
        <v>293</v>
      </c>
      <c r="D21" s="38" t="s">
        <v>48</v>
      </c>
      <c r="E21" s="38" t="s">
        <v>143</v>
      </c>
      <c r="F21" s="38" t="s">
        <v>215</v>
      </c>
      <c r="G21" s="38"/>
      <c r="H21" s="38" t="s">
        <v>294</v>
      </c>
      <c r="I21" s="38" t="s">
        <v>295</v>
      </c>
      <c r="J21" s="38" t="s">
        <v>296</v>
      </c>
      <c r="K21" s="38" t="s">
        <v>297</v>
      </c>
      <c r="L21" s="38" t="s">
        <v>119</v>
      </c>
      <c r="M21" s="38" t="s">
        <v>298</v>
      </c>
      <c r="N21" s="38" t="s">
        <v>293</v>
      </c>
      <c r="O21" s="38" t="s">
        <v>77</v>
      </c>
      <c r="P21" s="38" t="s">
        <v>245</v>
      </c>
      <c r="Q21" s="38" t="s">
        <v>106</v>
      </c>
      <c r="R21" s="39">
        <v>5980</v>
      </c>
      <c r="S21" s="38" t="s">
        <v>223</v>
      </c>
      <c r="T21" s="38"/>
      <c r="U21" s="38" t="s">
        <v>153</v>
      </c>
      <c r="V21" s="38" t="s">
        <v>299</v>
      </c>
      <c r="W21" s="38" t="s">
        <v>300</v>
      </c>
      <c r="X21" s="38">
        <v>3</v>
      </c>
      <c r="Y21" s="40" t="s">
        <v>65</v>
      </c>
      <c r="Z21" s="40" t="s">
        <v>111</v>
      </c>
    </row>
    <row r="22" spans="1:26" ht="15">
      <c r="A22" s="38" t="s">
        <v>3</v>
      </c>
      <c r="B22" s="38" t="s">
        <v>9</v>
      </c>
      <c r="C22" s="38" t="s">
        <v>293</v>
      </c>
      <c r="D22" s="38" t="s">
        <v>48</v>
      </c>
      <c r="E22" s="38" t="s">
        <v>143</v>
      </c>
      <c r="F22" s="38" t="s">
        <v>301</v>
      </c>
      <c r="G22" s="38" t="s">
        <v>114</v>
      </c>
      <c r="H22" s="38" t="s">
        <v>302</v>
      </c>
      <c r="I22" s="38" t="s">
        <v>303</v>
      </c>
      <c r="J22" s="38" t="s">
        <v>304</v>
      </c>
      <c r="K22" s="38" t="s">
        <v>305</v>
      </c>
      <c r="L22" s="38" t="s">
        <v>119</v>
      </c>
      <c r="M22" s="38" t="s">
        <v>306</v>
      </c>
      <c r="N22" s="38" t="s">
        <v>293</v>
      </c>
      <c r="O22" s="38" t="s">
        <v>77</v>
      </c>
      <c r="P22" s="38" t="s">
        <v>233</v>
      </c>
      <c r="Q22" s="38" t="s">
        <v>106</v>
      </c>
      <c r="R22" s="39">
        <v>32458</v>
      </c>
      <c r="S22" s="38" t="s">
        <v>307</v>
      </c>
      <c r="T22" s="38"/>
      <c r="U22" s="38" t="s">
        <v>62</v>
      </c>
      <c r="V22" s="38" t="s">
        <v>308</v>
      </c>
      <c r="W22" s="38" t="s">
        <v>309</v>
      </c>
      <c r="X22" s="38">
        <v>1</v>
      </c>
      <c r="Y22" s="40" t="s">
        <v>65</v>
      </c>
      <c r="Z22" s="40" t="s">
        <v>111</v>
      </c>
    </row>
    <row r="23" spans="1:26" ht="15">
      <c r="A23" s="38" t="s">
        <v>3</v>
      </c>
      <c r="B23" s="38" t="s">
        <v>9</v>
      </c>
      <c r="C23" s="38" t="s">
        <v>310</v>
      </c>
      <c r="D23" s="38" t="s">
        <v>48</v>
      </c>
      <c r="E23" s="38" t="s">
        <v>143</v>
      </c>
      <c r="F23" s="38" t="s">
        <v>156</v>
      </c>
      <c r="G23" s="38" t="s">
        <v>311</v>
      </c>
      <c r="H23" s="38" t="s">
        <v>312</v>
      </c>
      <c r="I23" s="38" t="s">
        <v>313</v>
      </c>
      <c r="J23" s="38" t="s">
        <v>314</v>
      </c>
      <c r="K23" s="38" t="s">
        <v>315</v>
      </c>
      <c r="L23" s="38" t="s">
        <v>56</v>
      </c>
      <c r="M23" s="38" t="s">
        <v>316</v>
      </c>
      <c r="N23" s="38" t="s">
        <v>310</v>
      </c>
      <c r="O23" s="38" t="s">
        <v>77</v>
      </c>
      <c r="P23" s="38" t="s">
        <v>59</v>
      </c>
      <c r="Q23" s="38" t="s">
        <v>106</v>
      </c>
      <c r="R23" s="39">
        <v>11177</v>
      </c>
      <c r="S23" s="38" t="s">
        <v>317</v>
      </c>
      <c r="T23" s="38"/>
      <c r="U23" s="38" t="s">
        <v>153</v>
      </c>
      <c r="V23" s="38" t="s">
        <v>318</v>
      </c>
      <c r="W23" s="38" t="s">
        <v>319</v>
      </c>
      <c r="X23" s="38">
        <v>2</v>
      </c>
      <c r="Y23" s="40" t="s">
        <v>65</v>
      </c>
      <c r="Z23" s="40" t="s">
        <v>111</v>
      </c>
    </row>
    <row r="24" spans="1:26" ht="15">
      <c r="A24" s="38" t="s">
        <v>3</v>
      </c>
      <c r="B24" s="38" t="s">
        <v>9</v>
      </c>
      <c r="C24" s="38" t="s">
        <v>320</v>
      </c>
      <c r="D24" s="38" t="s">
        <v>48</v>
      </c>
      <c r="E24" s="38" t="s">
        <v>143</v>
      </c>
      <c r="F24" s="38" t="s">
        <v>156</v>
      </c>
      <c r="G24" s="38" t="s">
        <v>114</v>
      </c>
      <c r="H24" s="38" t="s">
        <v>321</v>
      </c>
      <c r="I24" s="38" t="s">
        <v>322</v>
      </c>
      <c r="J24" s="38" t="s">
        <v>323</v>
      </c>
      <c r="K24" s="38" t="s">
        <v>324</v>
      </c>
      <c r="L24" s="38" t="s">
        <v>149</v>
      </c>
      <c r="M24" s="38" t="s">
        <v>325</v>
      </c>
      <c r="N24" s="38" t="s">
        <v>320</v>
      </c>
      <c r="O24" s="38" t="s">
        <v>326</v>
      </c>
      <c r="P24" s="38" t="s">
        <v>245</v>
      </c>
      <c r="Q24" s="38" t="s">
        <v>106</v>
      </c>
      <c r="R24" s="39">
        <v>89849</v>
      </c>
      <c r="S24" s="38" t="s">
        <v>164</v>
      </c>
      <c r="T24" s="38"/>
      <c r="U24" s="38" t="s">
        <v>153</v>
      </c>
      <c r="V24" s="38" t="s">
        <v>327</v>
      </c>
      <c r="W24" s="38" t="s">
        <v>328</v>
      </c>
      <c r="X24" s="38">
        <v>1</v>
      </c>
      <c r="Y24" s="40" t="s">
        <v>65</v>
      </c>
      <c r="Z24" s="40" t="s">
        <v>111</v>
      </c>
    </row>
    <row r="25" spans="1:26" ht="15">
      <c r="A25" s="38" t="s">
        <v>3</v>
      </c>
      <c r="B25" s="38" t="s">
        <v>9</v>
      </c>
      <c r="C25" s="38" t="s">
        <v>329</v>
      </c>
      <c r="D25" s="38" t="s">
        <v>48</v>
      </c>
      <c r="E25" s="38" t="s">
        <v>83</v>
      </c>
      <c r="F25" s="38" t="s">
        <v>330</v>
      </c>
      <c r="G25" s="38"/>
      <c r="H25" s="38" t="s">
        <v>331</v>
      </c>
      <c r="I25" s="38" t="s">
        <v>332</v>
      </c>
      <c r="J25" s="38" t="s">
        <v>333</v>
      </c>
      <c r="K25" s="38" t="s">
        <v>334</v>
      </c>
      <c r="L25" s="38" t="s">
        <v>134</v>
      </c>
      <c r="M25" s="38" t="s">
        <v>335</v>
      </c>
      <c r="N25" s="38" t="s">
        <v>329</v>
      </c>
      <c r="O25" s="38" t="s">
        <v>77</v>
      </c>
      <c r="P25" s="38" t="s">
        <v>59</v>
      </c>
      <c r="Q25" s="38" t="s">
        <v>106</v>
      </c>
      <c r="R25" s="39">
        <v>35957</v>
      </c>
      <c r="S25" s="38" t="s">
        <v>336</v>
      </c>
      <c r="T25" s="38"/>
      <c r="U25" s="38" t="s">
        <v>153</v>
      </c>
      <c r="V25" s="38" t="s">
        <v>337</v>
      </c>
      <c r="W25" s="38" t="s">
        <v>338</v>
      </c>
      <c r="X25" s="38">
        <v>2</v>
      </c>
      <c r="Y25" s="40" t="s">
        <v>65</v>
      </c>
      <c r="Z25" s="40" t="s">
        <v>111</v>
      </c>
    </row>
    <row r="26" spans="1:26" ht="15">
      <c r="A26" s="38" t="s">
        <v>3</v>
      </c>
      <c r="B26" s="38" t="s">
        <v>9</v>
      </c>
      <c r="C26" s="38" t="s">
        <v>339</v>
      </c>
      <c r="D26" s="38" t="s">
        <v>48</v>
      </c>
      <c r="E26" s="38" t="s">
        <v>143</v>
      </c>
      <c r="F26" s="38" t="s">
        <v>156</v>
      </c>
      <c r="G26" s="38" t="s">
        <v>311</v>
      </c>
      <c r="H26" s="38" t="s">
        <v>340</v>
      </c>
      <c r="I26" s="38" t="s">
        <v>341</v>
      </c>
      <c r="J26" s="38" t="s">
        <v>342</v>
      </c>
      <c r="K26" s="38" t="s">
        <v>343</v>
      </c>
      <c r="L26" s="38" t="s">
        <v>149</v>
      </c>
      <c r="M26" s="38" t="s">
        <v>344</v>
      </c>
      <c r="N26" s="38" t="s">
        <v>339</v>
      </c>
      <c r="O26" s="38" t="s">
        <v>77</v>
      </c>
      <c r="P26" s="38" t="s">
        <v>90</v>
      </c>
      <c r="Q26" s="38" t="s">
        <v>106</v>
      </c>
      <c r="R26" s="39">
        <v>36359</v>
      </c>
      <c r="S26" s="38" t="s">
        <v>317</v>
      </c>
      <c r="T26" s="38"/>
      <c r="U26" s="38" t="s">
        <v>153</v>
      </c>
      <c r="V26" s="38" t="s">
        <v>345</v>
      </c>
      <c r="W26" s="38" t="s">
        <v>346</v>
      </c>
      <c r="X26" s="38">
        <v>1</v>
      </c>
      <c r="Y26" s="40" t="s">
        <v>65</v>
      </c>
      <c r="Z26" s="40" t="s">
        <v>111</v>
      </c>
    </row>
    <row r="27" spans="1:26" ht="15">
      <c r="A27" s="38" t="s">
        <v>3</v>
      </c>
      <c r="B27" s="38" t="s">
        <v>10</v>
      </c>
      <c r="C27" s="38" t="s">
        <v>347</v>
      </c>
      <c r="D27" s="38" t="s">
        <v>48</v>
      </c>
      <c r="E27" s="38" t="s">
        <v>68</v>
      </c>
      <c r="F27" s="38" t="s">
        <v>348</v>
      </c>
      <c r="G27" s="38"/>
      <c r="H27" s="38" t="s">
        <v>349</v>
      </c>
      <c r="I27" s="38" t="s">
        <v>350</v>
      </c>
      <c r="J27" s="38" t="s">
        <v>351</v>
      </c>
      <c r="K27" s="38" t="s">
        <v>352</v>
      </c>
      <c r="L27" s="38" t="s">
        <v>56</v>
      </c>
      <c r="M27" s="38" t="s">
        <v>353</v>
      </c>
      <c r="N27" s="38" t="s">
        <v>354</v>
      </c>
      <c r="O27" s="38" t="s">
        <v>355</v>
      </c>
      <c r="P27" s="38" t="s">
        <v>356</v>
      </c>
      <c r="Q27" s="38" t="s">
        <v>106</v>
      </c>
      <c r="R27" s="39">
        <v>152189</v>
      </c>
      <c r="S27" s="38" t="s">
        <v>357</v>
      </c>
      <c r="T27" s="38"/>
      <c r="U27" s="38" t="s">
        <v>358</v>
      </c>
      <c r="V27" s="38" t="s">
        <v>359</v>
      </c>
      <c r="W27" s="38" t="s">
        <v>360</v>
      </c>
      <c r="X27" s="38">
        <v>1</v>
      </c>
      <c r="Y27" s="40" t="s">
        <v>111</v>
      </c>
      <c r="Z27" s="40" t="s">
        <v>111</v>
      </c>
    </row>
    <row r="28" spans="1:26" ht="15">
      <c r="A28" s="38" t="s">
        <v>3</v>
      </c>
      <c r="B28" s="38" t="s">
        <v>10</v>
      </c>
      <c r="C28" s="38" t="s">
        <v>361</v>
      </c>
      <c r="D28" s="38" t="s">
        <v>48</v>
      </c>
      <c r="E28" s="38" t="s">
        <v>68</v>
      </c>
      <c r="F28" s="38" t="s">
        <v>348</v>
      </c>
      <c r="G28" s="38"/>
      <c r="H28" s="38" t="s">
        <v>362</v>
      </c>
      <c r="I28" s="38" t="s">
        <v>363</v>
      </c>
      <c r="J28" s="38" t="s">
        <v>364</v>
      </c>
      <c r="K28" s="38" t="s">
        <v>365</v>
      </c>
      <c r="L28" s="38" t="s">
        <v>56</v>
      </c>
      <c r="M28" s="38" t="s">
        <v>366</v>
      </c>
      <c r="N28" s="38" t="s">
        <v>367</v>
      </c>
      <c r="O28" s="38" t="s">
        <v>77</v>
      </c>
      <c r="P28" s="38" t="s">
        <v>245</v>
      </c>
      <c r="Q28" s="38" t="s">
        <v>106</v>
      </c>
      <c r="R28" s="39">
        <v>195739</v>
      </c>
      <c r="S28" s="38" t="s">
        <v>357</v>
      </c>
      <c r="T28" s="38"/>
      <c r="U28" s="38" t="s">
        <v>368</v>
      </c>
      <c r="V28" s="38" t="s">
        <v>369</v>
      </c>
      <c r="W28" s="38" t="s">
        <v>370</v>
      </c>
      <c r="X28" s="38">
        <v>1</v>
      </c>
      <c r="Y28" s="40" t="s">
        <v>111</v>
      </c>
      <c r="Z28" s="40" t="s">
        <v>111</v>
      </c>
    </row>
    <row r="29" spans="1:26" ht="15">
      <c r="A29" s="38" t="s">
        <v>3</v>
      </c>
      <c r="B29" s="38" t="s">
        <v>10</v>
      </c>
      <c r="C29" s="38" t="s">
        <v>371</v>
      </c>
      <c r="D29" s="38" t="s">
        <v>48</v>
      </c>
      <c r="E29" s="38" t="s">
        <v>68</v>
      </c>
      <c r="F29" s="38" t="s">
        <v>348</v>
      </c>
      <c r="G29" s="38"/>
      <c r="H29" s="38" t="s">
        <v>372</v>
      </c>
      <c r="I29" s="38" t="s">
        <v>373</v>
      </c>
      <c r="J29" s="38" t="s">
        <v>374</v>
      </c>
      <c r="K29" s="38" t="s">
        <v>375</v>
      </c>
      <c r="L29" s="38" t="s">
        <v>134</v>
      </c>
      <c r="M29" s="38" t="s">
        <v>376</v>
      </c>
      <c r="N29" s="38" t="s">
        <v>371</v>
      </c>
      <c r="O29" s="38" t="s">
        <v>377</v>
      </c>
      <c r="P29" s="38" t="s">
        <v>90</v>
      </c>
      <c r="Q29" s="38" t="s">
        <v>106</v>
      </c>
      <c r="R29" s="39">
        <v>280518</v>
      </c>
      <c r="S29" s="38" t="s">
        <v>357</v>
      </c>
      <c r="T29" s="38"/>
      <c r="U29" s="38" t="s">
        <v>140</v>
      </c>
      <c r="V29" s="38" t="s">
        <v>378</v>
      </c>
      <c r="W29" s="38" t="s">
        <v>379</v>
      </c>
      <c r="X29" s="38">
        <v>1</v>
      </c>
      <c r="Y29" s="40" t="s">
        <v>111</v>
      </c>
      <c r="Z29" s="40" t="s">
        <v>111</v>
      </c>
    </row>
    <row r="30" spans="1:26" ht="15">
      <c r="A30" s="38" t="s">
        <v>3</v>
      </c>
      <c r="B30" s="38" t="s">
        <v>10</v>
      </c>
      <c r="C30" s="38" t="s">
        <v>380</v>
      </c>
      <c r="D30" s="38" t="s">
        <v>48</v>
      </c>
      <c r="E30" s="38" t="s">
        <v>68</v>
      </c>
      <c r="F30" s="38" t="s">
        <v>348</v>
      </c>
      <c r="G30" s="38"/>
      <c r="H30" s="38" t="s">
        <v>381</v>
      </c>
      <c r="I30" s="38" t="s">
        <v>382</v>
      </c>
      <c r="J30" s="38" t="s">
        <v>383</v>
      </c>
      <c r="K30" s="38" t="s">
        <v>384</v>
      </c>
      <c r="L30" s="38" t="s">
        <v>149</v>
      </c>
      <c r="M30" s="38" t="s">
        <v>385</v>
      </c>
      <c r="N30" s="38" t="s">
        <v>386</v>
      </c>
      <c r="O30" s="38" t="s">
        <v>77</v>
      </c>
      <c r="P30" s="38" t="s">
        <v>59</v>
      </c>
      <c r="Q30" s="38" t="s">
        <v>60</v>
      </c>
      <c r="R30" s="39">
        <v>72335</v>
      </c>
      <c r="S30" s="38" t="s">
        <v>387</v>
      </c>
      <c r="T30" s="38"/>
      <c r="U30" s="38" t="s">
        <v>358</v>
      </c>
      <c r="V30" s="38" t="s">
        <v>388</v>
      </c>
      <c r="W30" s="38" t="s">
        <v>389</v>
      </c>
      <c r="X30" s="38">
        <v>1</v>
      </c>
      <c r="Y30" s="40" t="s">
        <v>111</v>
      </c>
      <c r="Z30" s="40" t="s">
        <v>111</v>
      </c>
    </row>
    <row r="31" spans="1:26" ht="15">
      <c r="A31" s="38" t="s">
        <v>3</v>
      </c>
      <c r="B31" s="38" t="s">
        <v>11</v>
      </c>
      <c r="C31" s="38" t="s">
        <v>390</v>
      </c>
      <c r="D31" s="38" t="s">
        <v>48</v>
      </c>
      <c r="E31" s="38" t="s">
        <v>83</v>
      </c>
      <c r="F31" s="38" t="s">
        <v>391</v>
      </c>
      <c r="G31" s="38"/>
      <c r="H31" s="38" t="s">
        <v>392</v>
      </c>
      <c r="I31" s="38" t="s">
        <v>393</v>
      </c>
      <c r="J31" s="38" t="s">
        <v>394</v>
      </c>
      <c r="K31" s="38" t="s">
        <v>395</v>
      </c>
      <c r="L31" s="38" t="s">
        <v>56</v>
      </c>
      <c r="M31" s="38" t="s">
        <v>396</v>
      </c>
      <c r="N31" s="38" t="s">
        <v>397</v>
      </c>
      <c r="O31" s="38" t="s">
        <v>77</v>
      </c>
      <c r="P31" s="38" t="s">
        <v>59</v>
      </c>
      <c r="Q31" s="38" t="s">
        <v>60</v>
      </c>
      <c r="R31" s="39">
        <v>49359</v>
      </c>
      <c r="S31" s="38" t="s">
        <v>398</v>
      </c>
      <c r="T31" s="38"/>
      <c r="U31" s="38" t="s">
        <v>153</v>
      </c>
      <c r="V31" s="38" t="s">
        <v>399</v>
      </c>
      <c r="W31" s="38" t="s">
        <v>400</v>
      </c>
      <c r="X31" s="38">
        <v>1</v>
      </c>
      <c r="Y31" s="40" t="s">
        <v>111</v>
      </c>
      <c r="Z31" s="40" t="s">
        <v>111</v>
      </c>
    </row>
    <row r="32" spans="1:26" ht="15">
      <c r="A32" s="38" t="s">
        <v>3</v>
      </c>
      <c r="B32" s="38" t="s">
        <v>11</v>
      </c>
      <c r="C32" s="38" t="s">
        <v>390</v>
      </c>
      <c r="D32" s="38" t="s">
        <v>48</v>
      </c>
      <c r="E32" s="38" t="s">
        <v>83</v>
      </c>
      <c r="F32" s="38" t="s">
        <v>391</v>
      </c>
      <c r="G32" s="38"/>
      <c r="H32" s="38" t="s">
        <v>401</v>
      </c>
      <c r="I32" s="38" t="s">
        <v>402</v>
      </c>
      <c r="J32" s="38" t="s">
        <v>403</v>
      </c>
      <c r="K32" s="38" t="s">
        <v>404</v>
      </c>
      <c r="L32" s="38" t="s">
        <v>119</v>
      </c>
      <c r="M32" s="38" t="s">
        <v>405</v>
      </c>
      <c r="N32" s="38" t="s">
        <v>397</v>
      </c>
      <c r="O32" s="38" t="s">
        <v>406</v>
      </c>
      <c r="P32" s="38" t="s">
        <v>90</v>
      </c>
      <c r="Q32" s="38" t="s">
        <v>60</v>
      </c>
      <c r="R32" s="39">
        <v>881081</v>
      </c>
      <c r="S32" s="38" t="s">
        <v>398</v>
      </c>
      <c r="T32" s="38"/>
      <c r="U32" s="38" t="s">
        <v>153</v>
      </c>
      <c r="V32" s="38" t="s">
        <v>407</v>
      </c>
      <c r="W32" s="38" t="s">
        <v>408</v>
      </c>
      <c r="X32" s="38">
        <v>2</v>
      </c>
      <c r="Y32" s="40" t="s">
        <v>111</v>
      </c>
      <c r="Z32" s="40" t="s">
        <v>111</v>
      </c>
    </row>
    <row r="33" spans="1:26" ht="15">
      <c r="A33" s="38" t="s">
        <v>3</v>
      </c>
      <c r="B33" s="38" t="s">
        <v>11</v>
      </c>
      <c r="C33" s="38" t="s">
        <v>390</v>
      </c>
      <c r="D33" s="38" t="s">
        <v>48</v>
      </c>
      <c r="E33" s="38" t="s">
        <v>83</v>
      </c>
      <c r="F33" s="38" t="s">
        <v>391</v>
      </c>
      <c r="G33" s="38"/>
      <c r="H33" s="38" t="s">
        <v>409</v>
      </c>
      <c r="I33" s="38" t="s">
        <v>410</v>
      </c>
      <c r="J33" s="38" t="s">
        <v>411</v>
      </c>
      <c r="K33" s="38" t="s">
        <v>412</v>
      </c>
      <c r="L33" s="38" t="s">
        <v>74</v>
      </c>
      <c r="M33" s="38" t="s">
        <v>413</v>
      </c>
      <c r="N33" s="38" t="s">
        <v>414</v>
      </c>
      <c r="O33" s="38" t="s">
        <v>415</v>
      </c>
      <c r="P33" s="38" t="s">
        <v>90</v>
      </c>
      <c r="Q33" s="38" t="s">
        <v>60</v>
      </c>
      <c r="R33" s="39">
        <v>205596</v>
      </c>
      <c r="S33" s="38" t="s">
        <v>398</v>
      </c>
      <c r="T33" s="38"/>
      <c r="U33" s="38" t="s">
        <v>62</v>
      </c>
      <c r="V33" s="38" t="s">
        <v>416</v>
      </c>
      <c r="W33" s="38" t="s">
        <v>417</v>
      </c>
      <c r="X33" s="38">
        <v>1</v>
      </c>
      <c r="Y33" s="40" t="s">
        <v>111</v>
      </c>
      <c r="Z33" s="40" t="s">
        <v>111</v>
      </c>
    </row>
    <row r="34" spans="1:26" ht="15">
      <c r="A34" s="38" t="s">
        <v>3</v>
      </c>
      <c r="B34" s="38" t="s">
        <v>11</v>
      </c>
      <c r="C34" s="38" t="s">
        <v>390</v>
      </c>
      <c r="D34" s="38" t="s">
        <v>48</v>
      </c>
      <c r="E34" s="38" t="s">
        <v>49</v>
      </c>
      <c r="F34" s="38" t="s">
        <v>50</v>
      </c>
      <c r="G34" s="38" t="s">
        <v>418</v>
      </c>
      <c r="H34" s="38" t="s">
        <v>419</v>
      </c>
      <c r="I34" s="38" t="s">
        <v>420</v>
      </c>
      <c r="J34" s="38" t="s">
        <v>421</v>
      </c>
      <c r="K34" s="38" t="s">
        <v>422</v>
      </c>
      <c r="L34" s="38" t="s">
        <v>149</v>
      </c>
      <c r="M34" s="38" t="s">
        <v>423</v>
      </c>
      <c r="N34" s="38" t="s">
        <v>424</v>
      </c>
      <c r="O34" s="38" t="s">
        <v>77</v>
      </c>
      <c r="P34" s="38" t="s">
        <v>90</v>
      </c>
      <c r="Q34" s="38" t="s">
        <v>425</v>
      </c>
      <c r="R34" s="39">
        <v>60668</v>
      </c>
      <c r="S34" s="38" t="s">
        <v>426</v>
      </c>
      <c r="T34" s="38"/>
      <c r="U34" s="38" t="s">
        <v>153</v>
      </c>
      <c r="V34" s="38" t="s">
        <v>427</v>
      </c>
      <c r="W34" s="38" t="s">
        <v>428</v>
      </c>
      <c r="X34" s="38">
        <v>1</v>
      </c>
      <c r="Y34" s="40" t="s">
        <v>111</v>
      </c>
      <c r="Z34" s="40" t="s">
        <v>111</v>
      </c>
    </row>
    <row r="35" spans="1:26" ht="15">
      <c r="A35" s="38" t="s">
        <v>3</v>
      </c>
      <c r="B35" s="38" t="s">
        <v>11</v>
      </c>
      <c r="C35" s="38" t="s">
        <v>429</v>
      </c>
      <c r="D35" s="38" t="s">
        <v>48</v>
      </c>
      <c r="E35" s="38" t="s">
        <v>49</v>
      </c>
      <c r="F35" s="38" t="s">
        <v>50</v>
      </c>
      <c r="G35" s="38" t="s">
        <v>418</v>
      </c>
      <c r="H35" s="38" t="s">
        <v>430</v>
      </c>
      <c r="I35" s="38" t="s">
        <v>431</v>
      </c>
      <c r="J35" s="38" t="s">
        <v>432</v>
      </c>
      <c r="K35" s="38" t="s">
        <v>433</v>
      </c>
      <c r="L35" s="38" t="s">
        <v>56</v>
      </c>
      <c r="M35" s="38" t="s">
        <v>434</v>
      </c>
      <c r="N35" s="38" t="s">
        <v>429</v>
      </c>
      <c r="O35" s="38" t="s">
        <v>77</v>
      </c>
      <c r="P35" s="38" t="s">
        <v>59</v>
      </c>
      <c r="Q35" s="38" t="s">
        <v>60</v>
      </c>
      <c r="R35" s="39">
        <v>51176</v>
      </c>
      <c r="S35" s="38" t="s">
        <v>426</v>
      </c>
      <c r="T35" s="38"/>
      <c r="U35" s="38" t="s">
        <v>153</v>
      </c>
      <c r="V35" s="38" t="s">
        <v>435</v>
      </c>
      <c r="W35" s="38" t="s">
        <v>436</v>
      </c>
      <c r="X35" s="38">
        <v>1</v>
      </c>
      <c r="Y35" s="40" t="s">
        <v>111</v>
      </c>
      <c r="Z35" s="40" t="s">
        <v>111</v>
      </c>
    </row>
    <row r="36" spans="1:26" ht="15">
      <c r="A36" s="38" t="s">
        <v>3</v>
      </c>
      <c r="B36" s="38" t="s">
        <v>11</v>
      </c>
      <c r="C36" s="38" t="s">
        <v>437</v>
      </c>
      <c r="D36" s="38" t="s">
        <v>48</v>
      </c>
      <c r="E36" s="38" t="s">
        <v>49</v>
      </c>
      <c r="F36" s="38" t="s">
        <v>50</v>
      </c>
      <c r="G36" s="38" t="s">
        <v>418</v>
      </c>
      <c r="H36" s="38" t="s">
        <v>438</v>
      </c>
      <c r="I36" s="38" t="s">
        <v>439</v>
      </c>
      <c r="J36" s="38" t="s">
        <v>440</v>
      </c>
      <c r="K36" s="38" t="s">
        <v>441</v>
      </c>
      <c r="L36" s="38" t="s">
        <v>134</v>
      </c>
      <c r="M36" s="38" t="s">
        <v>442</v>
      </c>
      <c r="N36" s="38" t="s">
        <v>437</v>
      </c>
      <c r="O36" s="38" t="s">
        <v>443</v>
      </c>
      <c r="P36" s="38" t="s">
        <v>59</v>
      </c>
      <c r="Q36" s="38" t="s">
        <v>60</v>
      </c>
      <c r="R36" s="39">
        <v>157293</v>
      </c>
      <c r="S36" s="38" t="s">
        <v>426</v>
      </c>
      <c r="T36" s="38"/>
      <c r="U36" s="38" t="s">
        <v>153</v>
      </c>
      <c r="V36" s="38" t="s">
        <v>444</v>
      </c>
      <c r="W36" s="38" t="s">
        <v>445</v>
      </c>
      <c r="X36" s="38">
        <v>1</v>
      </c>
      <c r="Y36" s="40" t="s">
        <v>111</v>
      </c>
      <c r="Z36" s="40" t="s">
        <v>111</v>
      </c>
    </row>
    <row r="37" spans="1:26" ht="15">
      <c r="A37" s="38" t="s">
        <v>3</v>
      </c>
      <c r="B37" s="38" t="s">
        <v>11</v>
      </c>
      <c r="C37" s="38" t="s">
        <v>446</v>
      </c>
      <c r="D37" s="38" t="s">
        <v>48</v>
      </c>
      <c r="E37" s="38" t="s">
        <v>83</v>
      </c>
      <c r="F37" s="38" t="s">
        <v>330</v>
      </c>
      <c r="G37" s="38"/>
      <c r="H37" s="38" t="s">
        <v>447</v>
      </c>
      <c r="I37" s="38" t="s">
        <v>448</v>
      </c>
      <c r="J37" s="38" t="s">
        <v>449</v>
      </c>
      <c r="K37" s="38" t="s">
        <v>450</v>
      </c>
      <c r="L37" s="38" t="s">
        <v>119</v>
      </c>
      <c r="M37" s="38" t="s">
        <v>451</v>
      </c>
      <c r="N37" s="38" t="s">
        <v>446</v>
      </c>
      <c r="O37" s="38" t="s">
        <v>452</v>
      </c>
      <c r="P37" s="38" t="s">
        <v>59</v>
      </c>
      <c r="Q37" s="38" t="s">
        <v>60</v>
      </c>
      <c r="R37" s="39">
        <v>191795</v>
      </c>
      <c r="S37" s="38" t="s">
        <v>336</v>
      </c>
      <c r="T37" s="38"/>
      <c r="U37" s="38" t="s">
        <v>92</v>
      </c>
      <c r="V37" s="38" t="s">
        <v>453</v>
      </c>
      <c r="W37" s="38" t="s">
        <v>454</v>
      </c>
      <c r="X37" s="38">
        <v>3</v>
      </c>
      <c r="Y37" s="40" t="s">
        <v>111</v>
      </c>
      <c r="Z37" s="40" t="s">
        <v>111</v>
      </c>
    </row>
    <row r="38" spans="1:26" ht="15">
      <c r="A38" s="38" t="s">
        <v>3</v>
      </c>
      <c r="B38" s="38" t="s">
        <v>11</v>
      </c>
      <c r="C38" s="38" t="s">
        <v>455</v>
      </c>
      <c r="D38" s="38" t="s">
        <v>48</v>
      </c>
      <c r="E38" s="38" t="s">
        <v>68</v>
      </c>
      <c r="F38" s="38" t="s">
        <v>348</v>
      </c>
      <c r="G38" s="38" t="s">
        <v>418</v>
      </c>
      <c r="H38" s="38" t="s">
        <v>456</v>
      </c>
      <c r="I38" s="38" t="s">
        <v>457</v>
      </c>
      <c r="J38" s="38" t="s">
        <v>458</v>
      </c>
      <c r="K38" s="38" t="s">
        <v>459</v>
      </c>
      <c r="L38" s="38" t="s">
        <v>56</v>
      </c>
      <c r="M38" s="38" t="s">
        <v>460</v>
      </c>
      <c r="N38" s="38" t="s">
        <v>455</v>
      </c>
      <c r="O38" s="38" t="s">
        <v>461</v>
      </c>
      <c r="P38" s="38" t="s">
        <v>59</v>
      </c>
      <c r="Q38" s="38" t="s">
        <v>60</v>
      </c>
      <c r="R38" s="39">
        <v>221756</v>
      </c>
      <c r="S38" s="38" t="s">
        <v>462</v>
      </c>
      <c r="T38" s="38"/>
      <c r="U38" s="38" t="s">
        <v>463</v>
      </c>
      <c r="V38" s="38" t="s">
        <v>464</v>
      </c>
      <c r="W38" s="38" t="s">
        <v>465</v>
      </c>
      <c r="X38" s="38">
        <v>2</v>
      </c>
      <c r="Y38" s="40" t="s">
        <v>111</v>
      </c>
      <c r="Z38" s="40" t="s">
        <v>111</v>
      </c>
    </row>
    <row r="39" spans="1:26" ht="15">
      <c r="A39" s="21" t="s">
        <v>3</v>
      </c>
      <c r="B39" s="21" t="s">
        <v>12</v>
      </c>
      <c r="C39" s="21" t="s">
        <v>179</v>
      </c>
      <c r="D39" s="21" t="s">
        <v>48</v>
      </c>
      <c r="E39" s="21" t="s">
        <v>143</v>
      </c>
      <c r="F39" s="21" t="s">
        <v>466</v>
      </c>
      <c r="G39" s="21"/>
      <c r="H39" s="21" t="s">
        <v>467</v>
      </c>
      <c r="I39" s="21" t="s">
        <v>468</v>
      </c>
      <c r="J39" s="21" t="s">
        <v>469</v>
      </c>
      <c r="K39" s="21" t="s">
        <v>470</v>
      </c>
      <c r="L39" s="21" t="s">
        <v>471</v>
      </c>
      <c r="M39" s="21" t="s">
        <v>472</v>
      </c>
      <c r="N39" s="21" t="s">
        <v>473</v>
      </c>
      <c r="O39" s="21" t="s">
        <v>77</v>
      </c>
      <c r="P39" s="21" t="s">
        <v>245</v>
      </c>
      <c r="Q39" s="21" t="s">
        <v>106</v>
      </c>
      <c r="R39" s="23">
        <v>65662</v>
      </c>
      <c r="S39" s="21" t="s">
        <v>474</v>
      </c>
      <c r="T39" s="21"/>
      <c r="U39" s="21" t="s">
        <v>153</v>
      </c>
      <c r="V39" s="21" t="s">
        <v>475</v>
      </c>
      <c r="W39" s="21" t="s">
        <v>476</v>
      </c>
      <c r="X39" s="21">
        <v>2</v>
      </c>
      <c r="Y39" t="s">
        <v>66</v>
      </c>
      <c r="Z39" t="s">
        <v>66</v>
      </c>
    </row>
    <row r="40" spans="1:26" ht="15">
      <c r="A40" s="21" t="s">
        <v>3</v>
      </c>
      <c r="B40" s="21" t="s">
        <v>12</v>
      </c>
      <c r="C40" s="21" t="s">
        <v>477</v>
      </c>
      <c r="D40" s="21" t="s">
        <v>48</v>
      </c>
      <c r="E40" s="21" t="s">
        <v>128</v>
      </c>
      <c r="F40" s="21" t="s">
        <v>478</v>
      </c>
      <c r="G40" s="21"/>
      <c r="H40" s="21" t="s">
        <v>479</v>
      </c>
      <c r="I40" s="21" t="s">
        <v>480</v>
      </c>
      <c r="J40" s="21" t="s">
        <v>481</v>
      </c>
      <c r="K40" s="21" t="s">
        <v>482</v>
      </c>
      <c r="L40" s="21" t="s">
        <v>56</v>
      </c>
      <c r="M40" s="21" t="s">
        <v>483</v>
      </c>
      <c r="N40" s="21" t="s">
        <v>484</v>
      </c>
      <c r="O40" s="21" t="s">
        <v>77</v>
      </c>
      <c r="P40" s="21" t="s">
        <v>485</v>
      </c>
      <c r="Q40" s="21" t="s">
        <v>425</v>
      </c>
      <c r="R40" s="23">
        <v>193108</v>
      </c>
      <c r="S40" s="21" t="s">
        <v>486</v>
      </c>
      <c r="T40" s="21"/>
      <c r="U40" s="21" t="s">
        <v>140</v>
      </c>
      <c r="V40" s="21" t="s">
        <v>487</v>
      </c>
      <c r="W40" s="21" t="s">
        <v>488</v>
      </c>
      <c r="X40" s="21">
        <v>3</v>
      </c>
      <c r="Y40" t="s">
        <v>66</v>
      </c>
      <c r="Z40" t="s">
        <v>66</v>
      </c>
    </row>
    <row r="41" spans="1:26" ht="15">
      <c r="A41" s="21" t="s">
        <v>3</v>
      </c>
      <c r="B41" s="21" t="s">
        <v>12</v>
      </c>
      <c r="C41" s="21" t="s">
        <v>477</v>
      </c>
      <c r="D41" s="21" t="s">
        <v>48</v>
      </c>
      <c r="E41" s="21" t="s">
        <v>128</v>
      </c>
      <c r="F41" s="21" t="s">
        <v>489</v>
      </c>
      <c r="G41" s="21"/>
      <c r="H41" s="21" t="s">
        <v>490</v>
      </c>
      <c r="I41" s="21" t="s">
        <v>491</v>
      </c>
      <c r="J41" s="21" t="s">
        <v>492</v>
      </c>
      <c r="K41" s="21" t="s">
        <v>493</v>
      </c>
      <c r="L41" s="21" t="s">
        <v>74</v>
      </c>
      <c r="M41" s="21" t="s">
        <v>494</v>
      </c>
      <c r="N41" s="21" t="s">
        <v>495</v>
      </c>
      <c r="O41" s="21" t="s">
        <v>496</v>
      </c>
      <c r="P41" s="21" t="s">
        <v>90</v>
      </c>
      <c r="Q41" s="21" t="s">
        <v>106</v>
      </c>
      <c r="R41" s="23">
        <v>115788</v>
      </c>
      <c r="S41" s="21" t="s">
        <v>497</v>
      </c>
      <c r="T41" s="21"/>
      <c r="U41" s="21" t="s">
        <v>358</v>
      </c>
      <c r="V41" s="21" t="s">
        <v>498</v>
      </c>
      <c r="W41" s="21" t="s">
        <v>499</v>
      </c>
      <c r="X41" s="21">
        <v>1</v>
      </c>
      <c r="Y41" t="s">
        <v>66</v>
      </c>
      <c r="Z41" t="s">
        <v>66</v>
      </c>
    </row>
    <row r="42" spans="1:26" ht="15">
      <c r="A42" s="21" t="s">
        <v>3</v>
      </c>
      <c r="B42" s="21" t="s">
        <v>12</v>
      </c>
      <c r="C42" s="21" t="s">
        <v>477</v>
      </c>
      <c r="D42" s="21" t="s">
        <v>48</v>
      </c>
      <c r="E42" s="21" t="s">
        <v>143</v>
      </c>
      <c r="F42" s="21" t="s">
        <v>500</v>
      </c>
      <c r="G42" s="21"/>
      <c r="H42" s="21" t="s">
        <v>501</v>
      </c>
      <c r="I42" s="21" t="s">
        <v>502</v>
      </c>
      <c r="J42" s="21" t="s">
        <v>503</v>
      </c>
      <c r="K42" s="21" t="s">
        <v>504</v>
      </c>
      <c r="L42" s="21" t="s">
        <v>119</v>
      </c>
      <c r="M42" s="21" t="s">
        <v>505</v>
      </c>
      <c r="N42" s="21" t="s">
        <v>506</v>
      </c>
      <c r="O42" s="21" t="s">
        <v>507</v>
      </c>
      <c r="P42" s="21" t="s">
        <v>508</v>
      </c>
      <c r="Q42" s="21" t="s">
        <v>106</v>
      </c>
      <c r="R42" s="23">
        <v>236977</v>
      </c>
      <c r="S42" s="21" t="s">
        <v>509</v>
      </c>
      <c r="T42" s="21"/>
      <c r="U42" s="21" t="s">
        <v>62</v>
      </c>
      <c r="V42" s="21" t="s">
        <v>510</v>
      </c>
      <c r="W42" s="21" t="s">
        <v>511</v>
      </c>
      <c r="X42" s="21">
        <v>1</v>
      </c>
      <c r="Y42" t="s">
        <v>66</v>
      </c>
      <c r="Z42" t="s">
        <v>66</v>
      </c>
    </row>
    <row r="43" spans="1:26" ht="15">
      <c r="A43" s="21" t="s">
        <v>3</v>
      </c>
      <c r="B43" s="21" t="s">
        <v>12</v>
      </c>
      <c r="C43" s="21" t="s">
        <v>512</v>
      </c>
      <c r="D43" s="21" t="s">
        <v>48</v>
      </c>
      <c r="E43" s="21" t="s">
        <v>143</v>
      </c>
      <c r="F43" s="21" t="s">
        <v>466</v>
      </c>
      <c r="G43" s="21"/>
      <c r="H43" s="21" t="s">
        <v>513</v>
      </c>
      <c r="I43" s="21" t="s">
        <v>514</v>
      </c>
      <c r="J43" s="21" t="s">
        <v>515</v>
      </c>
      <c r="K43" s="21" t="s">
        <v>516</v>
      </c>
      <c r="L43" s="21" t="s">
        <v>74</v>
      </c>
      <c r="M43" s="21" t="s">
        <v>517</v>
      </c>
      <c r="N43" s="21" t="s">
        <v>518</v>
      </c>
      <c r="O43" s="21" t="s">
        <v>519</v>
      </c>
      <c r="P43" s="21" t="s">
        <v>90</v>
      </c>
      <c r="Q43" s="21" t="s">
        <v>106</v>
      </c>
      <c r="R43" s="23">
        <v>96479</v>
      </c>
      <c r="S43" s="21" t="s">
        <v>474</v>
      </c>
      <c r="T43" s="21"/>
      <c r="U43" s="21" t="s">
        <v>520</v>
      </c>
      <c r="V43" s="21" t="s">
        <v>521</v>
      </c>
      <c r="W43" s="21" t="s">
        <v>522</v>
      </c>
      <c r="X43" s="21">
        <v>1</v>
      </c>
      <c r="Y43" t="s">
        <v>66</v>
      </c>
      <c r="Z43" t="s">
        <v>66</v>
      </c>
    </row>
    <row r="44" spans="1:26" ht="15">
      <c r="A44" s="21" t="s">
        <v>3</v>
      </c>
      <c r="B44" s="21" t="s">
        <v>12</v>
      </c>
      <c r="C44" s="21" t="s">
        <v>523</v>
      </c>
      <c r="D44" s="21" t="s">
        <v>48</v>
      </c>
      <c r="E44" s="21" t="s">
        <v>128</v>
      </c>
      <c r="F44" s="21" t="s">
        <v>524</v>
      </c>
      <c r="G44" s="21" t="s">
        <v>418</v>
      </c>
      <c r="H44" s="21" t="s">
        <v>525</v>
      </c>
      <c r="I44" s="21" t="s">
        <v>526</v>
      </c>
      <c r="J44" s="21" t="s">
        <v>527</v>
      </c>
      <c r="K44" s="21" t="s">
        <v>528</v>
      </c>
      <c r="L44" s="21" t="s">
        <v>119</v>
      </c>
      <c r="M44" s="21" t="s">
        <v>529</v>
      </c>
      <c r="N44" s="21" t="s">
        <v>523</v>
      </c>
      <c r="O44" s="21" t="s">
        <v>77</v>
      </c>
      <c r="P44" s="21" t="s">
        <v>530</v>
      </c>
      <c r="Q44" s="21" t="s">
        <v>106</v>
      </c>
      <c r="R44" s="23">
        <v>71752</v>
      </c>
      <c r="S44" s="21" t="s">
        <v>531</v>
      </c>
      <c r="T44" s="21"/>
      <c r="U44" s="21" t="s">
        <v>358</v>
      </c>
      <c r="V44" s="21" t="s">
        <v>532</v>
      </c>
      <c r="W44" s="21" t="s">
        <v>533</v>
      </c>
      <c r="X44" s="21">
        <v>4</v>
      </c>
      <c r="Y44" t="s">
        <v>66</v>
      </c>
      <c r="Z44" t="s">
        <v>66</v>
      </c>
    </row>
    <row r="45" spans="1:26" ht="15">
      <c r="A45" s="21" t="s">
        <v>3</v>
      </c>
      <c r="B45" s="21" t="s">
        <v>12</v>
      </c>
      <c r="C45" s="21" t="s">
        <v>523</v>
      </c>
      <c r="D45" s="21" t="s">
        <v>48</v>
      </c>
      <c r="E45" s="21" t="s">
        <v>143</v>
      </c>
      <c r="F45" s="21" t="s">
        <v>500</v>
      </c>
      <c r="G45" s="21"/>
      <c r="H45" s="21" t="s">
        <v>534</v>
      </c>
      <c r="I45" s="21" t="s">
        <v>535</v>
      </c>
      <c r="J45" s="21" t="s">
        <v>536</v>
      </c>
      <c r="K45" s="21" t="s">
        <v>537</v>
      </c>
      <c r="L45" s="21" t="s">
        <v>134</v>
      </c>
      <c r="M45" s="21" t="s">
        <v>538</v>
      </c>
      <c r="N45" s="21" t="s">
        <v>523</v>
      </c>
      <c r="O45" s="21" t="s">
        <v>539</v>
      </c>
      <c r="P45" s="21" t="s">
        <v>540</v>
      </c>
      <c r="Q45" s="21" t="s">
        <v>106</v>
      </c>
      <c r="R45" s="23">
        <v>56676</v>
      </c>
      <c r="S45" s="21" t="s">
        <v>509</v>
      </c>
      <c r="T45" s="21"/>
      <c r="U45" s="21" t="s">
        <v>153</v>
      </c>
      <c r="V45" s="21" t="s">
        <v>541</v>
      </c>
      <c r="W45" s="21" t="s">
        <v>542</v>
      </c>
      <c r="X45" s="21">
        <v>1</v>
      </c>
      <c r="Y45" t="s">
        <v>66</v>
      </c>
      <c r="Z45" t="s">
        <v>66</v>
      </c>
    </row>
    <row r="46" spans="1:26" ht="15">
      <c r="A46" s="21" t="s">
        <v>3</v>
      </c>
      <c r="B46" s="21" t="s">
        <v>12</v>
      </c>
      <c r="C46" s="21" t="s">
        <v>523</v>
      </c>
      <c r="D46" s="21" t="s">
        <v>48</v>
      </c>
      <c r="E46" s="21" t="s">
        <v>143</v>
      </c>
      <c r="F46" s="21" t="s">
        <v>466</v>
      </c>
      <c r="G46" s="21"/>
      <c r="H46" s="21" t="s">
        <v>543</v>
      </c>
      <c r="I46" s="21" t="s">
        <v>544</v>
      </c>
      <c r="J46" s="21" t="s">
        <v>545</v>
      </c>
      <c r="K46" s="21" t="s">
        <v>546</v>
      </c>
      <c r="L46" s="21" t="s">
        <v>254</v>
      </c>
      <c r="M46" s="21" t="s">
        <v>547</v>
      </c>
      <c r="N46" s="21" t="s">
        <v>523</v>
      </c>
      <c r="O46" s="21" t="s">
        <v>77</v>
      </c>
      <c r="P46" s="21" t="s">
        <v>59</v>
      </c>
      <c r="Q46" s="21" t="s">
        <v>60</v>
      </c>
      <c r="R46" s="23">
        <v>46500</v>
      </c>
      <c r="S46" s="21" t="s">
        <v>474</v>
      </c>
      <c r="T46" s="21"/>
      <c r="U46" s="21" t="s">
        <v>153</v>
      </c>
      <c r="V46" s="21" t="s">
        <v>548</v>
      </c>
      <c r="W46" s="21" t="s">
        <v>549</v>
      </c>
      <c r="X46" s="21">
        <v>1</v>
      </c>
      <c r="Y46" t="s">
        <v>66</v>
      </c>
      <c r="Z46" t="s">
        <v>66</v>
      </c>
    </row>
    <row r="47" spans="1:26" ht="15">
      <c r="A47" s="21" t="s">
        <v>3</v>
      </c>
      <c r="B47" s="21" t="s">
        <v>12</v>
      </c>
      <c r="C47" s="21" t="s">
        <v>523</v>
      </c>
      <c r="D47" s="21" t="s">
        <v>48</v>
      </c>
      <c r="E47" s="21" t="s">
        <v>143</v>
      </c>
      <c r="F47" s="21" t="s">
        <v>466</v>
      </c>
      <c r="G47" s="21"/>
      <c r="H47" s="21" t="s">
        <v>550</v>
      </c>
      <c r="I47" s="21" t="s">
        <v>551</v>
      </c>
      <c r="J47" s="21" t="s">
        <v>552</v>
      </c>
      <c r="K47" s="21" t="s">
        <v>553</v>
      </c>
      <c r="L47" s="21" t="s">
        <v>74</v>
      </c>
      <c r="M47" s="21" t="s">
        <v>554</v>
      </c>
      <c r="N47" s="21" t="s">
        <v>523</v>
      </c>
      <c r="O47" s="21" t="s">
        <v>77</v>
      </c>
      <c r="P47" s="21" t="s">
        <v>530</v>
      </c>
      <c r="Q47" s="21" t="s">
        <v>106</v>
      </c>
      <c r="R47" s="23">
        <v>9619</v>
      </c>
      <c r="S47" s="21" t="s">
        <v>474</v>
      </c>
      <c r="T47" s="21"/>
      <c r="U47" s="21" t="s">
        <v>153</v>
      </c>
      <c r="V47" s="21" t="s">
        <v>555</v>
      </c>
      <c r="W47" s="21" t="s">
        <v>556</v>
      </c>
      <c r="X47" s="21">
        <v>1</v>
      </c>
      <c r="Y47" t="s">
        <v>66</v>
      </c>
      <c r="Z47" t="s">
        <v>66</v>
      </c>
    </row>
    <row r="48" spans="1:26" ht="15">
      <c r="A48" s="21" t="s">
        <v>3</v>
      </c>
      <c r="B48" s="21" t="s">
        <v>12</v>
      </c>
      <c r="C48" s="21" t="s">
        <v>523</v>
      </c>
      <c r="D48" s="21" t="s">
        <v>48</v>
      </c>
      <c r="E48" s="21" t="s">
        <v>143</v>
      </c>
      <c r="F48" s="21" t="s">
        <v>466</v>
      </c>
      <c r="G48" s="21"/>
      <c r="H48" s="21" t="s">
        <v>557</v>
      </c>
      <c r="I48" s="21" t="s">
        <v>558</v>
      </c>
      <c r="J48" s="21" t="s">
        <v>559</v>
      </c>
      <c r="K48" s="21" t="s">
        <v>560</v>
      </c>
      <c r="L48" s="21" t="s">
        <v>56</v>
      </c>
      <c r="M48" s="21" t="s">
        <v>561</v>
      </c>
      <c r="N48" s="21" t="s">
        <v>523</v>
      </c>
      <c r="O48" s="21" t="s">
        <v>77</v>
      </c>
      <c r="P48" s="21" t="s">
        <v>562</v>
      </c>
      <c r="Q48" s="21" t="s">
        <v>106</v>
      </c>
      <c r="R48" s="23">
        <v>8556</v>
      </c>
      <c r="S48" s="21" t="s">
        <v>474</v>
      </c>
      <c r="T48" s="21"/>
      <c r="U48" s="21" t="s">
        <v>211</v>
      </c>
      <c r="V48" s="21" t="s">
        <v>563</v>
      </c>
      <c r="W48" s="21" t="s">
        <v>564</v>
      </c>
      <c r="X48" s="21">
        <v>1</v>
      </c>
      <c r="Y48" t="s">
        <v>66</v>
      </c>
      <c r="Z48" t="s">
        <v>66</v>
      </c>
    </row>
    <row r="49" spans="1:26" ht="15">
      <c r="A49" s="21" t="s">
        <v>3</v>
      </c>
      <c r="B49" s="21" t="s">
        <v>12</v>
      </c>
      <c r="C49" s="21" t="s">
        <v>523</v>
      </c>
      <c r="D49" s="21" t="s">
        <v>48</v>
      </c>
      <c r="E49" s="21" t="s">
        <v>143</v>
      </c>
      <c r="F49" s="21" t="s">
        <v>466</v>
      </c>
      <c r="G49" s="21"/>
      <c r="H49" s="21" t="s">
        <v>565</v>
      </c>
      <c r="I49" s="21" t="s">
        <v>566</v>
      </c>
      <c r="J49" s="21" t="s">
        <v>567</v>
      </c>
      <c r="K49" s="21" t="s">
        <v>568</v>
      </c>
      <c r="L49" s="21" t="s">
        <v>119</v>
      </c>
      <c r="M49" s="21" t="s">
        <v>569</v>
      </c>
      <c r="N49" s="21" t="s">
        <v>570</v>
      </c>
      <c r="O49" s="21" t="s">
        <v>571</v>
      </c>
      <c r="P49" s="21" t="s">
        <v>572</v>
      </c>
      <c r="Q49" s="21" t="s">
        <v>425</v>
      </c>
      <c r="R49" s="23">
        <v>2282447</v>
      </c>
      <c r="S49" s="21" t="s">
        <v>474</v>
      </c>
      <c r="T49" s="21"/>
      <c r="U49" s="21" t="s">
        <v>573</v>
      </c>
      <c r="V49" s="21" t="s">
        <v>574</v>
      </c>
      <c r="W49" s="21" t="s">
        <v>575</v>
      </c>
      <c r="X49" s="21">
        <v>2</v>
      </c>
      <c r="Y49" t="s">
        <v>66</v>
      </c>
      <c r="Z49" t="s">
        <v>66</v>
      </c>
    </row>
    <row r="50" spans="1:26" ht="15">
      <c r="A50" s="21" t="s">
        <v>3</v>
      </c>
      <c r="B50" s="21" t="s">
        <v>12</v>
      </c>
      <c r="C50" s="21" t="s">
        <v>523</v>
      </c>
      <c r="D50" s="21" t="s">
        <v>48</v>
      </c>
      <c r="E50" s="21" t="s">
        <v>143</v>
      </c>
      <c r="F50" s="21" t="s">
        <v>466</v>
      </c>
      <c r="G50" s="21"/>
      <c r="H50" s="21" t="s">
        <v>576</v>
      </c>
      <c r="I50" s="21" t="s">
        <v>577</v>
      </c>
      <c r="J50" s="21" t="s">
        <v>578</v>
      </c>
      <c r="K50" s="21" t="s">
        <v>579</v>
      </c>
      <c r="L50" s="21" t="s">
        <v>56</v>
      </c>
      <c r="M50" s="21" t="s">
        <v>580</v>
      </c>
      <c r="N50" s="21" t="s">
        <v>523</v>
      </c>
      <c r="O50" s="21" t="s">
        <v>77</v>
      </c>
      <c r="P50" s="21" t="s">
        <v>209</v>
      </c>
      <c r="Q50" s="21" t="s">
        <v>106</v>
      </c>
      <c r="R50" s="23">
        <v>347970</v>
      </c>
      <c r="S50" s="21" t="s">
        <v>474</v>
      </c>
      <c r="T50" s="21"/>
      <c r="U50" s="21" t="s">
        <v>153</v>
      </c>
      <c r="V50" s="21" t="s">
        <v>581</v>
      </c>
      <c r="W50" s="21" t="s">
        <v>582</v>
      </c>
      <c r="X50" s="21">
        <v>1</v>
      </c>
      <c r="Y50" t="s">
        <v>66</v>
      </c>
      <c r="Z50" t="s">
        <v>66</v>
      </c>
    </row>
    <row r="51" spans="1:26" ht="15">
      <c r="A51" s="21" t="s">
        <v>3</v>
      </c>
      <c r="B51" s="21" t="s">
        <v>12</v>
      </c>
      <c r="C51" s="21" t="s">
        <v>523</v>
      </c>
      <c r="D51" s="21" t="s">
        <v>48</v>
      </c>
      <c r="E51" s="21" t="s">
        <v>143</v>
      </c>
      <c r="F51" s="21" t="s">
        <v>466</v>
      </c>
      <c r="G51" s="21"/>
      <c r="H51" s="21" t="s">
        <v>583</v>
      </c>
      <c r="I51" s="21" t="s">
        <v>584</v>
      </c>
      <c r="J51" s="21" t="s">
        <v>585</v>
      </c>
      <c r="K51" s="21" t="s">
        <v>586</v>
      </c>
      <c r="L51" s="21" t="s">
        <v>74</v>
      </c>
      <c r="M51" s="21" t="s">
        <v>587</v>
      </c>
      <c r="N51" s="21" t="s">
        <v>523</v>
      </c>
      <c r="O51" s="21" t="s">
        <v>588</v>
      </c>
      <c r="P51" s="21" t="s">
        <v>508</v>
      </c>
      <c r="Q51" s="21" t="s">
        <v>106</v>
      </c>
      <c r="R51" s="23">
        <v>471905</v>
      </c>
      <c r="S51" s="21" t="s">
        <v>474</v>
      </c>
      <c r="T51" s="21"/>
      <c r="U51" s="21" t="s">
        <v>153</v>
      </c>
      <c r="V51" s="21" t="s">
        <v>589</v>
      </c>
      <c r="W51" s="21" t="s">
        <v>590</v>
      </c>
      <c r="X51" s="21">
        <v>1</v>
      </c>
      <c r="Y51" t="s">
        <v>66</v>
      </c>
      <c r="Z51" t="s">
        <v>66</v>
      </c>
    </row>
    <row r="52" spans="1:26" ht="15">
      <c r="A52" s="21" t="s">
        <v>3</v>
      </c>
      <c r="B52" s="21" t="s">
        <v>12</v>
      </c>
      <c r="C52" s="21" t="s">
        <v>523</v>
      </c>
      <c r="D52" s="21" t="s">
        <v>48</v>
      </c>
      <c r="E52" s="21" t="s">
        <v>49</v>
      </c>
      <c r="F52" s="21" t="s">
        <v>50</v>
      </c>
      <c r="G52" s="21" t="s">
        <v>418</v>
      </c>
      <c r="H52" s="21" t="s">
        <v>591</v>
      </c>
      <c r="I52" s="21" t="s">
        <v>592</v>
      </c>
      <c r="J52" s="21" t="s">
        <v>593</v>
      </c>
      <c r="K52" s="21" t="s">
        <v>594</v>
      </c>
      <c r="L52" s="21" t="s">
        <v>149</v>
      </c>
      <c r="M52" s="21" t="s">
        <v>595</v>
      </c>
      <c r="N52" s="21" t="s">
        <v>523</v>
      </c>
      <c r="O52" s="21" t="s">
        <v>507</v>
      </c>
      <c r="P52" s="21" t="s">
        <v>59</v>
      </c>
      <c r="Q52" s="21" t="s">
        <v>60</v>
      </c>
      <c r="R52" s="23">
        <v>116313</v>
      </c>
      <c r="S52" s="21" t="s">
        <v>426</v>
      </c>
      <c r="T52" s="21"/>
      <c r="U52" s="21" t="s">
        <v>62</v>
      </c>
      <c r="V52" s="21" t="s">
        <v>596</v>
      </c>
      <c r="W52" s="21" t="s">
        <v>597</v>
      </c>
      <c r="X52" s="21">
        <v>1</v>
      </c>
      <c r="Y52" t="s">
        <v>66</v>
      </c>
      <c r="Z52" t="s">
        <v>66</v>
      </c>
    </row>
    <row r="53" spans="1:26" ht="15">
      <c r="A53" s="21" t="s">
        <v>3</v>
      </c>
      <c r="B53" s="21" t="s">
        <v>12</v>
      </c>
      <c r="C53" s="21" t="s">
        <v>598</v>
      </c>
      <c r="D53" s="21" t="s">
        <v>48</v>
      </c>
      <c r="E53" s="21" t="s">
        <v>143</v>
      </c>
      <c r="F53" s="21" t="s">
        <v>466</v>
      </c>
      <c r="G53" s="21"/>
      <c r="H53" s="21" t="s">
        <v>599</v>
      </c>
      <c r="I53" s="21" t="s">
        <v>600</v>
      </c>
      <c r="J53" s="21" t="s">
        <v>601</v>
      </c>
      <c r="K53" s="21" t="s">
        <v>602</v>
      </c>
      <c r="L53" s="21" t="s">
        <v>74</v>
      </c>
      <c r="M53" s="21" t="s">
        <v>603</v>
      </c>
      <c r="N53" s="21" t="s">
        <v>598</v>
      </c>
      <c r="O53" s="21" t="s">
        <v>77</v>
      </c>
      <c r="P53" s="21" t="s">
        <v>530</v>
      </c>
      <c r="Q53" s="21" t="s">
        <v>106</v>
      </c>
      <c r="R53" s="23">
        <v>20475</v>
      </c>
      <c r="S53" s="21" t="s">
        <v>604</v>
      </c>
      <c r="T53" s="21"/>
      <c r="U53" s="21" t="s">
        <v>153</v>
      </c>
      <c r="V53" s="21" t="s">
        <v>605</v>
      </c>
      <c r="W53" s="21" t="s">
        <v>606</v>
      </c>
      <c r="X53" s="21">
        <v>1</v>
      </c>
      <c r="Y53" t="s">
        <v>66</v>
      </c>
      <c r="Z53" t="s">
        <v>66</v>
      </c>
    </row>
    <row r="54" spans="1:26" ht="15">
      <c r="A54" s="21" t="s">
        <v>3</v>
      </c>
      <c r="B54" s="21" t="s">
        <v>12</v>
      </c>
      <c r="C54" s="21" t="s">
        <v>607</v>
      </c>
      <c r="D54" s="21" t="s">
        <v>48</v>
      </c>
      <c r="E54" s="21" t="s">
        <v>143</v>
      </c>
      <c r="F54" s="21" t="s">
        <v>466</v>
      </c>
      <c r="G54" s="21"/>
      <c r="H54" s="21" t="s">
        <v>608</v>
      </c>
      <c r="I54" s="21" t="s">
        <v>609</v>
      </c>
      <c r="J54" s="21" t="s">
        <v>610</v>
      </c>
      <c r="K54" s="21" t="s">
        <v>611</v>
      </c>
      <c r="L54" s="21" t="s">
        <v>74</v>
      </c>
      <c r="M54" s="21" t="s">
        <v>75</v>
      </c>
      <c r="N54" s="21" t="s">
        <v>607</v>
      </c>
      <c r="O54" s="21" t="s">
        <v>612</v>
      </c>
      <c r="P54" s="21" t="s">
        <v>59</v>
      </c>
      <c r="Q54" s="21" t="s">
        <v>60</v>
      </c>
      <c r="R54" s="23">
        <v>271381</v>
      </c>
      <c r="S54" s="21" t="s">
        <v>474</v>
      </c>
      <c r="T54" s="21"/>
      <c r="U54" s="21" t="s">
        <v>153</v>
      </c>
      <c r="V54" s="21" t="s">
        <v>613</v>
      </c>
      <c r="W54" s="21" t="s">
        <v>614</v>
      </c>
      <c r="X54" s="21">
        <v>1</v>
      </c>
      <c r="Y54" t="s">
        <v>66</v>
      </c>
      <c r="Z54" t="s">
        <v>66</v>
      </c>
    </row>
    <row r="55" spans="1:26" ht="15">
      <c r="A55" s="21" t="s">
        <v>3</v>
      </c>
      <c r="B55" s="21" t="s">
        <v>12</v>
      </c>
      <c r="C55" s="21" t="s">
        <v>615</v>
      </c>
      <c r="D55" s="21" t="s">
        <v>48</v>
      </c>
      <c r="E55" s="21" t="s">
        <v>143</v>
      </c>
      <c r="F55" s="21" t="s">
        <v>156</v>
      </c>
      <c r="G55" s="21"/>
      <c r="H55" s="21" t="s">
        <v>616</v>
      </c>
      <c r="I55" s="21" t="s">
        <v>617</v>
      </c>
      <c r="J55" s="21" t="s">
        <v>618</v>
      </c>
      <c r="K55" s="21" t="s">
        <v>619</v>
      </c>
      <c r="L55" s="21" t="s">
        <v>119</v>
      </c>
      <c r="M55" s="21" t="s">
        <v>620</v>
      </c>
      <c r="N55" s="21" t="s">
        <v>615</v>
      </c>
      <c r="O55" s="21" t="s">
        <v>621</v>
      </c>
      <c r="P55" s="21" t="s">
        <v>622</v>
      </c>
      <c r="Q55" s="21" t="s">
        <v>106</v>
      </c>
      <c r="R55" s="23">
        <v>32588</v>
      </c>
      <c r="S55" s="21" t="s">
        <v>234</v>
      </c>
      <c r="T55" s="21"/>
      <c r="U55" s="21" t="s">
        <v>62</v>
      </c>
      <c r="V55" s="21" t="s">
        <v>623</v>
      </c>
      <c r="W55" s="21" t="s">
        <v>624</v>
      </c>
      <c r="X55" s="21">
        <v>1</v>
      </c>
      <c r="Y55" t="s">
        <v>66</v>
      </c>
      <c r="Z55" t="s">
        <v>66</v>
      </c>
    </row>
    <row r="56" spans="1:26" ht="15">
      <c r="A56" s="21" t="s">
        <v>3</v>
      </c>
      <c r="B56" s="21" t="s">
        <v>13</v>
      </c>
      <c r="C56" s="21" t="s">
        <v>625</v>
      </c>
      <c r="D56" s="21" t="s">
        <v>48</v>
      </c>
      <c r="E56" s="21" t="s">
        <v>68</v>
      </c>
      <c r="F56" s="21" t="s">
        <v>348</v>
      </c>
      <c r="G56" s="21"/>
      <c r="H56" s="21" t="s">
        <v>626</v>
      </c>
      <c r="I56" s="21" t="s">
        <v>627</v>
      </c>
      <c r="J56" s="21" t="s">
        <v>628</v>
      </c>
      <c r="K56" s="21" t="s">
        <v>629</v>
      </c>
      <c r="L56" s="21" t="s">
        <v>134</v>
      </c>
      <c r="M56" s="21" t="s">
        <v>630</v>
      </c>
      <c r="N56" s="21" t="s">
        <v>631</v>
      </c>
      <c r="O56" s="21" t="s">
        <v>77</v>
      </c>
      <c r="P56" s="21" t="s">
        <v>59</v>
      </c>
      <c r="Q56" s="21" t="s">
        <v>60</v>
      </c>
      <c r="R56" s="23">
        <v>74694</v>
      </c>
      <c r="S56" s="21" t="s">
        <v>357</v>
      </c>
      <c r="T56" s="21"/>
      <c r="U56" s="21" t="s">
        <v>358</v>
      </c>
      <c r="V56" s="21" t="s">
        <v>632</v>
      </c>
      <c r="W56" s="21" t="s">
        <v>633</v>
      </c>
      <c r="X56" s="21">
        <v>1</v>
      </c>
      <c r="Y56" t="s">
        <v>66</v>
      </c>
      <c r="Z56" t="s">
        <v>66</v>
      </c>
    </row>
    <row r="57" spans="1:26" ht="15">
      <c r="A57" s="21" t="s">
        <v>3</v>
      </c>
      <c r="B57" s="21" t="s">
        <v>13</v>
      </c>
      <c r="C57" s="21" t="s">
        <v>634</v>
      </c>
      <c r="D57" s="21" t="s">
        <v>48</v>
      </c>
      <c r="E57" s="21" t="s">
        <v>49</v>
      </c>
      <c r="F57" s="21" t="s">
        <v>50</v>
      </c>
      <c r="G57" s="21" t="s">
        <v>418</v>
      </c>
      <c r="H57" s="21" t="s">
        <v>635</v>
      </c>
      <c r="I57" s="21" t="s">
        <v>636</v>
      </c>
      <c r="J57" s="21" t="s">
        <v>637</v>
      </c>
      <c r="K57" s="21" t="s">
        <v>638</v>
      </c>
      <c r="L57" s="21" t="s">
        <v>119</v>
      </c>
      <c r="M57" s="21" t="s">
        <v>639</v>
      </c>
      <c r="N57" s="21" t="s">
        <v>634</v>
      </c>
      <c r="O57" s="21" t="s">
        <v>77</v>
      </c>
      <c r="P57" s="21" t="s">
        <v>245</v>
      </c>
      <c r="Q57" s="21" t="s">
        <v>106</v>
      </c>
      <c r="R57" s="23">
        <v>27197</v>
      </c>
      <c r="S57" s="21" t="s">
        <v>426</v>
      </c>
      <c r="T57" s="21"/>
      <c r="U57" s="21" t="s">
        <v>211</v>
      </c>
      <c r="V57" s="21" t="s">
        <v>640</v>
      </c>
      <c r="W57" s="21" t="s">
        <v>641</v>
      </c>
      <c r="X57" s="21">
        <v>2</v>
      </c>
      <c r="Y57" t="s">
        <v>66</v>
      </c>
      <c r="Z57" t="s">
        <v>66</v>
      </c>
    </row>
    <row r="58" spans="1:26" ht="15">
      <c r="A58" s="21" t="s">
        <v>3</v>
      </c>
      <c r="B58" s="21" t="s">
        <v>13</v>
      </c>
      <c r="C58" s="21" t="s">
        <v>642</v>
      </c>
      <c r="D58" s="21" t="s">
        <v>48</v>
      </c>
      <c r="E58" s="21" t="s">
        <v>68</v>
      </c>
      <c r="F58" s="21" t="s">
        <v>348</v>
      </c>
      <c r="G58" s="21"/>
      <c r="H58" s="21" t="s">
        <v>643</v>
      </c>
      <c r="I58" s="21" t="s">
        <v>644</v>
      </c>
      <c r="J58" s="21" t="s">
        <v>645</v>
      </c>
      <c r="K58" s="21" t="s">
        <v>646</v>
      </c>
      <c r="L58" s="21" t="s">
        <v>56</v>
      </c>
      <c r="M58" s="21" t="s">
        <v>647</v>
      </c>
      <c r="N58" s="21" t="s">
        <v>642</v>
      </c>
      <c r="O58" s="21" t="s">
        <v>77</v>
      </c>
      <c r="P58" s="21" t="s">
        <v>59</v>
      </c>
      <c r="Q58" s="21" t="s">
        <v>425</v>
      </c>
      <c r="R58" s="23">
        <v>12964</v>
      </c>
      <c r="S58" s="21" t="s">
        <v>357</v>
      </c>
      <c r="T58" s="21"/>
      <c r="U58" s="21" t="s">
        <v>358</v>
      </c>
      <c r="V58" s="21" t="s">
        <v>648</v>
      </c>
      <c r="W58" s="21" t="s">
        <v>649</v>
      </c>
      <c r="X58" s="21">
        <v>1</v>
      </c>
      <c r="Y58" t="s">
        <v>66</v>
      </c>
      <c r="Z58" t="s">
        <v>66</v>
      </c>
    </row>
    <row r="59" spans="1:26" ht="15">
      <c r="A59" s="21" t="s">
        <v>3</v>
      </c>
      <c r="B59" s="21" t="s">
        <v>14</v>
      </c>
      <c r="C59" s="21" t="s">
        <v>650</v>
      </c>
      <c r="D59" s="21" t="s">
        <v>48</v>
      </c>
      <c r="E59" s="21" t="s">
        <v>143</v>
      </c>
      <c r="F59" s="21" t="s">
        <v>500</v>
      </c>
      <c r="G59" s="21"/>
      <c r="H59" s="21" t="s">
        <v>651</v>
      </c>
      <c r="I59" s="21" t="s">
        <v>652</v>
      </c>
      <c r="J59" s="21" t="s">
        <v>653</v>
      </c>
      <c r="K59" s="21" t="s">
        <v>654</v>
      </c>
      <c r="L59" s="21" t="s">
        <v>254</v>
      </c>
      <c r="M59" s="21" t="s">
        <v>655</v>
      </c>
      <c r="N59" s="21" t="s">
        <v>656</v>
      </c>
      <c r="O59" s="21" t="s">
        <v>657</v>
      </c>
      <c r="P59" s="21" t="s">
        <v>245</v>
      </c>
      <c r="Q59" s="21" t="s">
        <v>106</v>
      </c>
      <c r="R59" s="23">
        <v>28847</v>
      </c>
      <c r="S59" s="21" t="s">
        <v>509</v>
      </c>
      <c r="T59" s="21"/>
      <c r="U59" s="21" t="s">
        <v>153</v>
      </c>
      <c r="V59" s="21" t="s">
        <v>658</v>
      </c>
      <c r="W59" s="21" t="s">
        <v>659</v>
      </c>
      <c r="X59" s="21">
        <v>2</v>
      </c>
      <c r="Y59" t="s">
        <v>65</v>
      </c>
      <c r="Z59" t="s">
        <v>66</v>
      </c>
    </row>
    <row r="60" spans="1:26" ht="15">
      <c r="A60" s="21" t="s">
        <v>3</v>
      </c>
      <c r="B60" s="21" t="s">
        <v>14</v>
      </c>
      <c r="C60" s="21" t="s">
        <v>650</v>
      </c>
      <c r="D60" s="21" t="s">
        <v>48</v>
      </c>
      <c r="E60" s="21" t="s">
        <v>143</v>
      </c>
      <c r="F60" s="21" t="s">
        <v>500</v>
      </c>
      <c r="G60" s="21"/>
      <c r="H60" s="21" t="s">
        <v>660</v>
      </c>
      <c r="I60" s="21" t="s">
        <v>661</v>
      </c>
      <c r="J60" s="21" t="s">
        <v>662</v>
      </c>
      <c r="K60" s="21" t="s">
        <v>663</v>
      </c>
      <c r="L60" s="21" t="s">
        <v>254</v>
      </c>
      <c r="M60" s="21" t="s">
        <v>664</v>
      </c>
      <c r="N60" s="21" t="s">
        <v>656</v>
      </c>
      <c r="O60" s="21" t="s">
        <v>77</v>
      </c>
      <c r="P60" s="21" t="s">
        <v>245</v>
      </c>
      <c r="Q60" s="21" t="s">
        <v>106</v>
      </c>
      <c r="R60" s="23">
        <v>28702</v>
      </c>
      <c r="S60" s="21" t="s">
        <v>509</v>
      </c>
      <c r="T60" s="21"/>
      <c r="U60" s="21" t="s">
        <v>153</v>
      </c>
      <c r="V60" s="21" t="s">
        <v>665</v>
      </c>
      <c r="W60" s="21" t="s">
        <v>666</v>
      </c>
      <c r="X60" s="21">
        <v>2</v>
      </c>
      <c r="Y60" t="s">
        <v>65</v>
      </c>
      <c r="Z60" t="s">
        <v>66</v>
      </c>
    </row>
    <row r="61" spans="1:26" ht="15">
      <c r="A61" s="21" t="s">
        <v>3</v>
      </c>
      <c r="B61" s="21" t="s">
        <v>14</v>
      </c>
      <c r="C61" s="21" t="s">
        <v>667</v>
      </c>
      <c r="D61" s="21" t="s">
        <v>48</v>
      </c>
      <c r="E61" s="21" t="s">
        <v>68</v>
      </c>
      <c r="F61" s="21" t="s">
        <v>668</v>
      </c>
      <c r="G61" s="21" t="s">
        <v>51</v>
      </c>
      <c r="H61" s="21" t="s">
        <v>669</v>
      </c>
      <c r="I61" s="21" t="s">
        <v>670</v>
      </c>
      <c r="J61" s="21" t="s">
        <v>671</v>
      </c>
      <c r="K61" s="21" t="s">
        <v>672</v>
      </c>
      <c r="L61" s="21" t="s">
        <v>74</v>
      </c>
      <c r="M61" s="21" t="s">
        <v>673</v>
      </c>
      <c r="N61" s="21" t="s">
        <v>667</v>
      </c>
      <c r="O61" s="21" t="s">
        <v>674</v>
      </c>
      <c r="P61" s="21" t="s">
        <v>59</v>
      </c>
      <c r="Q61" s="21" t="s">
        <v>106</v>
      </c>
      <c r="R61" s="23">
        <v>68322</v>
      </c>
      <c r="S61" s="21" t="s">
        <v>675</v>
      </c>
      <c r="T61" s="21"/>
      <c r="U61" s="21" t="s">
        <v>140</v>
      </c>
      <c r="V61" s="21" t="s">
        <v>676</v>
      </c>
      <c r="W61" s="21" t="s">
        <v>677</v>
      </c>
      <c r="X61" s="21">
        <v>2</v>
      </c>
      <c r="Y61" t="s">
        <v>65</v>
      </c>
      <c r="Z61" t="s">
        <v>66</v>
      </c>
    </row>
    <row r="62" spans="1:26" ht="15">
      <c r="A62" s="21" t="s">
        <v>3</v>
      </c>
      <c r="B62" s="21" t="s">
        <v>15</v>
      </c>
      <c r="C62" s="21" t="s">
        <v>678</v>
      </c>
      <c r="D62" s="21" t="s">
        <v>48</v>
      </c>
      <c r="E62" s="21" t="s">
        <v>68</v>
      </c>
      <c r="F62" s="21" t="s">
        <v>348</v>
      </c>
      <c r="G62" s="21"/>
      <c r="H62" s="21" t="s">
        <v>679</v>
      </c>
      <c r="I62" s="21" t="s">
        <v>680</v>
      </c>
      <c r="J62" s="21" t="s">
        <v>681</v>
      </c>
      <c r="K62" s="21" t="s">
        <v>682</v>
      </c>
      <c r="L62" s="21" t="s">
        <v>74</v>
      </c>
      <c r="M62" s="21" t="s">
        <v>683</v>
      </c>
      <c r="N62" s="21" t="s">
        <v>678</v>
      </c>
      <c r="O62" s="21" t="s">
        <v>684</v>
      </c>
      <c r="P62" s="21" t="s">
        <v>90</v>
      </c>
      <c r="Q62" s="21" t="s">
        <v>106</v>
      </c>
      <c r="R62" s="23">
        <v>245878</v>
      </c>
      <c r="S62" s="21" t="s">
        <v>357</v>
      </c>
      <c r="T62" s="21"/>
      <c r="U62" s="21" t="s">
        <v>358</v>
      </c>
      <c r="V62" s="21" t="s">
        <v>685</v>
      </c>
      <c r="W62" s="21" t="s">
        <v>686</v>
      </c>
      <c r="X62" s="21">
        <v>1</v>
      </c>
      <c r="Y62" t="s">
        <v>66</v>
      </c>
      <c r="Z62" t="s">
        <v>66</v>
      </c>
    </row>
    <row r="63" spans="1:26" ht="15">
      <c r="A63" s="21" t="s">
        <v>3</v>
      </c>
      <c r="B63" s="21" t="s">
        <v>15</v>
      </c>
      <c r="C63" s="21" t="s">
        <v>678</v>
      </c>
      <c r="D63" s="21" t="s">
        <v>48</v>
      </c>
      <c r="E63" s="21" t="s">
        <v>143</v>
      </c>
      <c r="F63" s="21" t="s">
        <v>687</v>
      </c>
      <c r="G63" s="21"/>
      <c r="H63" s="21" t="s">
        <v>688</v>
      </c>
      <c r="I63" s="21" t="s">
        <v>689</v>
      </c>
      <c r="J63" s="21" t="s">
        <v>690</v>
      </c>
      <c r="K63" s="21" t="s">
        <v>691</v>
      </c>
      <c r="L63" s="21" t="s">
        <v>254</v>
      </c>
      <c r="M63" s="21" t="s">
        <v>692</v>
      </c>
      <c r="N63" s="21" t="s">
        <v>678</v>
      </c>
      <c r="O63" s="21" t="s">
        <v>77</v>
      </c>
      <c r="P63" s="21" t="s">
        <v>693</v>
      </c>
      <c r="Q63" s="21" t="s">
        <v>106</v>
      </c>
      <c r="R63" s="23">
        <v>2544</v>
      </c>
      <c r="S63" s="21" t="s">
        <v>694</v>
      </c>
      <c r="T63" s="21"/>
      <c r="U63" s="21" t="s">
        <v>153</v>
      </c>
      <c r="V63" s="21" t="s">
        <v>695</v>
      </c>
      <c r="W63" s="21" t="s">
        <v>696</v>
      </c>
      <c r="X63" s="21">
        <v>1</v>
      </c>
      <c r="Y63" t="s">
        <v>66</v>
      </c>
      <c r="Z63" t="s">
        <v>66</v>
      </c>
    </row>
    <row r="64" spans="1:26" ht="15">
      <c r="A64" s="38" t="s">
        <v>3</v>
      </c>
      <c r="B64" s="38" t="s">
        <v>16</v>
      </c>
      <c r="C64" s="38" t="s">
        <v>697</v>
      </c>
      <c r="D64" s="38" t="s">
        <v>48</v>
      </c>
      <c r="E64" s="38" t="s">
        <v>698</v>
      </c>
      <c r="F64" s="38" t="s">
        <v>699</v>
      </c>
      <c r="G64" s="38"/>
      <c r="H64" s="38" t="s">
        <v>700</v>
      </c>
      <c r="I64" s="38" t="s">
        <v>701</v>
      </c>
      <c r="J64" s="38" t="s">
        <v>702</v>
      </c>
      <c r="K64" s="38" t="s">
        <v>703</v>
      </c>
      <c r="L64" s="38" t="s">
        <v>56</v>
      </c>
      <c r="M64" s="38" t="s">
        <v>704</v>
      </c>
      <c r="N64" s="38" t="s">
        <v>697</v>
      </c>
      <c r="O64" s="38" t="s">
        <v>77</v>
      </c>
      <c r="P64" s="38" t="s">
        <v>90</v>
      </c>
      <c r="Q64" s="38" t="s">
        <v>425</v>
      </c>
      <c r="R64" s="39">
        <v>183161</v>
      </c>
      <c r="S64" s="38" t="s">
        <v>705</v>
      </c>
      <c r="T64" s="38"/>
      <c r="U64" s="38" t="s">
        <v>358</v>
      </c>
      <c r="V64" s="38" t="s">
        <v>706</v>
      </c>
      <c r="W64" s="38" t="s">
        <v>707</v>
      </c>
      <c r="X64" s="38">
        <v>3</v>
      </c>
      <c r="Y64" s="40" t="s">
        <v>65</v>
      </c>
      <c r="Z64" s="40" t="s">
        <v>111</v>
      </c>
    </row>
    <row r="65" spans="1:26" ht="15">
      <c r="A65" s="38" t="s">
        <v>3</v>
      </c>
      <c r="B65" s="38" t="s">
        <v>17</v>
      </c>
      <c r="C65" s="38" t="s">
        <v>708</v>
      </c>
      <c r="D65" s="38" t="s">
        <v>48</v>
      </c>
      <c r="E65" s="38" t="s">
        <v>68</v>
      </c>
      <c r="F65" s="38" t="s">
        <v>348</v>
      </c>
      <c r="G65" s="38" t="s">
        <v>51</v>
      </c>
      <c r="H65" s="38" t="s">
        <v>709</v>
      </c>
      <c r="I65" s="38" t="s">
        <v>710</v>
      </c>
      <c r="J65" s="38" t="s">
        <v>711</v>
      </c>
      <c r="K65" s="38" t="s">
        <v>712</v>
      </c>
      <c r="L65" s="38" t="s">
        <v>56</v>
      </c>
      <c r="M65" s="38" t="s">
        <v>713</v>
      </c>
      <c r="N65" s="38" t="s">
        <v>708</v>
      </c>
      <c r="O65" s="38" t="s">
        <v>714</v>
      </c>
      <c r="P65" s="38" t="s">
        <v>245</v>
      </c>
      <c r="Q65" s="38" t="s">
        <v>106</v>
      </c>
      <c r="R65" s="39">
        <v>6560</v>
      </c>
      <c r="S65" s="38" t="s">
        <v>715</v>
      </c>
      <c r="T65" s="38"/>
      <c r="U65" s="38" t="s">
        <v>358</v>
      </c>
      <c r="V65" s="38" t="s">
        <v>716</v>
      </c>
      <c r="W65" s="38" t="s">
        <v>717</v>
      </c>
      <c r="X65" s="38">
        <v>1</v>
      </c>
      <c r="Y65" s="40" t="s">
        <v>65</v>
      </c>
      <c r="Z65" s="40" t="s">
        <v>111</v>
      </c>
    </row>
    <row r="66" spans="1:26" ht="15">
      <c r="A66" s="21" t="s">
        <v>3</v>
      </c>
      <c r="B66" s="21" t="s">
        <v>18</v>
      </c>
      <c r="C66" s="21" t="s">
        <v>718</v>
      </c>
      <c r="D66" s="21" t="s">
        <v>48</v>
      </c>
      <c r="E66" s="21" t="s">
        <v>49</v>
      </c>
      <c r="F66" s="21" t="s">
        <v>50</v>
      </c>
      <c r="G66" s="21" t="s">
        <v>418</v>
      </c>
      <c r="H66" s="21" t="s">
        <v>719</v>
      </c>
      <c r="I66" s="21" t="s">
        <v>720</v>
      </c>
      <c r="J66" s="21" t="s">
        <v>721</v>
      </c>
      <c r="K66" s="21" t="s">
        <v>722</v>
      </c>
      <c r="L66" s="21" t="s">
        <v>56</v>
      </c>
      <c r="M66" s="21" t="s">
        <v>723</v>
      </c>
      <c r="N66" s="21" t="s">
        <v>718</v>
      </c>
      <c r="O66" s="21" t="s">
        <v>724</v>
      </c>
      <c r="P66" s="21" t="s">
        <v>59</v>
      </c>
      <c r="Q66" s="21" t="s">
        <v>60</v>
      </c>
      <c r="R66" s="23">
        <v>12258</v>
      </c>
      <c r="S66" s="21" t="s">
        <v>426</v>
      </c>
      <c r="T66" s="21"/>
      <c r="U66" s="21" t="s">
        <v>211</v>
      </c>
      <c r="V66" s="21" t="s">
        <v>725</v>
      </c>
      <c r="W66" s="21" t="s">
        <v>726</v>
      </c>
      <c r="X66" s="21">
        <v>1</v>
      </c>
      <c r="Y66" t="s">
        <v>66</v>
      </c>
      <c r="Z66" t="s">
        <v>66</v>
      </c>
    </row>
    <row r="67" spans="1:26" ht="15">
      <c r="A67" s="21" t="s">
        <v>3</v>
      </c>
      <c r="B67" s="21" t="s">
        <v>18</v>
      </c>
      <c r="C67" s="21" t="s">
        <v>718</v>
      </c>
      <c r="D67" s="21" t="s">
        <v>48</v>
      </c>
      <c r="E67" s="21" t="s">
        <v>49</v>
      </c>
      <c r="F67" s="21" t="s">
        <v>50</v>
      </c>
      <c r="G67" s="21" t="s">
        <v>418</v>
      </c>
      <c r="H67" s="21" t="s">
        <v>727</v>
      </c>
      <c r="I67" s="21" t="s">
        <v>728</v>
      </c>
      <c r="J67" s="21" t="s">
        <v>729</v>
      </c>
      <c r="K67" s="21" t="s">
        <v>730</v>
      </c>
      <c r="L67" s="21" t="s">
        <v>119</v>
      </c>
      <c r="M67" s="21" t="s">
        <v>731</v>
      </c>
      <c r="N67" s="21" t="s">
        <v>718</v>
      </c>
      <c r="O67" s="21" t="s">
        <v>732</v>
      </c>
      <c r="P67" s="21" t="s">
        <v>59</v>
      </c>
      <c r="Q67" s="21" t="s">
        <v>60</v>
      </c>
      <c r="R67" s="23">
        <v>67110</v>
      </c>
      <c r="S67" s="21" t="s">
        <v>426</v>
      </c>
      <c r="T67" s="21"/>
      <c r="U67" s="21" t="s">
        <v>211</v>
      </c>
      <c r="V67" s="21" t="s">
        <v>733</v>
      </c>
      <c r="W67" s="21" t="s">
        <v>734</v>
      </c>
      <c r="X67" s="21">
        <v>1</v>
      </c>
      <c r="Y67" t="s">
        <v>66</v>
      </c>
      <c r="Z67" t="s">
        <v>66</v>
      </c>
    </row>
    <row r="68" spans="1:26" ht="15">
      <c r="A68" s="21" t="s">
        <v>3</v>
      </c>
      <c r="B68" s="21" t="s">
        <v>19</v>
      </c>
      <c r="C68" s="21" t="s">
        <v>735</v>
      </c>
      <c r="D68" s="21" t="s">
        <v>48</v>
      </c>
      <c r="E68" s="21" t="s">
        <v>68</v>
      </c>
      <c r="F68" s="21" t="s">
        <v>348</v>
      </c>
      <c r="G68" s="21"/>
      <c r="H68" s="21" t="s">
        <v>736</v>
      </c>
      <c r="I68" s="21" t="s">
        <v>737</v>
      </c>
      <c r="J68" s="21" t="s">
        <v>738</v>
      </c>
      <c r="K68" s="21" t="s">
        <v>739</v>
      </c>
      <c r="L68" s="21" t="s">
        <v>74</v>
      </c>
      <c r="M68" s="21" t="s">
        <v>740</v>
      </c>
      <c r="N68" s="21" t="s">
        <v>741</v>
      </c>
      <c r="O68" s="21" t="s">
        <v>742</v>
      </c>
      <c r="P68" s="21" t="s">
        <v>59</v>
      </c>
      <c r="Q68" s="21" t="s">
        <v>60</v>
      </c>
      <c r="R68" s="23">
        <v>372619</v>
      </c>
      <c r="S68" s="21" t="s">
        <v>357</v>
      </c>
      <c r="T68" s="21"/>
      <c r="U68" s="21" t="s">
        <v>140</v>
      </c>
      <c r="V68" s="21" t="s">
        <v>743</v>
      </c>
      <c r="W68" s="21" t="s">
        <v>744</v>
      </c>
      <c r="X68" s="21">
        <v>2</v>
      </c>
      <c r="Y68" t="s">
        <v>66</v>
      </c>
      <c r="Z68" t="s">
        <v>66</v>
      </c>
    </row>
    <row r="69" spans="1:26" ht="15">
      <c r="A69" s="21" t="s">
        <v>3</v>
      </c>
      <c r="B69" s="21" t="s">
        <v>19</v>
      </c>
      <c r="C69" s="21" t="s">
        <v>745</v>
      </c>
      <c r="D69" s="21" t="s">
        <v>48</v>
      </c>
      <c r="E69" s="21" t="s">
        <v>68</v>
      </c>
      <c r="F69" s="21" t="s">
        <v>348</v>
      </c>
      <c r="G69" s="21"/>
      <c r="H69" s="21" t="s">
        <v>746</v>
      </c>
      <c r="I69" s="21" t="s">
        <v>747</v>
      </c>
      <c r="J69" s="21" t="s">
        <v>748</v>
      </c>
      <c r="K69" s="21" t="s">
        <v>749</v>
      </c>
      <c r="L69" s="21" t="s">
        <v>119</v>
      </c>
      <c r="M69" s="21" t="s">
        <v>750</v>
      </c>
      <c r="N69" s="21" t="s">
        <v>745</v>
      </c>
      <c r="O69" s="21" t="s">
        <v>77</v>
      </c>
      <c r="P69" s="21" t="s">
        <v>751</v>
      </c>
      <c r="Q69" s="21" t="s">
        <v>106</v>
      </c>
      <c r="R69" s="23">
        <v>103228</v>
      </c>
      <c r="S69" s="21" t="s">
        <v>357</v>
      </c>
      <c r="T69" s="21"/>
      <c r="U69" s="21" t="s">
        <v>140</v>
      </c>
      <c r="V69" s="21" t="s">
        <v>752</v>
      </c>
      <c r="W69" s="21" t="s">
        <v>753</v>
      </c>
      <c r="X69" s="21">
        <v>1</v>
      </c>
      <c r="Y69" t="s">
        <v>66</v>
      </c>
      <c r="Z69" t="s">
        <v>66</v>
      </c>
    </row>
    <row r="70" spans="1:26" ht="15">
      <c r="A70" s="21" t="s">
        <v>3</v>
      </c>
      <c r="B70" s="21" t="s">
        <v>21</v>
      </c>
      <c r="C70" s="21" t="s">
        <v>754</v>
      </c>
      <c r="D70" s="21" t="s">
        <v>48</v>
      </c>
      <c r="E70" s="21" t="s">
        <v>128</v>
      </c>
      <c r="F70" s="21" t="s">
        <v>755</v>
      </c>
      <c r="G70" s="21" t="s">
        <v>311</v>
      </c>
      <c r="H70" s="21" t="s">
        <v>756</v>
      </c>
      <c r="I70" s="21" t="s">
        <v>757</v>
      </c>
      <c r="J70" s="21" t="s">
        <v>758</v>
      </c>
      <c r="K70" s="21" t="s">
        <v>759</v>
      </c>
      <c r="L70" s="21" t="s">
        <v>56</v>
      </c>
      <c r="M70" s="21" t="s">
        <v>760</v>
      </c>
      <c r="N70" s="21" t="s">
        <v>761</v>
      </c>
      <c r="O70" s="21" t="s">
        <v>77</v>
      </c>
      <c r="P70" s="21" t="s">
        <v>762</v>
      </c>
      <c r="Q70" s="21" t="s">
        <v>425</v>
      </c>
      <c r="R70" s="23">
        <v>806646</v>
      </c>
      <c r="S70" s="21" t="s">
        <v>763</v>
      </c>
      <c r="T70" s="21"/>
      <c r="U70" s="21" t="s">
        <v>358</v>
      </c>
      <c r="V70" s="21" t="s">
        <v>764</v>
      </c>
      <c r="W70" s="21" t="s">
        <v>765</v>
      </c>
      <c r="X70" s="21">
        <v>3</v>
      </c>
      <c r="Y70" t="s">
        <v>65</v>
      </c>
      <c r="Z70" t="s">
        <v>66</v>
      </c>
    </row>
    <row r="71" spans="1:26" ht="15">
      <c r="A71" s="21" t="s">
        <v>3</v>
      </c>
      <c r="B71" s="21" t="s">
        <v>21</v>
      </c>
      <c r="C71" s="21" t="s">
        <v>766</v>
      </c>
      <c r="D71" s="21" t="s">
        <v>48</v>
      </c>
      <c r="E71" s="21" t="s">
        <v>128</v>
      </c>
      <c r="F71" s="21" t="s">
        <v>767</v>
      </c>
      <c r="G71" s="21" t="s">
        <v>311</v>
      </c>
      <c r="H71" s="21" t="s">
        <v>768</v>
      </c>
      <c r="I71" s="21" t="s">
        <v>769</v>
      </c>
      <c r="J71" s="21" t="s">
        <v>770</v>
      </c>
      <c r="K71" s="21" t="s">
        <v>771</v>
      </c>
      <c r="L71" s="21" t="s">
        <v>119</v>
      </c>
      <c r="M71" s="21" t="s">
        <v>772</v>
      </c>
      <c r="N71" s="21" t="s">
        <v>773</v>
      </c>
      <c r="O71" s="21" t="s">
        <v>77</v>
      </c>
      <c r="P71" s="21" t="s">
        <v>245</v>
      </c>
      <c r="Q71" s="21" t="s">
        <v>60</v>
      </c>
      <c r="R71" s="23">
        <v>209126</v>
      </c>
      <c r="S71" s="21" t="s">
        <v>774</v>
      </c>
      <c r="T71" s="21"/>
      <c r="U71" s="21" t="s">
        <v>358</v>
      </c>
      <c r="V71" s="21" t="s">
        <v>775</v>
      </c>
      <c r="W71" s="21" t="s">
        <v>776</v>
      </c>
      <c r="X71" s="21">
        <v>1</v>
      </c>
      <c r="Y71" t="s">
        <v>65</v>
      </c>
      <c r="Z71" t="s">
        <v>66</v>
      </c>
    </row>
    <row r="72" spans="1:26" ht="15">
      <c r="A72" s="21" t="s">
        <v>3</v>
      </c>
      <c r="B72" s="21" t="s">
        <v>21</v>
      </c>
      <c r="C72" s="21" t="s">
        <v>745</v>
      </c>
      <c r="D72" s="21" t="s">
        <v>48</v>
      </c>
      <c r="E72" s="21" t="s">
        <v>143</v>
      </c>
      <c r="F72" s="21" t="s">
        <v>156</v>
      </c>
      <c r="G72" s="21" t="s">
        <v>777</v>
      </c>
      <c r="H72" s="21" t="s">
        <v>778</v>
      </c>
      <c r="I72" s="21" t="s">
        <v>779</v>
      </c>
      <c r="J72" s="21" t="s">
        <v>780</v>
      </c>
      <c r="K72" s="21" t="s">
        <v>781</v>
      </c>
      <c r="L72" s="21" t="s">
        <v>119</v>
      </c>
      <c r="M72" s="21" t="s">
        <v>782</v>
      </c>
      <c r="N72" s="21" t="s">
        <v>783</v>
      </c>
      <c r="O72" s="21" t="s">
        <v>77</v>
      </c>
      <c r="P72" s="21" t="s">
        <v>751</v>
      </c>
      <c r="Q72" s="21" t="s">
        <v>106</v>
      </c>
      <c r="R72" s="23">
        <v>908046</v>
      </c>
      <c r="S72" s="21" t="s">
        <v>784</v>
      </c>
      <c r="T72" s="21"/>
      <c r="U72" s="21" t="s">
        <v>211</v>
      </c>
      <c r="V72" s="21" t="s">
        <v>785</v>
      </c>
      <c r="W72" s="21" t="s">
        <v>786</v>
      </c>
      <c r="X72" s="21">
        <v>2</v>
      </c>
      <c r="Y72" t="s">
        <v>65</v>
      </c>
      <c r="Z72" t="s">
        <v>66</v>
      </c>
    </row>
    <row r="73" spans="1:26" ht="15">
      <c r="A73" s="21" t="s">
        <v>4</v>
      </c>
      <c r="B73" s="21" t="s">
        <v>8</v>
      </c>
      <c r="C73" s="21" t="s">
        <v>82</v>
      </c>
      <c r="D73" s="21" t="s">
        <v>787</v>
      </c>
      <c r="E73" s="21" t="s">
        <v>83</v>
      </c>
      <c r="F73" s="21" t="s">
        <v>84</v>
      </c>
      <c r="G73" s="21" t="s">
        <v>51</v>
      </c>
      <c r="H73" s="21" t="s">
        <v>788</v>
      </c>
      <c r="I73" s="21" t="s">
        <v>789</v>
      </c>
      <c r="J73" s="21" t="s">
        <v>790</v>
      </c>
      <c r="K73" s="21" t="s">
        <v>791</v>
      </c>
      <c r="L73" s="21" t="s">
        <v>56</v>
      </c>
      <c r="M73" s="21" t="s">
        <v>792</v>
      </c>
      <c r="N73" s="21" t="s">
        <v>82</v>
      </c>
      <c r="O73" s="21" t="s">
        <v>793</v>
      </c>
      <c r="P73" s="21" t="s">
        <v>794</v>
      </c>
      <c r="Q73" s="21" t="s">
        <v>795</v>
      </c>
      <c r="R73" s="23">
        <v>191798</v>
      </c>
      <c r="S73" s="21" t="s">
        <v>796</v>
      </c>
      <c r="T73" s="21"/>
      <c r="U73" s="21" t="s">
        <v>92</v>
      </c>
      <c r="V73" s="21" t="s">
        <v>797</v>
      </c>
      <c r="W73" s="21" t="s">
        <v>798</v>
      </c>
      <c r="X73" s="21">
        <v>6</v>
      </c>
      <c r="Y73" t="s">
        <v>65</v>
      </c>
      <c r="Z73" t="s">
        <v>66</v>
      </c>
    </row>
    <row r="74" spans="1:26" ht="15">
      <c r="A74" s="21" t="s">
        <v>4</v>
      </c>
      <c r="B74" s="21" t="s">
        <v>8</v>
      </c>
      <c r="C74" s="21" t="s">
        <v>799</v>
      </c>
      <c r="D74" s="21" t="s">
        <v>787</v>
      </c>
      <c r="E74" s="21" t="s">
        <v>83</v>
      </c>
      <c r="F74" s="21" t="s">
        <v>800</v>
      </c>
      <c r="G74" s="21"/>
      <c r="H74" s="21" t="s">
        <v>801</v>
      </c>
      <c r="I74" s="21" t="s">
        <v>802</v>
      </c>
      <c r="J74" s="21" t="s">
        <v>803</v>
      </c>
      <c r="K74" s="21" t="s">
        <v>804</v>
      </c>
      <c r="L74" s="21" t="s">
        <v>149</v>
      </c>
      <c r="M74" s="21" t="s">
        <v>805</v>
      </c>
      <c r="N74" s="21" t="s">
        <v>799</v>
      </c>
      <c r="O74" s="21" t="s">
        <v>806</v>
      </c>
      <c r="P74" s="21" t="s">
        <v>807</v>
      </c>
      <c r="Q74" s="21" t="s">
        <v>801</v>
      </c>
      <c r="R74" s="23" t="s">
        <v>808</v>
      </c>
      <c r="S74" s="21" t="s">
        <v>809</v>
      </c>
      <c r="T74" s="21"/>
      <c r="U74" s="21" t="s">
        <v>92</v>
      </c>
      <c r="V74" s="21" t="s">
        <v>801</v>
      </c>
      <c r="W74" s="21" t="s">
        <v>810</v>
      </c>
      <c r="X74" s="21">
        <v>1</v>
      </c>
      <c r="Y74" t="s">
        <v>65</v>
      </c>
      <c r="Z74" t="s">
        <v>66</v>
      </c>
    </row>
    <row r="75" spans="1:26" ht="15">
      <c r="A75" s="21" t="s">
        <v>4</v>
      </c>
      <c r="B75" s="21" t="s">
        <v>8</v>
      </c>
      <c r="C75" s="21" t="s">
        <v>811</v>
      </c>
      <c r="D75" s="21" t="s">
        <v>787</v>
      </c>
      <c r="E75" s="21" t="s">
        <v>68</v>
      </c>
      <c r="F75" s="21" t="s">
        <v>800</v>
      </c>
      <c r="G75" s="21"/>
      <c r="H75" s="21" t="s">
        <v>801</v>
      </c>
      <c r="I75" s="21" t="s">
        <v>812</v>
      </c>
      <c r="J75" s="21" t="s">
        <v>813</v>
      </c>
      <c r="K75" s="21" t="s">
        <v>814</v>
      </c>
      <c r="L75" s="21" t="s">
        <v>119</v>
      </c>
      <c r="M75" s="21" t="s">
        <v>815</v>
      </c>
      <c r="N75" s="21" t="s">
        <v>816</v>
      </c>
      <c r="O75" s="21" t="s">
        <v>817</v>
      </c>
      <c r="P75" s="21" t="s">
        <v>818</v>
      </c>
      <c r="Q75" s="21" t="s">
        <v>801</v>
      </c>
      <c r="R75" s="23" t="s">
        <v>819</v>
      </c>
      <c r="S75" s="21" t="s">
        <v>820</v>
      </c>
      <c r="T75" s="21"/>
      <c r="U75" s="21" t="s">
        <v>821</v>
      </c>
      <c r="V75" s="21" t="s">
        <v>801</v>
      </c>
      <c r="W75" s="21" t="s">
        <v>822</v>
      </c>
      <c r="X75" s="21">
        <v>1</v>
      </c>
      <c r="Y75" t="s">
        <v>65</v>
      </c>
      <c r="Z75" t="s">
        <v>66</v>
      </c>
    </row>
    <row r="76" spans="1:26" ht="15">
      <c r="A76" s="38" t="s">
        <v>4</v>
      </c>
      <c r="B76" s="38" t="s">
        <v>9</v>
      </c>
      <c r="C76" s="38" t="s">
        <v>339</v>
      </c>
      <c r="D76" s="38" t="s">
        <v>787</v>
      </c>
      <c r="E76" s="38" t="s">
        <v>823</v>
      </c>
      <c r="F76" s="38" t="s">
        <v>800</v>
      </c>
      <c r="G76" s="38"/>
      <c r="H76" s="38" t="s">
        <v>801</v>
      </c>
      <c r="I76" s="38" t="s">
        <v>824</v>
      </c>
      <c r="J76" s="38" t="s">
        <v>825</v>
      </c>
      <c r="K76" s="38" t="s">
        <v>826</v>
      </c>
      <c r="L76" s="38" t="s">
        <v>471</v>
      </c>
      <c r="M76" s="38" t="s">
        <v>827</v>
      </c>
      <c r="N76" s="38" t="s">
        <v>828</v>
      </c>
      <c r="O76" s="38" t="s">
        <v>829</v>
      </c>
      <c r="P76" s="38" t="s">
        <v>807</v>
      </c>
      <c r="Q76" s="38" t="s">
        <v>801</v>
      </c>
      <c r="R76" s="39" t="s">
        <v>830</v>
      </c>
      <c r="S76" s="38" t="s">
        <v>831</v>
      </c>
      <c r="T76" s="38"/>
      <c r="U76" s="38" t="s">
        <v>153</v>
      </c>
      <c r="V76" s="38" t="s">
        <v>801</v>
      </c>
      <c r="W76" s="38" t="s">
        <v>832</v>
      </c>
      <c r="X76" s="38">
        <v>1</v>
      </c>
      <c r="Y76" s="40" t="s">
        <v>65</v>
      </c>
      <c r="Z76" s="40" t="s">
        <v>111</v>
      </c>
    </row>
    <row r="77" spans="1:26" ht="15">
      <c r="A77" s="38" t="s">
        <v>4</v>
      </c>
      <c r="B77" s="38" t="s">
        <v>9</v>
      </c>
      <c r="C77" s="38" t="s">
        <v>339</v>
      </c>
      <c r="D77" s="38" t="s">
        <v>787</v>
      </c>
      <c r="E77" s="38" t="s">
        <v>823</v>
      </c>
      <c r="F77" s="38" t="s">
        <v>800</v>
      </c>
      <c r="G77" s="38"/>
      <c r="H77" s="38" t="s">
        <v>801</v>
      </c>
      <c r="I77" s="38" t="s">
        <v>833</v>
      </c>
      <c r="J77" s="38" t="s">
        <v>834</v>
      </c>
      <c r="K77" s="38" t="s">
        <v>835</v>
      </c>
      <c r="L77" s="38" t="s">
        <v>471</v>
      </c>
      <c r="M77" s="38" t="s">
        <v>75</v>
      </c>
      <c r="N77" s="38" t="s">
        <v>828</v>
      </c>
      <c r="O77" s="38" t="s">
        <v>836</v>
      </c>
      <c r="P77" s="38" t="s">
        <v>807</v>
      </c>
      <c r="Q77" s="38" t="s">
        <v>801</v>
      </c>
      <c r="R77" s="39" t="s">
        <v>75</v>
      </c>
      <c r="S77" s="38" t="s">
        <v>837</v>
      </c>
      <c r="T77" s="38"/>
      <c r="U77" s="38" t="s">
        <v>153</v>
      </c>
      <c r="V77" s="38" t="s">
        <v>801</v>
      </c>
      <c r="W77" s="38" t="s">
        <v>838</v>
      </c>
      <c r="X77" s="38">
        <v>1</v>
      </c>
      <c r="Y77" s="40" t="s">
        <v>65</v>
      </c>
      <c r="Z77" s="40" t="s">
        <v>111</v>
      </c>
    </row>
    <row r="78" spans="1:26" ht="15">
      <c r="A78" s="38" t="s">
        <v>4</v>
      </c>
      <c r="B78" s="38" t="s">
        <v>9</v>
      </c>
      <c r="C78" s="38" t="s">
        <v>339</v>
      </c>
      <c r="D78" s="38" t="s">
        <v>787</v>
      </c>
      <c r="E78" s="38" t="s">
        <v>68</v>
      </c>
      <c r="F78" s="38" t="s">
        <v>800</v>
      </c>
      <c r="G78" s="38"/>
      <c r="H78" s="38" t="s">
        <v>801</v>
      </c>
      <c r="I78" s="38" t="s">
        <v>839</v>
      </c>
      <c r="J78" s="38" t="s">
        <v>840</v>
      </c>
      <c r="K78" s="38" t="s">
        <v>841</v>
      </c>
      <c r="L78" s="38" t="s">
        <v>149</v>
      </c>
      <c r="M78" s="38" t="s">
        <v>75</v>
      </c>
      <c r="N78" s="38" t="s">
        <v>842</v>
      </c>
      <c r="O78" s="38" t="s">
        <v>843</v>
      </c>
      <c r="P78" s="38" t="s">
        <v>844</v>
      </c>
      <c r="Q78" s="38" t="s">
        <v>801</v>
      </c>
      <c r="R78" s="39" t="s">
        <v>75</v>
      </c>
      <c r="S78" s="38" t="s">
        <v>845</v>
      </c>
      <c r="T78" s="38"/>
      <c r="U78" s="38" t="s">
        <v>153</v>
      </c>
      <c r="V78" s="38" t="s">
        <v>801</v>
      </c>
      <c r="W78" s="38" t="s">
        <v>838</v>
      </c>
      <c r="X78" s="38">
        <v>1</v>
      </c>
      <c r="Y78" s="40" t="s">
        <v>65</v>
      </c>
      <c r="Z78" s="40" t="s">
        <v>111</v>
      </c>
    </row>
    <row r="79" spans="1:26" ht="15">
      <c r="A79" s="38" t="s">
        <v>4</v>
      </c>
      <c r="B79" s="38" t="s">
        <v>9</v>
      </c>
      <c r="C79" s="38" t="s">
        <v>339</v>
      </c>
      <c r="D79" s="38" t="s">
        <v>787</v>
      </c>
      <c r="E79" s="38" t="s">
        <v>143</v>
      </c>
      <c r="F79" s="38" t="s">
        <v>301</v>
      </c>
      <c r="G79" s="38"/>
      <c r="H79" s="38" t="s">
        <v>846</v>
      </c>
      <c r="I79" s="38" t="s">
        <v>847</v>
      </c>
      <c r="J79" s="38" t="s">
        <v>848</v>
      </c>
      <c r="K79" s="38" t="s">
        <v>849</v>
      </c>
      <c r="L79" s="38" t="s">
        <v>56</v>
      </c>
      <c r="M79" s="38" t="s">
        <v>850</v>
      </c>
      <c r="N79" s="38" t="s">
        <v>339</v>
      </c>
      <c r="O79" s="38" t="s">
        <v>77</v>
      </c>
      <c r="P79" s="38" t="s">
        <v>59</v>
      </c>
      <c r="Q79" s="38" t="s">
        <v>106</v>
      </c>
      <c r="R79" s="39">
        <v>19847</v>
      </c>
      <c r="S79" s="38" t="s">
        <v>851</v>
      </c>
      <c r="T79" s="38"/>
      <c r="U79" s="38" t="s">
        <v>153</v>
      </c>
      <c r="V79" s="38" t="s">
        <v>852</v>
      </c>
      <c r="W79" s="38" t="s">
        <v>853</v>
      </c>
      <c r="X79" s="38">
        <v>2</v>
      </c>
      <c r="Y79" s="40" t="s">
        <v>65</v>
      </c>
      <c r="Z79" s="40" t="s">
        <v>111</v>
      </c>
    </row>
    <row r="80" spans="1:26" ht="15">
      <c r="A80" s="38" t="s">
        <v>4</v>
      </c>
      <c r="B80" s="38" t="s">
        <v>10</v>
      </c>
      <c r="C80" s="38" t="s">
        <v>854</v>
      </c>
      <c r="D80" s="38" t="s">
        <v>787</v>
      </c>
      <c r="E80" s="38" t="s">
        <v>68</v>
      </c>
      <c r="F80" s="38" t="s">
        <v>348</v>
      </c>
      <c r="G80" s="38"/>
      <c r="H80" s="38" t="s">
        <v>855</v>
      </c>
      <c r="I80" s="38" t="s">
        <v>856</v>
      </c>
      <c r="J80" s="38" t="s">
        <v>857</v>
      </c>
      <c r="K80" s="38" t="s">
        <v>858</v>
      </c>
      <c r="L80" s="38" t="s">
        <v>56</v>
      </c>
      <c r="M80" s="38" t="s">
        <v>859</v>
      </c>
      <c r="N80" s="38" t="s">
        <v>854</v>
      </c>
      <c r="O80" s="38" t="s">
        <v>860</v>
      </c>
      <c r="P80" s="38" t="s">
        <v>59</v>
      </c>
      <c r="Q80" s="38" t="s">
        <v>106</v>
      </c>
      <c r="R80" s="39">
        <v>9816</v>
      </c>
      <c r="S80" s="38" t="s">
        <v>357</v>
      </c>
      <c r="T80" s="38"/>
      <c r="U80" s="38" t="s">
        <v>358</v>
      </c>
      <c r="V80" s="38" t="s">
        <v>861</v>
      </c>
      <c r="W80" s="38" t="s">
        <v>862</v>
      </c>
      <c r="X80" s="38">
        <v>2</v>
      </c>
      <c r="Y80" s="40" t="s">
        <v>111</v>
      </c>
      <c r="Z80" s="40" t="s">
        <v>111</v>
      </c>
    </row>
    <row r="81" spans="1:26" ht="15">
      <c r="A81" s="38" t="s">
        <v>4</v>
      </c>
      <c r="B81" s="38" t="s">
        <v>11</v>
      </c>
      <c r="C81" s="38" t="s">
        <v>437</v>
      </c>
      <c r="D81" s="38" t="s">
        <v>787</v>
      </c>
      <c r="E81" s="38" t="s">
        <v>68</v>
      </c>
      <c r="F81" s="38" t="s">
        <v>348</v>
      </c>
      <c r="G81" s="38" t="s">
        <v>418</v>
      </c>
      <c r="H81" s="38" t="s">
        <v>863</v>
      </c>
      <c r="I81" s="38" t="s">
        <v>864</v>
      </c>
      <c r="J81" s="38" t="s">
        <v>865</v>
      </c>
      <c r="K81" s="38" t="s">
        <v>866</v>
      </c>
      <c r="L81" s="38" t="s">
        <v>56</v>
      </c>
      <c r="M81" s="38" t="s">
        <v>867</v>
      </c>
      <c r="N81" s="38" t="s">
        <v>437</v>
      </c>
      <c r="O81" s="38" t="s">
        <v>77</v>
      </c>
      <c r="P81" s="38" t="s">
        <v>868</v>
      </c>
      <c r="Q81" s="38" t="s">
        <v>106</v>
      </c>
      <c r="R81" s="39">
        <v>49769</v>
      </c>
      <c r="S81" s="38" t="s">
        <v>462</v>
      </c>
      <c r="T81" s="38"/>
      <c r="U81" s="38" t="s">
        <v>358</v>
      </c>
      <c r="V81" s="38" t="s">
        <v>869</v>
      </c>
      <c r="W81" s="38" t="s">
        <v>870</v>
      </c>
      <c r="X81" s="38">
        <v>1</v>
      </c>
      <c r="Y81" s="40" t="s">
        <v>111</v>
      </c>
      <c r="Z81" s="40" t="s">
        <v>111</v>
      </c>
    </row>
    <row r="82" spans="1:26" ht="15">
      <c r="A82" s="21" t="s">
        <v>4</v>
      </c>
      <c r="B82" s="21" t="s">
        <v>13</v>
      </c>
      <c r="C82" s="21" t="s">
        <v>634</v>
      </c>
      <c r="D82" s="21" t="s">
        <v>787</v>
      </c>
      <c r="E82" s="21" t="s">
        <v>68</v>
      </c>
      <c r="F82" s="21" t="s">
        <v>348</v>
      </c>
      <c r="G82" s="21"/>
      <c r="H82" s="21" t="s">
        <v>871</v>
      </c>
      <c r="I82" s="21" t="s">
        <v>872</v>
      </c>
      <c r="J82" s="21" t="s">
        <v>873</v>
      </c>
      <c r="K82" s="21" t="s">
        <v>874</v>
      </c>
      <c r="L82" s="21" t="s">
        <v>74</v>
      </c>
      <c r="M82" s="21" t="s">
        <v>875</v>
      </c>
      <c r="N82" s="21" t="s">
        <v>634</v>
      </c>
      <c r="O82" s="21" t="s">
        <v>876</v>
      </c>
      <c r="P82" s="21" t="s">
        <v>877</v>
      </c>
      <c r="Q82" s="21" t="s">
        <v>60</v>
      </c>
      <c r="R82" s="23">
        <v>315764</v>
      </c>
      <c r="S82" s="21" t="s">
        <v>357</v>
      </c>
      <c r="T82" s="21"/>
      <c r="U82" s="21" t="s">
        <v>878</v>
      </c>
      <c r="V82" s="21" t="s">
        <v>879</v>
      </c>
      <c r="W82" s="21" t="s">
        <v>880</v>
      </c>
      <c r="X82" s="21">
        <v>1</v>
      </c>
      <c r="Y82" t="s">
        <v>66</v>
      </c>
      <c r="Z82" t="s">
        <v>66</v>
      </c>
    </row>
    <row r="83" spans="1:26" ht="15">
      <c r="A83" s="21" t="s">
        <v>4</v>
      </c>
      <c r="B83" s="21" t="s">
        <v>14</v>
      </c>
      <c r="C83" s="21" t="s">
        <v>881</v>
      </c>
      <c r="D83" s="21" t="s">
        <v>787</v>
      </c>
      <c r="E83" s="21" t="s">
        <v>68</v>
      </c>
      <c r="F83" s="21" t="s">
        <v>348</v>
      </c>
      <c r="G83" s="21"/>
      <c r="H83" s="21" t="s">
        <v>882</v>
      </c>
      <c r="I83" s="21" t="s">
        <v>883</v>
      </c>
      <c r="J83" s="21" t="s">
        <v>884</v>
      </c>
      <c r="K83" s="21" t="s">
        <v>885</v>
      </c>
      <c r="L83" s="21" t="s">
        <v>74</v>
      </c>
      <c r="M83" s="21" t="s">
        <v>886</v>
      </c>
      <c r="N83" s="21" t="s">
        <v>881</v>
      </c>
      <c r="O83" s="21" t="s">
        <v>887</v>
      </c>
      <c r="P83" s="21" t="s">
        <v>90</v>
      </c>
      <c r="Q83" s="21" t="s">
        <v>106</v>
      </c>
      <c r="R83" s="23">
        <v>197896</v>
      </c>
      <c r="S83" s="21" t="s">
        <v>357</v>
      </c>
      <c r="T83" s="21"/>
      <c r="U83" s="21" t="s">
        <v>358</v>
      </c>
      <c r="V83" s="21" t="s">
        <v>888</v>
      </c>
      <c r="W83" s="21" t="s">
        <v>889</v>
      </c>
      <c r="X83" s="21">
        <v>1</v>
      </c>
      <c r="Y83" t="s">
        <v>65</v>
      </c>
      <c r="Z83" t="s">
        <v>66</v>
      </c>
    </row>
    <row r="84" spans="1:26" ht="15">
      <c r="A84" s="21" t="s">
        <v>4</v>
      </c>
      <c r="B84" s="21" t="s">
        <v>15</v>
      </c>
      <c r="C84" s="21" t="s">
        <v>678</v>
      </c>
      <c r="D84" s="21" t="s">
        <v>787</v>
      </c>
      <c r="E84" s="21" t="s">
        <v>68</v>
      </c>
      <c r="F84" s="21" t="s">
        <v>348</v>
      </c>
      <c r="G84" s="21"/>
      <c r="H84" s="21" t="s">
        <v>890</v>
      </c>
      <c r="I84" s="21" t="s">
        <v>891</v>
      </c>
      <c r="J84" s="21" t="s">
        <v>892</v>
      </c>
      <c r="K84" s="21" t="s">
        <v>893</v>
      </c>
      <c r="L84" s="21" t="s">
        <v>149</v>
      </c>
      <c r="M84" s="21" t="s">
        <v>894</v>
      </c>
      <c r="N84" s="21" t="s">
        <v>895</v>
      </c>
      <c r="O84" s="21" t="s">
        <v>896</v>
      </c>
      <c r="P84" s="21" t="s">
        <v>90</v>
      </c>
      <c r="Q84" s="21" t="s">
        <v>106</v>
      </c>
      <c r="R84" s="23">
        <v>301796</v>
      </c>
      <c r="S84" s="21" t="s">
        <v>357</v>
      </c>
      <c r="T84" s="21"/>
      <c r="U84" s="21" t="s">
        <v>358</v>
      </c>
      <c r="V84" s="21" t="s">
        <v>897</v>
      </c>
      <c r="W84" s="21" t="s">
        <v>898</v>
      </c>
      <c r="X84" s="21">
        <v>1</v>
      </c>
      <c r="Y84" t="s">
        <v>66</v>
      </c>
      <c r="Z84" t="s">
        <v>66</v>
      </c>
    </row>
    <row r="85" spans="1:26" ht="15">
      <c r="A85" s="38" t="s">
        <v>4</v>
      </c>
      <c r="B85" s="38" t="s">
        <v>16</v>
      </c>
      <c r="C85" s="38" t="s">
        <v>899</v>
      </c>
      <c r="D85" s="38" t="s">
        <v>787</v>
      </c>
      <c r="E85" s="38" t="s">
        <v>698</v>
      </c>
      <c r="F85" s="38" t="s">
        <v>900</v>
      </c>
      <c r="G85" s="38"/>
      <c r="H85" s="38" t="s">
        <v>901</v>
      </c>
      <c r="I85" s="38" t="s">
        <v>902</v>
      </c>
      <c r="J85" s="38" t="s">
        <v>903</v>
      </c>
      <c r="K85" s="38" t="s">
        <v>904</v>
      </c>
      <c r="L85" s="38" t="s">
        <v>74</v>
      </c>
      <c r="M85" s="38" t="s">
        <v>905</v>
      </c>
      <c r="N85" s="38" t="s">
        <v>906</v>
      </c>
      <c r="O85" s="38" t="s">
        <v>907</v>
      </c>
      <c r="P85" s="38" t="s">
        <v>59</v>
      </c>
      <c r="Q85" s="38" t="s">
        <v>60</v>
      </c>
      <c r="R85" s="39">
        <v>102688</v>
      </c>
      <c r="S85" s="38" t="s">
        <v>908</v>
      </c>
      <c r="T85" s="38"/>
      <c r="U85" s="38" t="s">
        <v>79</v>
      </c>
      <c r="V85" s="38" t="s">
        <v>909</v>
      </c>
      <c r="W85" s="38" t="s">
        <v>910</v>
      </c>
      <c r="X85" s="38">
        <v>3</v>
      </c>
      <c r="Y85" s="40" t="s">
        <v>65</v>
      </c>
      <c r="Z85" s="40" t="s">
        <v>111</v>
      </c>
    </row>
    <row r="86" spans="1:26" ht="15">
      <c r="A86" s="21" t="s">
        <v>4</v>
      </c>
      <c r="B86" s="21" t="s">
        <v>20</v>
      </c>
      <c r="C86" s="21" t="s">
        <v>911</v>
      </c>
      <c r="D86" s="21" t="s">
        <v>787</v>
      </c>
      <c r="E86" s="21" t="s">
        <v>96</v>
      </c>
      <c r="F86" s="21" t="s">
        <v>912</v>
      </c>
      <c r="G86" s="21" t="s">
        <v>418</v>
      </c>
      <c r="H86" s="21" t="s">
        <v>913</v>
      </c>
      <c r="I86" s="21" t="s">
        <v>914</v>
      </c>
      <c r="J86" s="21" t="s">
        <v>915</v>
      </c>
      <c r="K86" s="21" t="s">
        <v>801</v>
      </c>
      <c r="L86" s="21" t="s">
        <v>801</v>
      </c>
      <c r="M86" s="21" t="s">
        <v>916</v>
      </c>
      <c r="N86" s="21" t="s">
        <v>911</v>
      </c>
      <c r="O86" s="21" t="s">
        <v>77</v>
      </c>
      <c r="P86" s="21" t="s">
        <v>917</v>
      </c>
      <c r="Q86" s="21" t="s">
        <v>60</v>
      </c>
      <c r="R86" s="23">
        <v>11441407</v>
      </c>
      <c r="S86" s="21" t="s">
        <v>918</v>
      </c>
      <c r="T86" s="21"/>
      <c r="U86" s="21" t="s">
        <v>801</v>
      </c>
      <c r="V86" s="21" t="s">
        <v>919</v>
      </c>
      <c r="W86" s="21" t="s">
        <v>920</v>
      </c>
      <c r="X86" s="21">
        <v>11</v>
      </c>
      <c r="Y86" t="s">
        <v>66</v>
      </c>
      <c r="Z86" t="s">
        <v>66</v>
      </c>
    </row>
    <row r="87" spans="1:26" ht="15">
      <c r="A87" s="21" t="s">
        <v>4</v>
      </c>
      <c r="B87" s="21" t="s">
        <v>21</v>
      </c>
      <c r="C87" s="21" t="s">
        <v>921</v>
      </c>
      <c r="D87" s="21" t="s">
        <v>787</v>
      </c>
      <c r="E87" s="21" t="s">
        <v>96</v>
      </c>
      <c r="F87" s="21" t="s">
        <v>922</v>
      </c>
      <c r="G87" s="21"/>
      <c r="H87" s="21" t="s">
        <v>923</v>
      </c>
      <c r="I87" s="21" t="s">
        <v>924</v>
      </c>
      <c r="J87" s="21" t="s">
        <v>925</v>
      </c>
      <c r="K87" s="21" t="s">
        <v>925</v>
      </c>
      <c r="L87" s="21" t="s">
        <v>254</v>
      </c>
      <c r="M87" s="21" t="s">
        <v>926</v>
      </c>
      <c r="N87" s="21" t="s">
        <v>927</v>
      </c>
      <c r="O87" s="21" t="s">
        <v>77</v>
      </c>
      <c r="P87" s="21" t="s">
        <v>245</v>
      </c>
      <c r="Q87" s="21" t="s">
        <v>106</v>
      </c>
      <c r="R87" s="23">
        <v>245389</v>
      </c>
      <c r="S87" s="21" t="s">
        <v>928</v>
      </c>
      <c r="T87" s="21"/>
      <c r="U87" s="21" t="s">
        <v>358</v>
      </c>
      <c r="V87" s="21" t="s">
        <v>929</v>
      </c>
      <c r="W87" s="21" t="s">
        <v>930</v>
      </c>
      <c r="X87" s="21">
        <v>5</v>
      </c>
      <c r="Y87" t="s">
        <v>65</v>
      </c>
      <c r="Z87" t="s">
        <v>66</v>
      </c>
    </row>
    <row r="88" spans="1:26" ht="15">
      <c r="A88" s="21" t="s">
        <v>4</v>
      </c>
      <c r="B88" s="21" t="s">
        <v>21</v>
      </c>
      <c r="C88" s="21" t="s">
        <v>179</v>
      </c>
      <c r="D88" s="21" t="s">
        <v>787</v>
      </c>
      <c r="E88" s="21" t="s">
        <v>68</v>
      </c>
      <c r="F88" s="21" t="s">
        <v>348</v>
      </c>
      <c r="G88" s="21"/>
      <c r="H88" s="21" t="s">
        <v>931</v>
      </c>
      <c r="I88" s="21" t="s">
        <v>932</v>
      </c>
      <c r="J88" s="21" t="s">
        <v>933</v>
      </c>
      <c r="K88" s="21" t="s">
        <v>934</v>
      </c>
      <c r="L88" s="21" t="s">
        <v>56</v>
      </c>
      <c r="M88" s="21" t="s">
        <v>935</v>
      </c>
      <c r="N88" s="21" t="s">
        <v>936</v>
      </c>
      <c r="O88" s="21" t="s">
        <v>452</v>
      </c>
      <c r="P88" s="21" t="s">
        <v>59</v>
      </c>
      <c r="Q88" s="21" t="s">
        <v>106</v>
      </c>
      <c r="R88" s="23">
        <v>194315</v>
      </c>
      <c r="S88" s="21" t="s">
        <v>357</v>
      </c>
      <c r="T88" s="21"/>
      <c r="U88" s="21" t="s">
        <v>937</v>
      </c>
      <c r="V88" s="21" t="s">
        <v>938</v>
      </c>
      <c r="W88" s="21" t="s">
        <v>939</v>
      </c>
      <c r="X88" s="21">
        <v>1</v>
      </c>
      <c r="Y88" t="s">
        <v>65</v>
      </c>
      <c r="Z88" t="s">
        <v>66</v>
      </c>
    </row>
    <row r="89" spans="1:26" ht="15">
      <c r="A89" s="38" t="s">
        <v>5</v>
      </c>
      <c r="B89" s="38" t="s">
        <v>9</v>
      </c>
      <c r="C89" s="38" t="s">
        <v>237</v>
      </c>
      <c r="D89" s="38" t="s">
        <v>940</v>
      </c>
      <c r="E89" s="38" t="s">
        <v>823</v>
      </c>
      <c r="F89" s="38" t="s">
        <v>800</v>
      </c>
      <c r="G89" s="38"/>
      <c r="H89" s="38" t="s">
        <v>801</v>
      </c>
      <c r="I89" s="38" t="s">
        <v>941</v>
      </c>
      <c r="J89" s="38" t="s">
        <v>942</v>
      </c>
      <c r="K89" s="38" t="s">
        <v>943</v>
      </c>
      <c r="L89" s="38" t="s">
        <v>471</v>
      </c>
      <c r="M89" s="38" t="s">
        <v>944</v>
      </c>
      <c r="N89" s="38" t="s">
        <v>945</v>
      </c>
      <c r="O89" s="38" t="s">
        <v>946</v>
      </c>
      <c r="P89" s="38" t="s">
        <v>818</v>
      </c>
      <c r="Q89" s="38" t="s">
        <v>801</v>
      </c>
      <c r="R89" s="39" t="s">
        <v>947</v>
      </c>
      <c r="S89" s="38" t="s">
        <v>837</v>
      </c>
      <c r="T89" s="38"/>
      <c r="U89" s="38" t="s">
        <v>153</v>
      </c>
      <c r="V89" s="38" t="s">
        <v>801</v>
      </c>
      <c r="W89" s="38" t="s">
        <v>948</v>
      </c>
      <c r="X89" s="38">
        <v>1</v>
      </c>
      <c r="Y89" s="40" t="s">
        <v>65</v>
      </c>
      <c r="Z89" s="40" t="s">
        <v>111</v>
      </c>
    </row>
  </sheetData>
  <autoFilter ref="A1:X89" xr:uid="{00000000-0009-0000-0000-000001000000}"/>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72"/>
  <sheetViews>
    <sheetView workbookViewId="0">
      <pane xSplit="3" ySplit="1" topLeftCell="D2" activePane="bottomRight" state="frozen"/>
      <selection pane="topRight"/>
      <selection pane="bottomLeft"/>
      <selection pane="bottomRight"/>
    </sheetView>
  </sheetViews>
  <sheetFormatPr defaultRowHeight="14.4"/>
  <cols>
    <col min="1" max="1" width="15" customWidth="1"/>
    <col min="2" max="2" width="16" customWidth="1"/>
    <col min="3" max="3" width="22" customWidth="1"/>
    <col min="4" max="4" width="13" customWidth="1"/>
    <col min="5" max="5" width="10" customWidth="1"/>
    <col min="6" max="6" width="40" customWidth="1"/>
    <col min="7" max="7" width="14" customWidth="1"/>
    <col min="8" max="8" width="16" customWidth="1"/>
    <col min="9" max="9" width="24" customWidth="1"/>
    <col min="10" max="10" width="40" customWidth="1"/>
    <col min="11" max="11" width="30" customWidth="1"/>
    <col min="12" max="12" width="7" customWidth="1"/>
    <col min="13" max="13" width="22" customWidth="1"/>
    <col min="14" max="14" width="40" customWidth="1"/>
    <col min="15" max="15" width="30" customWidth="1"/>
    <col min="16" max="16" width="24" customWidth="1"/>
    <col min="17" max="17" width="9" customWidth="1"/>
    <col min="18" max="18" width="12" customWidth="1"/>
    <col min="19" max="19" width="34" customWidth="1"/>
    <col min="20" max="20" width="24" customWidth="1"/>
    <col min="21" max="23" width="22" customWidth="1"/>
    <col min="24" max="24" width="8" customWidth="1"/>
  </cols>
  <sheetData>
    <row r="1" spans="1:24" ht="31.2">
      <c r="A1" s="1" t="s">
        <v>23</v>
      </c>
      <c r="B1" s="1" t="s">
        <v>2</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row>
    <row r="2" spans="1:24" ht="15">
      <c r="A2" s="21" t="s">
        <v>3</v>
      </c>
      <c r="B2" s="22" t="s">
        <v>8</v>
      </c>
      <c r="C2" s="21" t="s">
        <v>47</v>
      </c>
      <c r="D2" s="21" t="s">
        <v>48</v>
      </c>
      <c r="E2" s="21" t="s">
        <v>49</v>
      </c>
      <c r="F2" s="21" t="s">
        <v>50</v>
      </c>
      <c r="G2" s="21" t="s">
        <v>51</v>
      </c>
      <c r="H2" s="21" t="s">
        <v>52</v>
      </c>
      <c r="I2" s="21" t="s">
        <v>53</v>
      </c>
      <c r="J2" s="21" t="s">
        <v>54</v>
      </c>
      <c r="K2" s="21" t="s">
        <v>55</v>
      </c>
      <c r="L2" s="21" t="s">
        <v>56</v>
      </c>
      <c r="M2" s="21" t="s">
        <v>57</v>
      </c>
      <c r="N2" s="21" t="s">
        <v>47</v>
      </c>
      <c r="O2" s="21" t="s">
        <v>58</v>
      </c>
      <c r="P2" s="21" t="s">
        <v>59</v>
      </c>
      <c r="Q2" s="21" t="s">
        <v>60</v>
      </c>
      <c r="R2" s="23">
        <v>27092</v>
      </c>
      <c r="S2" s="21" t="s">
        <v>61</v>
      </c>
      <c r="T2" s="21" t="s">
        <v>949</v>
      </c>
      <c r="U2" s="21" t="s">
        <v>62</v>
      </c>
      <c r="V2" s="21" t="s">
        <v>63</v>
      </c>
      <c r="W2" s="21" t="s">
        <v>64</v>
      </c>
      <c r="X2" s="21">
        <v>1</v>
      </c>
    </row>
    <row r="3" spans="1:24" ht="15">
      <c r="A3" s="21" t="s">
        <v>3</v>
      </c>
      <c r="B3" s="22" t="s">
        <v>8</v>
      </c>
      <c r="C3" s="21" t="s">
        <v>67</v>
      </c>
      <c r="D3" s="21" t="s">
        <v>48</v>
      </c>
      <c r="E3" s="21" t="s">
        <v>68</v>
      </c>
      <c r="F3" s="21" t="s">
        <v>69</v>
      </c>
      <c r="G3" s="21"/>
      <c r="H3" s="21" t="s">
        <v>70</v>
      </c>
      <c r="I3" s="21" t="s">
        <v>71</v>
      </c>
      <c r="J3" s="21" t="s">
        <v>72</v>
      </c>
      <c r="K3" s="21" t="s">
        <v>73</v>
      </c>
      <c r="L3" s="21" t="s">
        <v>74</v>
      </c>
      <c r="M3" s="21" t="s">
        <v>75</v>
      </c>
      <c r="N3" s="21" t="s">
        <v>76</v>
      </c>
      <c r="O3" s="21" t="s">
        <v>77</v>
      </c>
      <c r="P3" s="21" t="s">
        <v>59</v>
      </c>
      <c r="Q3" s="21" t="s">
        <v>60</v>
      </c>
      <c r="R3" s="23">
        <v>959629</v>
      </c>
      <c r="S3" s="21" t="s">
        <v>78</v>
      </c>
      <c r="T3" s="21" t="s">
        <v>950</v>
      </c>
      <c r="U3" s="21" t="s">
        <v>79</v>
      </c>
      <c r="V3" s="21" t="s">
        <v>80</v>
      </c>
      <c r="W3" s="21" t="s">
        <v>81</v>
      </c>
      <c r="X3" s="21">
        <v>1</v>
      </c>
    </row>
    <row r="4" spans="1:24" ht="15">
      <c r="A4" s="21" t="s">
        <v>3</v>
      </c>
      <c r="B4" s="22" t="s">
        <v>8</v>
      </c>
      <c r="C4" s="21" t="s">
        <v>82</v>
      </c>
      <c r="D4" s="21" t="s">
        <v>48</v>
      </c>
      <c r="E4" s="21" t="s">
        <v>83</v>
      </c>
      <c r="F4" s="21" t="s">
        <v>84</v>
      </c>
      <c r="G4" s="21"/>
      <c r="H4" s="21" t="s">
        <v>85</v>
      </c>
      <c r="I4" s="21" t="s">
        <v>86</v>
      </c>
      <c r="J4" s="21" t="s">
        <v>87</v>
      </c>
      <c r="K4" s="21" t="s">
        <v>88</v>
      </c>
      <c r="L4" s="21" t="s">
        <v>74</v>
      </c>
      <c r="M4" s="21" t="s">
        <v>89</v>
      </c>
      <c r="N4" s="21" t="s">
        <v>82</v>
      </c>
      <c r="O4" s="21" t="s">
        <v>77</v>
      </c>
      <c r="P4" s="21" t="s">
        <v>90</v>
      </c>
      <c r="Q4" s="21" t="s">
        <v>60</v>
      </c>
      <c r="R4" s="23">
        <v>1837</v>
      </c>
      <c r="S4" s="21" t="s">
        <v>91</v>
      </c>
      <c r="T4" s="21" t="s">
        <v>951</v>
      </c>
      <c r="U4" s="21" t="s">
        <v>92</v>
      </c>
      <c r="V4" s="21" t="s">
        <v>93</v>
      </c>
      <c r="W4" s="21" t="s">
        <v>94</v>
      </c>
      <c r="X4" s="21">
        <v>1</v>
      </c>
    </row>
    <row r="5" spans="1:24" ht="15">
      <c r="A5" s="21" t="s">
        <v>3</v>
      </c>
      <c r="B5" s="24" t="s">
        <v>9</v>
      </c>
      <c r="C5" s="21" t="s">
        <v>95</v>
      </c>
      <c r="D5" s="21" t="s">
        <v>48</v>
      </c>
      <c r="E5" s="21" t="s">
        <v>96</v>
      </c>
      <c r="F5" s="21" t="s">
        <v>97</v>
      </c>
      <c r="G5" s="21"/>
      <c r="H5" s="21" t="s">
        <v>98</v>
      </c>
      <c r="I5" s="21" t="s">
        <v>99</v>
      </c>
      <c r="J5" s="21" t="s">
        <v>100</v>
      </c>
      <c r="K5" s="21" t="s">
        <v>101</v>
      </c>
      <c r="L5" s="21" t="s">
        <v>74</v>
      </c>
      <c r="M5" s="21" t="s">
        <v>102</v>
      </c>
      <c r="N5" s="21" t="s">
        <v>103</v>
      </c>
      <c r="O5" s="21" t="s">
        <v>104</v>
      </c>
      <c r="P5" s="21" t="s">
        <v>105</v>
      </c>
      <c r="Q5" s="21" t="s">
        <v>106</v>
      </c>
      <c r="R5" s="23">
        <v>1596200</v>
      </c>
      <c r="S5" s="21" t="s">
        <v>107</v>
      </c>
      <c r="T5" s="21" t="s">
        <v>949</v>
      </c>
      <c r="U5" s="21" t="s">
        <v>108</v>
      </c>
      <c r="V5" s="21" t="s">
        <v>109</v>
      </c>
      <c r="W5" s="21" t="s">
        <v>110</v>
      </c>
      <c r="X5" s="21">
        <v>11</v>
      </c>
    </row>
    <row r="6" spans="1:24" ht="15">
      <c r="A6" s="21" t="s">
        <v>3</v>
      </c>
      <c r="B6" s="24" t="s">
        <v>9</v>
      </c>
      <c r="C6" s="21" t="s">
        <v>95</v>
      </c>
      <c r="D6" s="21" t="s">
        <v>48</v>
      </c>
      <c r="E6" s="21" t="s">
        <v>112</v>
      </c>
      <c r="F6" s="21" t="s">
        <v>113</v>
      </c>
      <c r="G6" s="21" t="s">
        <v>114</v>
      </c>
      <c r="H6" s="21" t="s">
        <v>115</v>
      </c>
      <c r="I6" s="21" t="s">
        <v>116</v>
      </c>
      <c r="J6" s="21" t="s">
        <v>117</v>
      </c>
      <c r="K6" s="21" t="s">
        <v>118</v>
      </c>
      <c r="L6" s="21" t="s">
        <v>119</v>
      </c>
      <c r="M6" s="21" t="s">
        <v>120</v>
      </c>
      <c r="N6" s="21" t="s">
        <v>121</v>
      </c>
      <c r="O6" s="21" t="s">
        <v>122</v>
      </c>
      <c r="P6" s="21" t="s">
        <v>123</v>
      </c>
      <c r="Q6" s="21" t="s">
        <v>106</v>
      </c>
      <c r="R6" s="23">
        <v>428469</v>
      </c>
      <c r="S6" s="21" t="s">
        <v>124</v>
      </c>
      <c r="T6" s="21" t="s">
        <v>949</v>
      </c>
      <c r="U6" s="21" t="s">
        <v>125</v>
      </c>
      <c r="V6" s="21" t="s">
        <v>126</v>
      </c>
      <c r="W6" s="21" t="s">
        <v>127</v>
      </c>
      <c r="X6" s="21">
        <v>1</v>
      </c>
    </row>
    <row r="7" spans="1:24" ht="15">
      <c r="A7" s="21" t="s">
        <v>3</v>
      </c>
      <c r="B7" s="24" t="s">
        <v>9</v>
      </c>
      <c r="C7" s="21" t="s">
        <v>95</v>
      </c>
      <c r="D7" s="21" t="s">
        <v>48</v>
      </c>
      <c r="E7" s="21" t="s">
        <v>128</v>
      </c>
      <c r="F7" s="21" t="s">
        <v>129</v>
      </c>
      <c r="G7" s="21"/>
      <c r="H7" s="21" t="s">
        <v>130</v>
      </c>
      <c r="I7" s="21" t="s">
        <v>131</v>
      </c>
      <c r="J7" s="21" t="s">
        <v>132</v>
      </c>
      <c r="K7" s="21" t="s">
        <v>133</v>
      </c>
      <c r="L7" s="21" t="s">
        <v>134</v>
      </c>
      <c r="M7" s="21" t="s">
        <v>135</v>
      </c>
      <c r="N7" s="21" t="s">
        <v>136</v>
      </c>
      <c r="O7" s="21" t="s">
        <v>137</v>
      </c>
      <c r="P7" s="21" t="s">
        <v>138</v>
      </c>
      <c r="Q7" s="21" t="s">
        <v>106</v>
      </c>
      <c r="R7" s="23">
        <v>3790266</v>
      </c>
      <c r="S7" s="21" t="s">
        <v>139</v>
      </c>
      <c r="T7" s="21" t="s">
        <v>950</v>
      </c>
      <c r="U7" s="21" t="s">
        <v>140</v>
      </c>
      <c r="V7" s="21" t="s">
        <v>141</v>
      </c>
      <c r="W7" s="21" t="s">
        <v>142</v>
      </c>
      <c r="X7" s="21">
        <v>1</v>
      </c>
    </row>
    <row r="8" spans="1:24" ht="15">
      <c r="A8" s="21" t="s">
        <v>3</v>
      </c>
      <c r="B8" s="24" t="s">
        <v>9</v>
      </c>
      <c r="C8" s="21" t="s">
        <v>95</v>
      </c>
      <c r="D8" s="21" t="s">
        <v>48</v>
      </c>
      <c r="E8" s="21" t="s">
        <v>143</v>
      </c>
      <c r="F8" s="21" t="s">
        <v>144</v>
      </c>
      <c r="G8" s="21"/>
      <c r="H8" s="21" t="s">
        <v>145</v>
      </c>
      <c r="I8" s="21" t="s">
        <v>146</v>
      </c>
      <c r="J8" s="21" t="s">
        <v>147</v>
      </c>
      <c r="K8" s="21" t="s">
        <v>148</v>
      </c>
      <c r="L8" s="21" t="s">
        <v>149</v>
      </c>
      <c r="M8" s="21" t="s">
        <v>150</v>
      </c>
      <c r="N8" s="21" t="s">
        <v>151</v>
      </c>
      <c r="O8" s="21" t="s">
        <v>77</v>
      </c>
      <c r="P8" s="21" t="s">
        <v>59</v>
      </c>
      <c r="Q8" s="21" t="s">
        <v>106</v>
      </c>
      <c r="R8" s="23">
        <v>12590</v>
      </c>
      <c r="S8" s="21" t="s">
        <v>152</v>
      </c>
      <c r="T8" s="21" t="s">
        <v>952</v>
      </c>
      <c r="U8" s="21" t="s">
        <v>153</v>
      </c>
      <c r="V8" s="21" t="s">
        <v>154</v>
      </c>
      <c r="W8" s="21" t="s">
        <v>155</v>
      </c>
      <c r="X8" s="21">
        <v>1</v>
      </c>
    </row>
    <row r="9" spans="1:24" ht="15">
      <c r="A9" s="21" t="s">
        <v>3</v>
      </c>
      <c r="B9" s="24" t="s">
        <v>9</v>
      </c>
      <c r="C9" s="21" t="s">
        <v>95</v>
      </c>
      <c r="D9" s="21" t="s">
        <v>48</v>
      </c>
      <c r="E9" s="21" t="s">
        <v>143</v>
      </c>
      <c r="F9" s="21" t="s">
        <v>156</v>
      </c>
      <c r="G9" s="21" t="s">
        <v>114</v>
      </c>
      <c r="H9" s="21" t="s">
        <v>157</v>
      </c>
      <c r="I9" s="21" t="s">
        <v>158</v>
      </c>
      <c r="J9" s="21" t="s">
        <v>159</v>
      </c>
      <c r="K9" s="21" t="s">
        <v>160</v>
      </c>
      <c r="L9" s="21" t="s">
        <v>56</v>
      </c>
      <c r="M9" s="21" t="s">
        <v>161</v>
      </c>
      <c r="N9" s="21" t="s">
        <v>162</v>
      </c>
      <c r="O9" s="21" t="s">
        <v>77</v>
      </c>
      <c r="P9" s="21" t="s">
        <v>163</v>
      </c>
      <c r="Q9" s="21" t="s">
        <v>106</v>
      </c>
      <c r="R9" s="23">
        <v>263275</v>
      </c>
      <c r="S9" s="21" t="s">
        <v>164</v>
      </c>
      <c r="T9" s="21" t="s">
        <v>949</v>
      </c>
      <c r="U9" s="21" t="s">
        <v>153</v>
      </c>
      <c r="V9" s="21" t="s">
        <v>165</v>
      </c>
      <c r="W9" s="21" t="s">
        <v>166</v>
      </c>
      <c r="X9" s="21">
        <v>2</v>
      </c>
    </row>
    <row r="10" spans="1:24" ht="15">
      <c r="A10" s="21" t="s">
        <v>3</v>
      </c>
      <c r="B10" s="24" t="s">
        <v>9</v>
      </c>
      <c r="C10" s="21" t="s">
        <v>95</v>
      </c>
      <c r="D10" s="21" t="s">
        <v>48</v>
      </c>
      <c r="E10" s="21" t="s">
        <v>143</v>
      </c>
      <c r="F10" s="21" t="s">
        <v>167</v>
      </c>
      <c r="G10" s="21"/>
      <c r="H10" s="21" t="s">
        <v>168</v>
      </c>
      <c r="I10" s="21" t="s">
        <v>169</v>
      </c>
      <c r="J10" s="21" t="s">
        <v>170</v>
      </c>
      <c r="K10" s="21" t="s">
        <v>171</v>
      </c>
      <c r="L10" s="21" t="s">
        <v>119</v>
      </c>
      <c r="M10" s="21" t="s">
        <v>172</v>
      </c>
      <c r="N10" s="21" t="s">
        <v>173</v>
      </c>
      <c r="O10" s="21" t="s">
        <v>174</v>
      </c>
      <c r="P10" s="21" t="s">
        <v>175</v>
      </c>
      <c r="Q10" s="21" t="s">
        <v>106</v>
      </c>
      <c r="R10" s="23">
        <v>65088</v>
      </c>
      <c r="S10" s="21" t="s">
        <v>176</v>
      </c>
      <c r="T10" s="21" t="s">
        <v>952</v>
      </c>
      <c r="U10" s="21" t="s">
        <v>153</v>
      </c>
      <c r="V10" s="21" t="s">
        <v>177</v>
      </c>
      <c r="W10" s="21" t="s">
        <v>178</v>
      </c>
      <c r="X10" s="21">
        <v>2</v>
      </c>
    </row>
    <row r="11" spans="1:24" ht="15">
      <c r="A11" s="21" t="s">
        <v>3</v>
      </c>
      <c r="B11" s="24" t="s">
        <v>9</v>
      </c>
      <c r="C11" s="21" t="s">
        <v>179</v>
      </c>
      <c r="D11" s="21" t="s">
        <v>48</v>
      </c>
      <c r="E11" s="21" t="s">
        <v>143</v>
      </c>
      <c r="F11" s="21" t="s">
        <v>180</v>
      </c>
      <c r="G11" s="21" t="s">
        <v>114</v>
      </c>
      <c r="H11" s="21" t="s">
        <v>181</v>
      </c>
      <c r="I11" s="21" t="s">
        <v>182</v>
      </c>
      <c r="J11" s="21" t="s">
        <v>183</v>
      </c>
      <c r="K11" s="21" t="s">
        <v>184</v>
      </c>
      <c r="L11" s="21" t="s">
        <v>134</v>
      </c>
      <c r="M11" s="21" t="s">
        <v>185</v>
      </c>
      <c r="N11" s="21" t="s">
        <v>186</v>
      </c>
      <c r="O11" s="21" t="s">
        <v>122</v>
      </c>
      <c r="P11" s="21" t="s">
        <v>59</v>
      </c>
      <c r="Q11" s="21" t="s">
        <v>106</v>
      </c>
      <c r="R11" s="23">
        <v>1852681</v>
      </c>
      <c r="S11" s="21" t="s">
        <v>187</v>
      </c>
      <c r="T11" s="21" t="s">
        <v>949</v>
      </c>
      <c r="U11" s="21" t="s">
        <v>62</v>
      </c>
      <c r="V11" s="21" t="s">
        <v>188</v>
      </c>
      <c r="W11" s="21" t="s">
        <v>189</v>
      </c>
      <c r="X11" s="21">
        <v>1</v>
      </c>
    </row>
    <row r="12" spans="1:24" ht="15">
      <c r="A12" s="21" t="s">
        <v>3</v>
      </c>
      <c r="B12" s="24" t="s">
        <v>9</v>
      </c>
      <c r="C12" s="21" t="s">
        <v>190</v>
      </c>
      <c r="D12" s="21" t="s">
        <v>48</v>
      </c>
      <c r="E12" s="21" t="s">
        <v>112</v>
      </c>
      <c r="F12" s="21" t="s">
        <v>191</v>
      </c>
      <c r="G12" s="21" t="s">
        <v>114</v>
      </c>
      <c r="H12" s="21" t="s">
        <v>192</v>
      </c>
      <c r="I12" s="21" t="s">
        <v>193</v>
      </c>
      <c r="J12" s="21" t="s">
        <v>194</v>
      </c>
      <c r="K12" s="21" t="s">
        <v>195</v>
      </c>
      <c r="L12" s="21" t="s">
        <v>149</v>
      </c>
      <c r="M12" s="21" t="s">
        <v>196</v>
      </c>
      <c r="N12" s="21" t="s">
        <v>197</v>
      </c>
      <c r="O12" s="21" t="s">
        <v>77</v>
      </c>
      <c r="P12" s="21" t="s">
        <v>90</v>
      </c>
      <c r="Q12" s="21" t="s">
        <v>106</v>
      </c>
      <c r="R12" s="23">
        <v>155232</v>
      </c>
      <c r="S12" s="21" t="s">
        <v>198</v>
      </c>
      <c r="T12" s="21" t="s">
        <v>949</v>
      </c>
      <c r="U12" s="21" t="s">
        <v>153</v>
      </c>
      <c r="V12" s="21" t="s">
        <v>199</v>
      </c>
      <c r="W12" s="21" t="s">
        <v>200</v>
      </c>
      <c r="X12" s="21">
        <v>2</v>
      </c>
    </row>
    <row r="13" spans="1:24" ht="15">
      <c r="A13" s="21" t="s">
        <v>3</v>
      </c>
      <c r="B13" s="24" t="s">
        <v>9</v>
      </c>
      <c r="C13" s="21" t="s">
        <v>190</v>
      </c>
      <c r="D13" s="21" t="s">
        <v>48</v>
      </c>
      <c r="E13" s="21" t="s">
        <v>143</v>
      </c>
      <c r="F13" s="21" t="s">
        <v>201</v>
      </c>
      <c r="G13" s="21"/>
      <c r="H13" s="21" t="s">
        <v>202</v>
      </c>
      <c r="I13" s="21" t="s">
        <v>203</v>
      </c>
      <c r="J13" s="21" t="s">
        <v>204</v>
      </c>
      <c r="K13" s="21" t="s">
        <v>205</v>
      </c>
      <c r="L13" s="21" t="s">
        <v>149</v>
      </c>
      <c r="M13" s="21" t="s">
        <v>206</v>
      </c>
      <c r="N13" s="21" t="s">
        <v>207</v>
      </c>
      <c r="O13" s="21" t="s">
        <v>208</v>
      </c>
      <c r="P13" s="21" t="s">
        <v>209</v>
      </c>
      <c r="Q13" s="21" t="s">
        <v>106</v>
      </c>
      <c r="R13" s="23">
        <v>293823</v>
      </c>
      <c r="S13" s="21" t="s">
        <v>210</v>
      </c>
      <c r="T13" s="21" t="s">
        <v>952</v>
      </c>
      <c r="U13" s="21" t="s">
        <v>211</v>
      </c>
      <c r="V13" s="21" t="s">
        <v>212</v>
      </c>
      <c r="W13" s="21" t="s">
        <v>213</v>
      </c>
      <c r="X13" s="21">
        <v>3</v>
      </c>
    </row>
    <row r="14" spans="1:24" ht="15">
      <c r="A14" s="21" t="s">
        <v>3</v>
      </c>
      <c r="B14" s="24" t="s">
        <v>9</v>
      </c>
      <c r="C14" s="21" t="s">
        <v>214</v>
      </c>
      <c r="D14" s="21" t="s">
        <v>48</v>
      </c>
      <c r="E14" s="21" t="s">
        <v>143</v>
      </c>
      <c r="F14" s="21" t="s">
        <v>215</v>
      </c>
      <c r="G14" s="21"/>
      <c r="H14" s="21" t="s">
        <v>216</v>
      </c>
      <c r="I14" s="21" t="s">
        <v>217</v>
      </c>
      <c r="J14" s="21" t="s">
        <v>218</v>
      </c>
      <c r="K14" s="21" t="s">
        <v>219</v>
      </c>
      <c r="L14" s="21" t="s">
        <v>74</v>
      </c>
      <c r="M14" s="21" t="s">
        <v>220</v>
      </c>
      <c r="N14" s="21" t="s">
        <v>221</v>
      </c>
      <c r="O14" s="21" t="s">
        <v>222</v>
      </c>
      <c r="P14" s="21" t="s">
        <v>59</v>
      </c>
      <c r="Q14" s="21" t="s">
        <v>106</v>
      </c>
      <c r="R14" s="23">
        <v>47107</v>
      </c>
      <c r="S14" s="21" t="s">
        <v>223</v>
      </c>
      <c r="T14" s="21" t="s">
        <v>952</v>
      </c>
      <c r="U14" s="21" t="s">
        <v>211</v>
      </c>
      <c r="V14" s="21" t="s">
        <v>224</v>
      </c>
      <c r="W14" s="21" t="s">
        <v>225</v>
      </c>
      <c r="X14" s="21">
        <v>3</v>
      </c>
    </row>
    <row r="15" spans="1:24" ht="15">
      <c r="A15" s="21" t="s">
        <v>3</v>
      </c>
      <c r="B15" s="24" t="s">
        <v>9</v>
      </c>
      <c r="C15" s="21" t="s">
        <v>226</v>
      </c>
      <c r="D15" s="21" t="s">
        <v>48</v>
      </c>
      <c r="E15" s="21" t="s">
        <v>143</v>
      </c>
      <c r="F15" s="21" t="s">
        <v>156</v>
      </c>
      <c r="G15" s="21"/>
      <c r="H15" s="21" t="s">
        <v>227</v>
      </c>
      <c r="I15" s="21" t="s">
        <v>228</v>
      </c>
      <c r="J15" s="21" t="s">
        <v>229</v>
      </c>
      <c r="K15" s="21" t="s">
        <v>230</v>
      </c>
      <c r="L15" s="21" t="s">
        <v>149</v>
      </c>
      <c r="M15" s="21" t="s">
        <v>231</v>
      </c>
      <c r="N15" s="21" t="s">
        <v>232</v>
      </c>
      <c r="O15" s="21" t="s">
        <v>77</v>
      </c>
      <c r="P15" s="21" t="s">
        <v>233</v>
      </c>
      <c r="Q15" s="21" t="s">
        <v>106</v>
      </c>
      <c r="R15" s="23">
        <v>34772</v>
      </c>
      <c r="S15" s="21" t="s">
        <v>234</v>
      </c>
      <c r="T15" s="21" t="s">
        <v>952</v>
      </c>
      <c r="U15" s="21" t="s">
        <v>108</v>
      </c>
      <c r="V15" s="21" t="s">
        <v>235</v>
      </c>
      <c r="W15" s="21" t="s">
        <v>236</v>
      </c>
      <c r="X15" s="21">
        <v>1</v>
      </c>
    </row>
    <row r="16" spans="1:24" ht="15">
      <c r="A16" s="21" t="s">
        <v>3</v>
      </c>
      <c r="B16" s="24" t="s">
        <v>9</v>
      </c>
      <c r="C16" s="21" t="s">
        <v>237</v>
      </c>
      <c r="D16" s="21" t="s">
        <v>48</v>
      </c>
      <c r="E16" s="21" t="s">
        <v>112</v>
      </c>
      <c r="F16" s="21" t="s">
        <v>238</v>
      </c>
      <c r="G16" s="21"/>
      <c r="H16" s="21" t="s">
        <v>239</v>
      </c>
      <c r="I16" s="21" t="s">
        <v>240</v>
      </c>
      <c r="J16" s="21" t="s">
        <v>241</v>
      </c>
      <c r="K16" s="21" t="s">
        <v>242</v>
      </c>
      <c r="L16" s="21" t="s">
        <v>119</v>
      </c>
      <c r="M16" s="21" t="s">
        <v>243</v>
      </c>
      <c r="N16" s="21" t="s">
        <v>244</v>
      </c>
      <c r="O16" s="21" t="s">
        <v>77</v>
      </c>
      <c r="P16" s="21" t="s">
        <v>245</v>
      </c>
      <c r="Q16" s="21" t="s">
        <v>106</v>
      </c>
      <c r="R16" s="23">
        <v>62849</v>
      </c>
      <c r="S16" s="21" t="s">
        <v>246</v>
      </c>
      <c r="T16" s="21" t="s">
        <v>952</v>
      </c>
      <c r="U16" s="21" t="s">
        <v>62</v>
      </c>
      <c r="V16" s="21" t="s">
        <v>247</v>
      </c>
      <c r="W16" s="21" t="s">
        <v>248</v>
      </c>
      <c r="X16" s="21">
        <v>2</v>
      </c>
    </row>
    <row r="17" spans="1:24" ht="15">
      <c r="A17" s="21" t="s">
        <v>3</v>
      </c>
      <c r="B17" s="24" t="s">
        <v>9</v>
      </c>
      <c r="C17" s="21" t="s">
        <v>237</v>
      </c>
      <c r="D17" s="21" t="s">
        <v>48</v>
      </c>
      <c r="E17" s="21" t="s">
        <v>112</v>
      </c>
      <c r="F17" s="21" t="s">
        <v>249</v>
      </c>
      <c r="G17" s="21" t="s">
        <v>114</v>
      </c>
      <c r="H17" s="21" t="s">
        <v>250</v>
      </c>
      <c r="I17" s="21" t="s">
        <v>251</v>
      </c>
      <c r="J17" s="21" t="s">
        <v>252</v>
      </c>
      <c r="K17" s="21" t="s">
        <v>253</v>
      </c>
      <c r="L17" s="21" t="s">
        <v>254</v>
      </c>
      <c r="M17" s="21" t="s">
        <v>255</v>
      </c>
      <c r="N17" s="21" t="s">
        <v>256</v>
      </c>
      <c r="O17" s="21" t="s">
        <v>77</v>
      </c>
      <c r="P17" s="21" t="s">
        <v>59</v>
      </c>
      <c r="Q17" s="21" t="s">
        <v>106</v>
      </c>
      <c r="R17" s="23">
        <v>4144</v>
      </c>
      <c r="S17" s="21" t="s">
        <v>257</v>
      </c>
      <c r="T17" s="21" t="s">
        <v>949</v>
      </c>
      <c r="U17" s="21" t="s">
        <v>153</v>
      </c>
      <c r="V17" s="21" t="s">
        <v>258</v>
      </c>
      <c r="W17" s="21" t="s">
        <v>259</v>
      </c>
      <c r="X17" s="21">
        <v>2</v>
      </c>
    </row>
    <row r="18" spans="1:24" ht="15">
      <c r="A18" s="21" t="s">
        <v>3</v>
      </c>
      <c r="B18" s="24" t="s">
        <v>9</v>
      </c>
      <c r="C18" s="21" t="s">
        <v>260</v>
      </c>
      <c r="D18" s="21" t="s">
        <v>48</v>
      </c>
      <c r="E18" s="21" t="s">
        <v>128</v>
      </c>
      <c r="F18" s="21" t="s">
        <v>261</v>
      </c>
      <c r="G18" s="21"/>
      <c r="H18" s="21" t="s">
        <v>262</v>
      </c>
      <c r="I18" s="21" t="s">
        <v>263</v>
      </c>
      <c r="J18" s="21" t="s">
        <v>264</v>
      </c>
      <c r="K18" s="21" t="s">
        <v>265</v>
      </c>
      <c r="L18" s="21" t="s">
        <v>74</v>
      </c>
      <c r="M18" s="21" t="s">
        <v>266</v>
      </c>
      <c r="N18" s="21" t="s">
        <v>260</v>
      </c>
      <c r="O18" s="21" t="s">
        <v>267</v>
      </c>
      <c r="P18" s="21" t="s">
        <v>90</v>
      </c>
      <c r="Q18" s="21" t="s">
        <v>106</v>
      </c>
      <c r="R18" s="23">
        <v>370115</v>
      </c>
      <c r="S18" s="21" t="s">
        <v>268</v>
      </c>
      <c r="T18" s="21" t="s">
        <v>950</v>
      </c>
      <c r="U18" s="21" t="s">
        <v>140</v>
      </c>
      <c r="V18" s="21" t="s">
        <v>269</v>
      </c>
      <c r="W18" s="21" t="s">
        <v>270</v>
      </c>
      <c r="X18" s="21">
        <v>3</v>
      </c>
    </row>
    <row r="19" spans="1:24" ht="15">
      <c r="A19" s="21" t="s">
        <v>3</v>
      </c>
      <c r="B19" s="24" t="s">
        <v>9</v>
      </c>
      <c r="C19" s="21" t="s">
        <v>271</v>
      </c>
      <c r="D19" s="21" t="s">
        <v>48</v>
      </c>
      <c r="E19" s="21" t="s">
        <v>128</v>
      </c>
      <c r="F19" s="21" t="s">
        <v>272</v>
      </c>
      <c r="G19" s="21"/>
      <c r="H19" s="21" t="s">
        <v>273</v>
      </c>
      <c r="I19" s="21" t="s">
        <v>274</v>
      </c>
      <c r="J19" s="21" t="s">
        <v>275</v>
      </c>
      <c r="K19" s="21" t="s">
        <v>275</v>
      </c>
      <c r="L19" s="21" t="s">
        <v>254</v>
      </c>
      <c r="M19" s="21" t="s">
        <v>276</v>
      </c>
      <c r="N19" s="21" t="s">
        <v>277</v>
      </c>
      <c r="O19" s="21" t="s">
        <v>77</v>
      </c>
      <c r="P19" s="21" t="s">
        <v>278</v>
      </c>
      <c r="Q19" s="21" t="s">
        <v>106</v>
      </c>
      <c r="R19" s="23">
        <v>42036</v>
      </c>
      <c r="S19" s="21" t="s">
        <v>279</v>
      </c>
      <c r="T19" s="21" t="s">
        <v>949</v>
      </c>
      <c r="U19" s="21" t="s">
        <v>153</v>
      </c>
      <c r="V19" s="21" t="s">
        <v>280</v>
      </c>
      <c r="W19" s="21" t="s">
        <v>281</v>
      </c>
      <c r="X19" s="21">
        <v>5</v>
      </c>
    </row>
    <row r="20" spans="1:24" ht="15">
      <c r="A20" s="21" t="s">
        <v>3</v>
      </c>
      <c r="B20" s="24" t="s">
        <v>9</v>
      </c>
      <c r="C20" s="21" t="s">
        <v>282</v>
      </c>
      <c r="D20" s="21" t="s">
        <v>48</v>
      </c>
      <c r="E20" s="21" t="s">
        <v>143</v>
      </c>
      <c r="F20" s="21" t="s">
        <v>283</v>
      </c>
      <c r="G20" s="21"/>
      <c r="H20" s="21" t="s">
        <v>284</v>
      </c>
      <c r="I20" s="21" t="s">
        <v>285</v>
      </c>
      <c r="J20" s="21" t="s">
        <v>286</v>
      </c>
      <c r="K20" s="21" t="s">
        <v>287</v>
      </c>
      <c r="L20" s="21" t="s">
        <v>149</v>
      </c>
      <c r="M20" s="21" t="s">
        <v>288</v>
      </c>
      <c r="N20" s="21" t="s">
        <v>289</v>
      </c>
      <c r="O20" s="21" t="s">
        <v>122</v>
      </c>
      <c r="P20" s="21" t="s">
        <v>90</v>
      </c>
      <c r="Q20" s="21" t="s">
        <v>106</v>
      </c>
      <c r="R20" s="23">
        <v>154136</v>
      </c>
      <c r="S20" s="21" t="s">
        <v>290</v>
      </c>
      <c r="T20" s="21" t="s">
        <v>952</v>
      </c>
      <c r="U20" s="21" t="s">
        <v>62</v>
      </c>
      <c r="V20" s="21" t="s">
        <v>291</v>
      </c>
      <c r="W20" s="21" t="s">
        <v>292</v>
      </c>
      <c r="X20" s="21">
        <v>4</v>
      </c>
    </row>
    <row r="21" spans="1:24" ht="15">
      <c r="A21" s="21" t="s">
        <v>3</v>
      </c>
      <c r="B21" s="24" t="s">
        <v>9</v>
      </c>
      <c r="C21" s="21" t="s">
        <v>293</v>
      </c>
      <c r="D21" s="21" t="s">
        <v>48</v>
      </c>
      <c r="E21" s="21" t="s">
        <v>143</v>
      </c>
      <c r="F21" s="21" t="s">
        <v>215</v>
      </c>
      <c r="G21" s="21"/>
      <c r="H21" s="21" t="s">
        <v>294</v>
      </c>
      <c r="I21" s="21" t="s">
        <v>295</v>
      </c>
      <c r="J21" s="21" t="s">
        <v>296</v>
      </c>
      <c r="K21" s="21" t="s">
        <v>297</v>
      </c>
      <c r="L21" s="21" t="s">
        <v>119</v>
      </c>
      <c r="M21" s="21" t="s">
        <v>298</v>
      </c>
      <c r="N21" s="21" t="s">
        <v>293</v>
      </c>
      <c r="O21" s="21" t="s">
        <v>77</v>
      </c>
      <c r="P21" s="21" t="s">
        <v>245</v>
      </c>
      <c r="Q21" s="21" t="s">
        <v>106</v>
      </c>
      <c r="R21" s="23">
        <v>5980</v>
      </c>
      <c r="S21" s="21" t="s">
        <v>223</v>
      </c>
      <c r="T21" s="21" t="s">
        <v>952</v>
      </c>
      <c r="U21" s="21" t="s">
        <v>153</v>
      </c>
      <c r="V21" s="21" t="s">
        <v>299</v>
      </c>
      <c r="W21" s="21" t="s">
        <v>300</v>
      </c>
      <c r="X21" s="21">
        <v>3</v>
      </c>
    </row>
    <row r="22" spans="1:24" ht="15">
      <c r="A22" s="21" t="s">
        <v>3</v>
      </c>
      <c r="B22" s="24" t="s">
        <v>9</v>
      </c>
      <c r="C22" s="21" t="s">
        <v>293</v>
      </c>
      <c r="D22" s="21" t="s">
        <v>48</v>
      </c>
      <c r="E22" s="21" t="s">
        <v>143</v>
      </c>
      <c r="F22" s="21" t="s">
        <v>301</v>
      </c>
      <c r="G22" s="21" t="s">
        <v>114</v>
      </c>
      <c r="H22" s="21" t="s">
        <v>302</v>
      </c>
      <c r="I22" s="21" t="s">
        <v>303</v>
      </c>
      <c r="J22" s="21" t="s">
        <v>304</v>
      </c>
      <c r="K22" s="21" t="s">
        <v>305</v>
      </c>
      <c r="L22" s="21" t="s">
        <v>119</v>
      </c>
      <c r="M22" s="21" t="s">
        <v>306</v>
      </c>
      <c r="N22" s="21" t="s">
        <v>293</v>
      </c>
      <c r="O22" s="21" t="s">
        <v>77</v>
      </c>
      <c r="P22" s="21" t="s">
        <v>233</v>
      </c>
      <c r="Q22" s="21" t="s">
        <v>106</v>
      </c>
      <c r="R22" s="23">
        <v>32458</v>
      </c>
      <c r="S22" s="21" t="s">
        <v>307</v>
      </c>
      <c r="T22" s="21" t="s">
        <v>949</v>
      </c>
      <c r="U22" s="21" t="s">
        <v>62</v>
      </c>
      <c r="V22" s="21" t="s">
        <v>308</v>
      </c>
      <c r="W22" s="21" t="s">
        <v>309</v>
      </c>
      <c r="X22" s="21">
        <v>1</v>
      </c>
    </row>
    <row r="23" spans="1:24" ht="15">
      <c r="A23" s="21" t="s">
        <v>3</v>
      </c>
      <c r="B23" s="24" t="s">
        <v>9</v>
      </c>
      <c r="C23" s="21" t="s">
        <v>310</v>
      </c>
      <c r="D23" s="21" t="s">
        <v>48</v>
      </c>
      <c r="E23" s="21" t="s">
        <v>143</v>
      </c>
      <c r="F23" s="21" t="s">
        <v>156</v>
      </c>
      <c r="G23" s="21" t="s">
        <v>311</v>
      </c>
      <c r="H23" s="21" t="s">
        <v>312</v>
      </c>
      <c r="I23" s="21" t="s">
        <v>313</v>
      </c>
      <c r="J23" s="21" t="s">
        <v>314</v>
      </c>
      <c r="K23" s="21" t="s">
        <v>315</v>
      </c>
      <c r="L23" s="21" t="s">
        <v>56</v>
      </c>
      <c r="M23" s="21" t="s">
        <v>316</v>
      </c>
      <c r="N23" s="21" t="s">
        <v>310</v>
      </c>
      <c r="O23" s="21" t="s">
        <v>77</v>
      </c>
      <c r="P23" s="21" t="s">
        <v>59</v>
      </c>
      <c r="Q23" s="21" t="s">
        <v>106</v>
      </c>
      <c r="R23" s="23">
        <v>11177</v>
      </c>
      <c r="S23" s="21" t="s">
        <v>317</v>
      </c>
      <c r="T23" s="21" t="s">
        <v>952</v>
      </c>
      <c r="U23" s="21" t="s">
        <v>153</v>
      </c>
      <c r="V23" s="21" t="s">
        <v>318</v>
      </c>
      <c r="W23" s="21" t="s">
        <v>319</v>
      </c>
      <c r="X23" s="21">
        <v>2</v>
      </c>
    </row>
    <row r="24" spans="1:24" ht="15">
      <c r="A24" s="21" t="s">
        <v>3</v>
      </c>
      <c r="B24" s="24" t="s">
        <v>9</v>
      </c>
      <c r="C24" s="21" t="s">
        <v>320</v>
      </c>
      <c r="D24" s="21" t="s">
        <v>48</v>
      </c>
      <c r="E24" s="21" t="s">
        <v>143</v>
      </c>
      <c r="F24" s="21" t="s">
        <v>156</v>
      </c>
      <c r="G24" s="21" t="s">
        <v>114</v>
      </c>
      <c r="H24" s="21" t="s">
        <v>321</v>
      </c>
      <c r="I24" s="21" t="s">
        <v>322</v>
      </c>
      <c r="J24" s="21" t="s">
        <v>323</v>
      </c>
      <c r="K24" s="21" t="s">
        <v>324</v>
      </c>
      <c r="L24" s="21" t="s">
        <v>149</v>
      </c>
      <c r="M24" s="21" t="s">
        <v>325</v>
      </c>
      <c r="N24" s="21" t="s">
        <v>320</v>
      </c>
      <c r="O24" s="21" t="s">
        <v>326</v>
      </c>
      <c r="P24" s="21" t="s">
        <v>245</v>
      </c>
      <c r="Q24" s="21" t="s">
        <v>106</v>
      </c>
      <c r="R24" s="23">
        <v>89849</v>
      </c>
      <c r="S24" s="21" t="s">
        <v>164</v>
      </c>
      <c r="T24" s="21" t="s">
        <v>949</v>
      </c>
      <c r="U24" s="21" t="s">
        <v>153</v>
      </c>
      <c r="V24" s="21" t="s">
        <v>327</v>
      </c>
      <c r="W24" s="21" t="s">
        <v>328</v>
      </c>
      <c r="X24" s="21">
        <v>1</v>
      </c>
    </row>
    <row r="25" spans="1:24" ht="15">
      <c r="A25" s="21" t="s">
        <v>3</v>
      </c>
      <c r="B25" s="24" t="s">
        <v>9</v>
      </c>
      <c r="C25" s="21" t="s">
        <v>329</v>
      </c>
      <c r="D25" s="21" t="s">
        <v>48</v>
      </c>
      <c r="E25" s="21" t="s">
        <v>83</v>
      </c>
      <c r="F25" s="21" t="s">
        <v>330</v>
      </c>
      <c r="G25" s="21"/>
      <c r="H25" s="21" t="s">
        <v>331</v>
      </c>
      <c r="I25" s="21" t="s">
        <v>332</v>
      </c>
      <c r="J25" s="21" t="s">
        <v>333</v>
      </c>
      <c r="K25" s="21" t="s">
        <v>334</v>
      </c>
      <c r="L25" s="21" t="s">
        <v>134</v>
      </c>
      <c r="M25" s="21" t="s">
        <v>335</v>
      </c>
      <c r="N25" s="21" t="s">
        <v>329</v>
      </c>
      <c r="O25" s="21" t="s">
        <v>77</v>
      </c>
      <c r="P25" s="21" t="s">
        <v>59</v>
      </c>
      <c r="Q25" s="21" t="s">
        <v>106</v>
      </c>
      <c r="R25" s="23">
        <v>35957</v>
      </c>
      <c r="S25" s="21" t="s">
        <v>336</v>
      </c>
      <c r="T25" s="21" t="s">
        <v>951</v>
      </c>
      <c r="U25" s="21" t="s">
        <v>153</v>
      </c>
      <c r="V25" s="21" t="s">
        <v>337</v>
      </c>
      <c r="W25" s="21" t="s">
        <v>338</v>
      </c>
      <c r="X25" s="21">
        <v>2</v>
      </c>
    </row>
    <row r="26" spans="1:24" ht="15">
      <c r="A26" s="21" t="s">
        <v>3</v>
      </c>
      <c r="B26" s="24" t="s">
        <v>9</v>
      </c>
      <c r="C26" s="21" t="s">
        <v>339</v>
      </c>
      <c r="D26" s="21" t="s">
        <v>48</v>
      </c>
      <c r="E26" s="21" t="s">
        <v>143</v>
      </c>
      <c r="F26" s="21" t="s">
        <v>156</v>
      </c>
      <c r="G26" s="21" t="s">
        <v>311</v>
      </c>
      <c r="H26" s="21" t="s">
        <v>340</v>
      </c>
      <c r="I26" s="21" t="s">
        <v>341</v>
      </c>
      <c r="J26" s="21" t="s">
        <v>342</v>
      </c>
      <c r="K26" s="21" t="s">
        <v>343</v>
      </c>
      <c r="L26" s="21" t="s">
        <v>149</v>
      </c>
      <c r="M26" s="21" t="s">
        <v>344</v>
      </c>
      <c r="N26" s="21" t="s">
        <v>339</v>
      </c>
      <c r="O26" s="21" t="s">
        <v>77</v>
      </c>
      <c r="P26" s="21" t="s">
        <v>90</v>
      </c>
      <c r="Q26" s="21" t="s">
        <v>106</v>
      </c>
      <c r="R26" s="23">
        <v>36359</v>
      </c>
      <c r="S26" s="21" t="s">
        <v>317</v>
      </c>
      <c r="T26" s="21" t="s">
        <v>952</v>
      </c>
      <c r="U26" s="21" t="s">
        <v>153</v>
      </c>
      <c r="V26" s="21" t="s">
        <v>345</v>
      </c>
      <c r="W26" s="21" t="s">
        <v>346</v>
      </c>
      <c r="X26" s="21">
        <v>1</v>
      </c>
    </row>
    <row r="27" spans="1:24" ht="15">
      <c r="A27" s="21" t="s">
        <v>3</v>
      </c>
      <c r="B27" s="25" t="s">
        <v>10</v>
      </c>
      <c r="C27" s="21" t="s">
        <v>347</v>
      </c>
      <c r="D27" s="21" t="s">
        <v>48</v>
      </c>
      <c r="E27" s="21" t="s">
        <v>68</v>
      </c>
      <c r="F27" s="21" t="s">
        <v>348</v>
      </c>
      <c r="G27" s="21"/>
      <c r="H27" s="21" t="s">
        <v>349</v>
      </c>
      <c r="I27" s="21" t="s">
        <v>350</v>
      </c>
      <c r="J27" s="21" t="s">
        <v>351</v>
      </c>
      <c r="K27" s="21" t="s">
        <v>352</v>
      </c>
      <c r="L27" s="21" t="s">
        <v>56</v>
      </c>
      <c r="M27" s="21" t="s">
        <v>353</v>
      </c>
      <c r="N27" s="21" t="s">
        <v>354</v>
      </c>
      <c r="O27" s="21" t="s">
        <v>355</v>
      </c>
      <c r="P27" s="21" t="s">
        <v>356</v>
      </c>
      <c r="Q27" s="21" t="s">
        <v>106</v>
      </c>
      <c r="R27" s="23">
        <v>152189</v>
      </c>
      <c r="S27" s="21" t="s">
        <v>357</v>
      </c>
      <c r="T27" s="21" t="s">
        <v>950</v>
      </c>
      <c r="U27" s="21" t="s">
        <v>358</v>
      </c>
      <c r="V27" s="21" t="s">
        <v>359</v>
      </c>
      <c r="W27" s="21" t="s">
        <v>360</v>
      </c>
      <c r="X27" s="21">
        <v>1</v>
      </c>
    </row>
    <row r="28" spans="1:24" ht="15">
      <c r="A28" s="21" t="s">
        <v>3</v>
      </c>
      <c r="B28" s="25" t="s">
        <v>10</v>
      </c>
      <c r="C28" s="21" t="s">
        <v>361</v>
      </c>
      <c r="D28" s="21" t="s">
        <v>48</v>
      </c>
      <c r="E28" s="21" t="s">
        <v>68</v>
      </c>
      <c r="F28" s="21" t="s">
        <v>348</v>
      </c>
      <c r="G28" s="21"/>
      <c r="H28" s="21" t="s">
        <v>362</v>
      </c>
      <c r="I28" s="21" t="s">
        <v>363</v>
      </c>
      <c r="J28" s="21" t="s">
        <v>364</v>
      </c>
      <c r="K28" s="21" t="s">
        <v>365</v>
      </c>
      <c r="L28" s="21" t="s">
        <v>56</v>
      </c>
      <c r="M28" s="21" t="s">
        <v>366</v>
      </c>
      <c r="N28" s="21" t="s">
        <v>367</v>
      </c>
      <c r="O28" s="21" t="s">
        <v>77</v>
      </c>
      <c r="P28" s="21" t="s">
        <v>245</v>
      </c>
      <c r="Q28" s="21" t="s">
        <v>106</v>
      </c>
      <c r="R28" s="23">
        <v>195739</v>
      </c>
      <c r="S28" s="21" t="s">
        <v>357</v>
      </c>
      <c r="T28" s="21" t="s">
        <v>950</v>
      </c>
      <c r="U28" s="21" t="s">
        <v>368</v>
      </c>
      <c r="V28" s="21" t="s">
        <v>369</v>
      </c>
      <c r="W28" s="21" t="s">
        <v>370</v>
      </c>
      <c r="X28" s="21">
        <v>1</v>
      </c>
    </row>
    <row r="29" spans="1:24" ht="15">
      <c r="A29" s="21" t="s">
        <v>3</v>
      </c>
      <c r="B29" s="25" t="s">
        <v>10</v>
      </c>
      <c r="C29" s="21" t="s">
        <v>371</v>
      </c>
      <c r="D29" s="21" t="s">
        <v>48</v>
      </c>
      <c r="E29" s="21" t="s">
        <v>68</v>
      </c>
      <c r="F29" s="21" t="s">
        <v>348</v>
      </c>
      <c r="G29" s="21"/>
      <c r="H29" s="21" t="s">
        <v>372</v>
      </c>
      <c r="I29" s="21" t="s">
        <v>373</v>
      </c>
      <c r="J29" s="21" t="s">
        <v>374</v>
      </c>
      <c r="K29" s="21" t="s">
        <v>375</v>
      </c>
      <c r="L29" s="21" t="s">
        <v>134</v>
      </c>
      <c r="M29" s="21" t="s">
        <v>376</v>
      </c>
      <c r="N29" s="21" t="s">
        <v>371</v>
      </c>
      <c r="O29" s="21" t="s">
        <v>377</v>
      </c>
      <c r="P29" s="21" t="s">
        <v>90</v>
      </c>
      <c r="Q29" s="21" t="s">
        <v>106</v>
      </c>
      <c r="R29" s="23">
        <v>280518</v>
      </c>
      <c r="S29" s="21" t="s">
        <v>357</v>
      </c>
      <c r="T29" s="21" t="s">
        <v>950</v>
      </c>
      <c r="U29" s="21" t="s">
        <v>140</v>
      </c>
      <c r="V29" s="21" t="s">
        <v>378</v>
      </c>
      <c r="W29" s="21" t="s">
        <v>379</v>
      </c>
      <c r="X29" s="21">
        <v>1</v>
      </c>
    </row>
    <row r="30" spans="1:24" ht="15">
      <c r="A30" s="21" t="s">
        <v>3</v>
      </c>
      <c r="B30" s="25" t="s">
        <v>10</v>
      </c>
      <c r="C30" s="21" t="s">
        <v>380</v>
      </c>
      <c r="D30" s="21" t="s">
        <v>48</v>
      </c>
      <c r="E30" s="21" t="s">
        <v>68</v>
      </c>
      <c r="F30" s="21" t="s">
        <v>348</v>
      </c>
      <c r="G30" s="21"/>
      <c r="H30" s="21" t="s">
        <v>381</v>
      </c>
      <c r="I30" s="21" t="s">
        <v>382</v>
      </c>
      <c r="J30" s="21" t="s">
        <v>383</v>
      </c>
      <c r="K30" s="21" t="s">
        <v>384</v>
      </c>
      <c r="L30" s="21" t="s">
        <v>149</v>
      </c>
      <c r="M30" s="21" t="s">
        <v>385</v>
      </c>
      <c r="N30" s="21" t="s">
        <v>386</v>
      </c>
      <c r="O30" s="21" t="s">
        <v>77</v>
      </c>
      <c r="P30" s="21" t="s">
        <v>59</v>
      </c>
      <c r="Q30" s="21" t="s">
        <v>60</v>
      </c>
      <c r="R30" s="23">
        <v>72335</v>
      </c>
      <c r="S30" s="21" t="s">
        <v>387</v>
      </c>
      <c r="T30" s="21" t="s">
        <v>950</v>
      </c>
      <c r="U30" s="21" t="s">
        <v>358</v>
      </c>
      <c r="V30" s="21" t="s">
        <v>388</v>
      </c>
      <c r="W30" s="21" t="s">
        <v>389</v>
      </c>
      <c r="X30" s="21">
        <v>1</v>
      </c>
    </row>
    <row r="31" spans="1:24" ht="15">
      <c r="A31" s="21" t="s">
        <v>3</v>
      </c>
      <c r="B31" s="26" t="s">
        <v>11</v>
      </c>
      <c r="C31" s="21" t="s">
        <v>390</v>
      </c>
      <c r="D31" s="21" t="s">
        <v>48</v>
      </c>
      <c r="E31" s="21" t="s">
        <v>83</v>
      </c>
      <c r="F31" s="21" t="s">
        <v>391</v>
      </c>
      <c r="G31" s="21"/>
      <c r="H31" s="21" t="s">
        <v>392</v>
      </c>
      <c r="I31" s="21" t="s">
        <v>393</v>
      </c>
      <c r="J31" s="21" t="s">
        <v>394</v>
      </c>
      <c r="K31" s="21" t="s">
        <v>395</v>
      </c>
      <c r="L31" s="21" t="s">
        <v>56</v>
      </c>
      <c r="M31" s="21" t="s">
        <v>396</v>
      </c>
      <c r="N31" s="21" t="s">
        <v>397</v>
      </c>
      <c r="O31" s="21" t="s">
        <v>77</v>
      </c>
      <c r="P31" s="21" t="s">
        <v>59</v>
      </c>
      <c r="Q31" s="21" t="s">
        <v>60</v>
      </c>
      <c r="R31" s="23">
        <v>49359</v>
      </c>
      <c r="S31" s="21" t="s">
        <v>398</v>
      </c>
      <c r="T31" s="21" t="s">
        <v>951</v>
      </c>
      <c r="U31" s="21" t="s">
        <v>153</v>
      </c>
      <c r="V31" s="21" t="s">
        <v>399</v>
      </c>
      <c r="W31" s="21" t="s">
        <v>400</v>
      </c>
      <c r="X31" s="21">
        <v>1</v>
      </c>
    </row>
    <row r="32" spans="1:24" ht="15">
      <c r="A32" s="21" t="s">
        <v>3</v>
      </c>
      <c r="B32" s="26" t="s">
        <v>11</v>
      </c>
      <c r="C32" s="21" t="s">
        <v>390</v>
      </c>
      <c r="D32" s="21" t="s">
        <v>48</v>
      </c>
      <c r="E32" s="21" t="s">
        <v>83</v>
      </c>
      <c r="F32" s="21" t="s">
        <v>391</v>
      </c>
      <c r="G32" s="21"/>
      <c r="H32" s="21" t="s">
        <v>401</v>
      </c>
      <c r="I32" s="21" t="s">
        <v>402</v>
      </c>
      <c r="J32" s="21" t="s">
        <v>403</v>
      </c>
      <c r="K32" s="21" t="s">
        <v>404</v>
      </c>
      <c r="L32" s="21" t="s">
        <v>119</v>
      </c>
      <c r="M32" s="21" t="s">
        <v>405</v>
      </c>
      <c r="N32" s="21" t="s">
        <v>397</v>
      </c>
      <c r="O32" s="21" t="s">
        <v>406</v>
      </c>
      <c r="P32" s="21" t="s">
        <v>90</v>
      </c>
      <c r="Q32" s="21" t="s">
        <v>60</v>
      </c>
      <c r="R32" s="23">
        <v>881081</v>
      </c>
      <c r="S32" s="21" t="s">
        <v>398</v>
      </c>
      <c r="T32" s="21" t="s">
        <v>951</v>
      </c>
      <c r="U32" s="21" t="s">
        <v>153</v>
      </c>
      <c r="V32" s="21" t="s">
        <v>407</v>
      </c>
      <c r="W32" s="21" t="s">
        <v>408</v>
      </c>
      <c r="X32" s="21">
        <v>2</v>
      </c>
    </row>
    <row r="33" spans="1:24" ht="15">
      <c r="A33" s="21" t="s">
        <v>3</v>
      </c>
      <c r="B33" s="26" t="s">
        <v>11</v>
      </c>
      <c r="C33" s="21" t="s">
        <v>390</v>
      </c>
      <c r="D33" s="21" t="s">
        <v>48</v>
      </c>
      <c r="E33" s="21" t="s">
        <v>83</v>
      </c>
      <c r="F33" s="21" t="s">
        <v>391</v>
      </c>
      <c r="G33" s="21"/>
      <c r="H33" s="21" t="s">
        <v>409</v>
      </c>
      <c r="I33" s="21" t="s">
        <v>410</v>
      </c>
      <c r="J33" s="21" t="s">
        <v>411</v>
      </c>
      <c r="K33" s="21" t="s">
        <v>412</v>
      </c>
      <c r="L33" s="21" t="s">
        <v>74</v>
      </c>
      <c r="M33" s="21" t="s">
        <v>413</v>
      </c>
      <c r="N33" s="21" t="s">
        <v>414</v>
      </c>
      <c r="O33" s="21" t="s">
        <v>415</v>
      </c>
      <c r="P33" s="21" t="s">
        <v>90</v>
      </c>
      <c r="Q33" s="21" t="s">
        <v>60</v>
      </c>
      <c r="R33" s="23">
        <v>205596</v>
      </c>
      <c r="S33" s="21" t="s">
        <v>398</v>
      </c>
      <c r="T33" s="21" t="s">
        <v>951</v>
      </c>
      <c r="U33" s="21" t="s">
        <v>62</v>
      </c>
      <c r="V33" s="21" t="s">
        <v>416</v>
      </c>
      <c r="W33" s="21" t="s">
        <v>417</v>
      </c>
      <c r="X33" s="21">
        <v>1</v>
      </c>
    </row>
    <row r="34" spans="1:24" ht="15">
      <c r="A34" s="21" t="s">
        <v>3</v>
      </c>
      <c r="B34" s="26" t="s">
        <v>11</v>
      </c>
      <c r="C34" s="21" t="s">
        <v>390</v>
      </c>
      <c r="D34" s="21" t="s">
        <v>48</v>
      </c>
      <c r="E34" s="21" t="s">
        <v>49</v>
      </c>
      <c r="F34" s="21" t="s">
        <v>50</v>
      </c>
      <c r="G34" s="21" t="s">
        <v>418</v>
      </c>
      <c r="H34" s="21" t="s">
        <v>419</v>
      </c>
      <c r="I34" s="21" t="s">
        <v>420</v>
      </c>
      <c r="J34" s="21" t="s">
        <v>421</v>
      </c>
      <c r="K34" s="21" t="s">
        <v>422</v>
      </c>
      <c r="L34" s="21" t="s">
        <v>149</v>
      </c>
      <c r="M34" s="21" t="s">
        <v>423</v>
      </c>
      <c r="N34" s="21" t="s">
        <v>424</v>
      </c>
      <c r="O34" s="21" t="s">
        <v>77</v>
      </c>
      <c r="P34" s="21" t="s">
        <v>90</v>
      </c>
      <c r="Q34" s="21" t="s">
        <v>425</v>
      </c>
      <c r="R34" s="23">
        <v>60668</v>
      </c>
      <c r="S34" s="21" t="s">
        <v>426</v>
      </c>
      <c r="T34" s="21" t="s">
        <v>951</v>
      </c>
      <c r="U34" s="21" t="s">
        <v>153</v>
      </c>
      <c r="V34" s="21" t="s">
        <v>427</v>
      </c>
      <c r="W34" s="21" t="s">
        <v>428</v>
      </c>
      <c r="X34" s="21">
        <v>1</v>
      </c>
    </row>
    <row r="35" spans="1:24" ht="15">
      <c r="A35" s="21" t="s">
        <v>3</v>
      </c>
      <c r="B35" s="26" t="s">
        <v>11</v>
      </c>
      <c r="C35" s="21" t="s">
        <v>429</v>
      </c>
      <c r="D35" s="21" t="s">
        <v>48</v>
      </c>
      <c r="E35" s="21" t="s">
        <v>49</v>
      </c>
      <c r="F35" s="21" t="s">
        <v>50</v>
      </c>
      <c r="G35" s="21" t="s">
        <v>418</v>
      </c>
      <c r="H35" s="21" t="s">
        <v>430</v>
      </c>
      <c r="I35" s="21" t="s">
        <v>431</v>
      </c>
      <c r="J35" s="21" t="s">
        <v>432</v>
      </c>
      <c r="K35" s="21" t="s">
        <v>433</v>
      </c>
      <c r="L35" s="21" t="s">
        <v>56</v>
      </c>
      <c r="M35" s="21" t="s">
        <v>434</v>
      </c>
      <c r="N35" s="21" t="s">
        <v>429</v>
      </c>
      <c r="O35" s="21" t="s">
        <v>77</v>
      </c>
      <c r="P35" s="21" t="s">
        <v>59</v>
      </c>
      <c r="Q35" s="21" t="s">
        <v>60</v>
      </c>
      <c r="R35" s="23">
        <v>51176</v>
      </c>
      <c r="S35" s="21" t="s">
        <v>426</v>
      </c>
      <c r="T35" s="21" t="s">
        <v>951</v>
      </c>
      <c r="U35" s="21" t="s">
        <v>153</v>
      </c>
      <c r="V35" s="21" t="s">
        <v>435</v>
      </c>
      <c r="W35" s="21" t="s">
        <v>436</v>
      </c>
      <c r="X35" s="21">
        <v>1</v>
      </c>
    </row>
    <row r="36" spans="1:24" ht="15">
      <c r="A36" s="21" t="s">
        <v>3</v>
      </c>
      <c r="B36" s="26" t="s">
        <v>11</v>
      </c>
      <c r="C36" s="21" t="s">
        <v>437</v>
      </c>
      <c r="D36" s="21" t="s">
        <v>48</v>
      </c>
      <c r="E36" s="21" t="s">
        <v>49</v>
      </c>
      <c r="F36" s="21" t="s">
        <v>50</v>
      </c>
      <c r="G36" s="21" t="s">
        <v>418</v>
      </c>
      <c r="H36" s="21" t="s">
        <v>438</v>
      </c>
      <c r="I36" s="21" t="s">
        <v>439</v>
      </c>
      <c r="J36" s="21" t="s">
        <v>440</v>
      </c>
      <c r="K36" s="21" t="s">
        <v>441</v>
      </c>
      <c r="L36" s="21" t="s">
        <v>134</v>
      </c>
      <c r="M36" s="21" t="s">
        <v>442</v>
      </c>
      <c r="N36" s="21" t="s">
        <v>437</v>
      </c>
      <c r="O36" s="21" t="s">
        <v>443</v>
      </c>
      <c r="P36" s="21" t="s">
        <v>59</v>
      </c>
      <c r="Q36" s="21" t="s">
        <v>60</v>
      </c>
      <c r="R36" s="23">
        <v>157293</v>
      </c>
      <c r="S36" s="21" t="s">
        <v>426</v>
      </c>
      <c r="T36" s="21" t="s">
        <v>951</v>
      </c>
      <c r="U36" s="21" t="s">
        <v>153</v>
      </c>
      <c r="V36" s="21" t="s">
        <v>444</v>
      </c>
      <c r="W36" s="21" t="s">
        <v>445</v>
      </c>
      <c r="X36" s="21">
        <v>1</v>
      </c>
    </row>
    <row r="37" spans="1:24" ht="15">
      <c r="A37" s="21" t="s">
        <v>3</v>
      </c>
      <c r="B37" s="26" t="s">
        <v>11</v>
      </c>
      <c r="C37" s="21" t="s">
        <v>446</v>
      </c>
      <c r="D37" s="21" t="s">
        <v>48</v>
      </c>
      <c r="E37" s="21" t="s">
        <v>83</v>
      </c>
      <c r="F37" s="21" t="s">
        <v>330</v>
      </c>
      <c r="G37" s="21"/>
      <c r="H37" s="21" t="s">
        <v>447</v>
      </c>
      <c r="I37" s="21" t="s">
        <v>448</v>
      </c>
      <c r="J37" s="21" t="s">
        <v>449</v>
      </c>
      <c r="K37" s="21" t="s">
        <v>450</v>
      </c>
      <c r="L37" s="21" t="s">
        <v>119</v>
      </c>
      <c r="M37" s="21" t="s">
        <v>451</v>
      </c>
      <c r="N37" s="21" t="s">
        <v>446</v>
      </c>
      <c r="O37" s="21" t="s">
        <v>452</v>
      </c>
      <c r="P37" s="21" t="s">
        <v>59</v>
      </c>
      <c r="Q37" s="21" t="s">
        <v>60</v>
      </c>
      <c r="R37" s="23">
        <v>191795</v>
      </c>
      <c r="S37" s="21" t="s">
        <v>336</v>
      </c>
      <c r="T37" s="21" t="s">
        <v>951</v>
      </c>
      <c r="U37" s="21" t="s">
        <v>92</v>
      </c>
      <c r="V37" s="21" t="s">
        <v>453</v>
      </c>
      <c r="W37" s="21" t="s">
        <v>454</v>
      </c>
      <c r="X37" s="21">
        <v>3</v>
      </c>
    </row>
    <row r="38" spans="1:24" ht="15">
      <c r="A38" s="21" t="s">
        <v>3</v>
      </c>
      <c r="B38" s="26" t="s">
        <v>11</v>
      </c>
      <c r="C38" s="21" t="s">
        <v>455</v>
      </c>
      <c r="D38" s="21" t="s">
        <v>48</v>
      </c>
      <c r="E38" s="21" t="s">
        <v>68</v>
      </c>
      <c r="F38" s="21" t="s">
        <v>348</v>
      </c>
      <c r="G38" s="21" t="s">
        <v>418</v>
      </c>
      <c r="H38" s="21" t="s">
        <v>456</v>
      </c>
      <c r="I38" s="21" t="s">
        <v>457</v>
      </c>
      <c r="J38" s="21" t="s">
        <v>458</v>
      </c>
      <c r="K38" s="21" t="s">
        <v>459</v>
      </c>
      <c r="L38" s="21" t="s">
        <v>56</v>
      </c>
      <c r="M38" s="21" t="s">
        <v>460</v>
      </c>
      <c r="N38" s="21" t="s">
        <v>455</v>
      </c>
      <c r="O38" s="21" t="s">
        <v>461</v>
      </c>
      <c r="P38" s="21" t="s">
        <v>59</v>
      </c>
      <c r="Q38" s="21" t="s">
        <v>60</v>
      </c>
      <c r="R38" s="23">
        <v>221756</v>
      </c>
      <c r="S38" s="21" t="s">
        <v>462</v>
      </c>
      <c r="T38" s="21" t="s">
        <v>950</v>
      </c>
      <c r="U38" s="21" t="s">
        <v>463</v>
      </c>
      <c r="V38" s="21" t="s">
        <v>464</v>
      </c>
      <c r="W38" s="21" t="s">
        <v>465</v>
      </c>
      <c r="X38" s="21">
        <v>2</v>
      </c>
    </row>
    <row r="39" spans="1:24" ht="15">
      <c r="A39" s="21" t="s">
        <v>3</v>
      </c>
      <c r="B39" s="27" t="s">
        <v>12</v>
      </c>
      <c r="C39" s="21" t="s">
        <v>179</v>
      </c>
      <c r="D39" s="21" t="s">
        <v>48</v>
      </c>
      <c r="E39" s="21" t="s">
        <v>143</v>
      </c>
      <c r="F39" s="21" t="s">
        <v>466</v>
      </c>
      <c r="G39" s="21"/>
      <c r="H39" s="21" t="s">
        <v>467</v>
      </c>
      <c r="I39" s="21" t="s">
        <v>468</v>
      </c>
      <c r="J39" s="21" t="s">
        <v>469</v>
      </c>
      <c r="K39" s="21" t="s">
        <v>470</v>
      </c>
      <c r="L39" s="21" t="s">
        <v>471</v>
      </c>
      <c r="M39" s="21" t="s">
        <v>472</v>
      </c>
      <c r="N39" s="21" t="s">
        <v>473</v>
      </c>
      <c r="O39" s="21" t="s">
        <v>77</v>
      </c>
      <c r="P39" s="21" t="s">
        <v>245</v>
      </c>
      <c r="Q39" s="21" t="s">
        <v>106</v>
      </c>
      <c r="R39" s="23">
        <v>65662</v>
      </c>
      <c r="S39" s="21" t="s">
        <v>474</v>
      </c>
      <c r="T39" s="21" t="s">
        <v>953</v>
      </c>
      <c r="U39" s="21" t="s">
        <v>153</v>
      </c>
      <c r="V39" s="21" t="s">
        <v>475</v>
      </c>
      <c r="W39" s="21" t="s">
        <v>476</v>
      </c>
      <c r="X39" s="21">
        <v>2</v>
      </c>
    </row>
    <row r="40" spans="1:24" ht="15">
      <c r="A40" s="21" t="s">
        <v>3</v>
      </c>
      <c r="B40" s="27" t="s">
        <v>12</v>
      </c>
      <c r="C40" s="21" t="s">
        <v>477</v>
      </c>
      <c r="D40" s="21" t="s">
        <v>48</v>
      </c>
      <c r="E40" s="21" t="s">
        <v>128</v>
      </c>
      <c r="F40" s="21" t="s">
        <v>478</v>
      </c>
      <c r="G40" s="21"/>
      <c r="H40" s="21" t="s">
        <v>479</v>
      </c>
      <c r="I40" s="21" t="s">
        <v>480</v>
      </c>
      <c r="J40" s="21" t="s">
        <v>481</v>
      </c>
      <c r="K40" s="21" t="s">
        <v>482</v>
      </c>
      <c r="L40" s="21" t="s">
        <v>56</v>
      </c>
      <c r="M40" s="21" t="s">
        <v>483</v>
      </c>
      <c r="N40" s="21" t="s">
        <v>484</v>
      </c>
      <c r="O40" s="21" t="s">
        <v>77</v>
      </c>
      <c r="P40" s="21" t="s">
        <v>485</v>
      </c>
      <c r="Q40" s="21" t="s">
        <v>425</v>
      </c>
      <c r="R40" s="23">
        <v>193108</v>
      </c>
      <c r="S40" s="21" t="s">
        <v>486</v>
      </c>
      <c r="T40" s="21" t="s">
        <v>950</v>
      </c>
      <c r="U40" s="21" t="s">
        <v>140</v>
      </c>
      <c r="V40" s="21" t="s">
        <v>487</v>
      </c>
      <c r="W40" s="21" t="s">
        <v>488</v>
      </c>
      <c r="X40" s="21">
        <v>3</v>
      </c>
    </row>
    <row r="41" spans="1:24" ht="15">
      <c r="A41" s="21" t="s">
        <v>3</v>
      </c>
      <c r="B41" s="27" t="s">
        <v>12</v>
      </c>
      <c r="C41" s="21" t="s">
        <v>477</v>
      </c>
      <c r="D41" s="21" t="s">
        <v>48</v>
      </c>
      <c r="E41" s="21" t="s">
        <v>128</v>
      </c>
      <c r="F41" s="21" t="s">
        <v>489</v>
      </c>
      <c r="G41" s="21"/>
      <c r="H41" s="21" t="s">
        <v>490</v>
      </c>
      <c r="I41" s="21" t="s">
        <v>491</v>
      </c>
      <c r="J41" s="21" t="s">
        <v>492</v>
      </c>
      <c r="K41" s="21" t="s">
        <v>493</v>
      </c>
      <c r="L41" s="21" t="s">
        <v>74</v>
      </c>
      <c r="M41" s="21" t="s">
        <v>494</v>
      </c>
      <c r="N41" s="21" t="s">
        <v>495</v>
      </c>
      <c r="O41" s="21" t="s">
        <v>496</v>
      </c>
      <c r="P41" s="21" t="s">
        <v>90</v>
      </c>
      <c r="Q41" s="21" t="s">
        <v>106</v>
      </c>
      <c r="R41" s="23">
        <v>115788</v>
      </c>
      <c r="S41" s="21" t="s">
        <v>497</v>
      </c>
      <c r="T41" s="21" t="s">
        <v>950</v>
      </c>
      <c r="U41" s="21" t="s">
        <v>358</v>
      </c>
      <c r="V41" s="21" t="s">
        <v>498</v>
      </c>
      <c r="W41" s="21" t="s">
        <v>499</v>
      </c>
      <c r="X41" s="21">
        <v>1</v>
      </c>
    </row>
    <row r="42" spans="1:24" ht="15">
      <c r="A42" s="21" t="s">
        <v>3</v>
      </c>
      <c r="B42" s="27" t="s">
        <v>12</v>
      </c>
      <c r="C42" s="21" t="s">
        <v>477</v>
      </c>
      <c r="D42" s="21" t="s">
        <v>48</v>
      </c>
      <c r="E42" s="21" t="s">
        <v>143</v>
      </c>
      <c r="F42" s="21" t="s">
        <v>500</v>
      </c>
      <c r="G42" s="21"/>
      <c r="H42" s="21" t="s">
        <v>501</v>
      </c>
      <c r="I42" s="21" t="s">
        <v>502</v>
      </c>
      <c r="J42" s="21" t="s">
        <v>503</v>
      </c>
      <c r="K42" s="21" t="s">
        <v>504</v>
      </c>
      <c r="L42" s="21" t="s">
        <v>119</v>
      </c>
      <c r="M42" s="21" t="s">
        <v>505</v>
      </c>
      <c r="N42" s="21" t="s">
        <v>506</v>
      </c>
      <c r="O42" s="21" t="s">
        <v>507</v>
      </c>
      <c r="P42" s="21" t="s">
        <v>508</v>
      </c>
      <c r="Q42" s="21" t="s">
        <v>106</v>
      </c>
      <c r="R42" s="23">
        <v>236977</v>
      </c>
      <c r="S42" s="21" t="s">
        <v>509</v>
      </c>
      <c r="T42" s="21" t="s">
        <v>953</v>
      </c>
      <c r="U42" s="21" t="s">
        <v>62</v>
      </c>
      <c r="V42" s="21" t="s">
        <v>510</v>
      </c>
      <c r="W42" s="21" t="s">
        <v>511</v>
      </c>
      <c r="X42" s="21">
        <v>1</v>
      </c>
    </row>
    <row r="43" spans="1:24" ht="15">
      <c r="A43" s="21" t="s">
        <v>3</v>
      </c>
      <c r="B43" s="27" t="s">
        <v>12</v>
      </c>
      <c r="C43" s="21" t="s">
        <v>512</v>
      </c>
      <c r="D43" s="21" t="s">
        <v>48</v>
      </c>
      <c r="E43" s="21" t="s">
        <v>143</v>
      </c>
      <c r="F43" s="21" t="s">
        <v>466</v>
      </c>
      <c r="G43" s="21"/>
      <c r="H43" s="21" t="s">
        <v>513</v>
      </c>
      <c r="I43" s="21" t="s">
        <v>514</v>
      </c>
      <c r="J43" s="21" t="s">
        <v>515</v>
      </c>
      <c r="K43" s="21" t="s">
        <v>516</v>
      </c>
      <c r="L43" s="21" t="s">
        <v>74</v>
      </c>
      <c r="M43" s="21" t="s">
        <v>517</v>
      </c>
      <c r="N43" s="21" t="s">
        <v>518</v>
      </c>
      <c r="O43" s="21" t="s">
        <v>519</v>
      </c>
      <c r="P43" s="21" t="s">
        <v>90</v>
      </c>
      <c r="Q43" s="21" t="s">
        <v>106</v>
      </c>
      <c r="R43" s="23">
        <v>96479</v>
      </c>
      <c r="S43" s="21" t="s">
        <v>474</v>
      </c>
      <c r="T43" s="21" t="s">
        <v>953</v>
      </c>
      <c r="U43" s="21" t="s">
        <v>520</v>
      </c>
      <c r="V43" s="21" t="s">
        <v>521</v>
      </c>
      <c r="W43" s="21" t="s">
        <v>522</v>
      </c>
      <c r="X43" s="21">
        <v>1</v>
      </c>
    </row>
    <row r="44" spans="1:24" ht="15">
      <c r="A44" s="21" t="s">
        <v>3</v>
      </c>
      <c r="B44" s="27" t="s">
        <v>12</v>
      </c>
      <c r="C44" s="21" t="s">
        <v>523</v>
      </c>
      <c r="D44" s="21" t="s">
        <v>48</v>
      </c>
      <c r="E44" s="21" t="s">
        <v>128</v>
      </c>
      <c r="F44" s="21" t="s">
        <v>524</v>
      </c>
      <c r="G44" s="21" t="s">
        <v>418</v>
      </c>
      <c r="H44" s="21" t="s">
        <v>525</v>
      </c>
      <c r="I44" s="21" t="s">
        <v>526</v>
      </c>
      <c r="J44" s="21" t="s">
        <v>527</v>
      </c>
      <c r="K44" s="21" t="s">
        <v>528</v>
      </c>
      <c r="L44" s="21" t="s">
        <v>119</v>
      </c>
      <c r="M44" s="21" t="s">
        <v>529</v>
      </c>
      <c r="N44" s="21" t="s">
        <v>523</v>
      </c>
      <c r="O44" s="21" t="s">
        <v>77</v>
      </c>
      <c r="P44" s="21" t="s">
        <v>530</v>
      </c>
      <c r="Q44" s="21" t="s">
        <v>106</v>
      </c>
      <c r="R44" s="23">
        <v>71752</v>
      </c>
      <c r="S44" s="21" t="s">
        <v>531</v>
      </c>
      <c r="T44" s="21" t="s">
        <v>950</v>
      </c>
      <c r="U44" s="21" t="s">
        <v>358</v>
      </c>
      <c r="V44" s="21" t="s">
        <v>532</v>
      </c>
      <c r="W44" s="21" t="s">
        <v>533</v>
      </c>
      <c r="X44" s="21">
        <v>4</v>
      </c>
    </row>
    <row r="45" spans="1:24" ht="15">
      <c r="A45" s="21" t="s">
        <v>3</v>
      </c>
      <c r="B45" s="27" t="s">
        <v>12</v>
      </c>
      <c r="C45" s="21" t="s">
        <v>523</v>
      </c>
      <c r="D45" s="21" t="s">
        <v>48</v>
      </c>
      <c r="E45" s="21" t="s">
        <v>143</v>
      </c>
      <c r="F45" s="21" t="s">
        <v>500</v>
      </c>
      <c r="G45" s="21"/>
      <c r="H45" s="21" t="s">
        <v>534</v>
      </c>
      <c r="I45" s="21" t="s">
        <v>535</v>
      </c>
      <c r="J45" s="21" t="s">
        <v>536</v>
      </c>
      <c r="K45" s="21" t="s">
        <v>537</v>
      </c>
      <c r="L45" s="21" t="s">
        <v>134</v>
      </c>
      <c r="M45" s="21" t="s">
        <v>538</v>
      </c>
      <c r="N45" s="21" t="s">
        <v>523</v>
      </c>
      <c r="O45" s="21" t="s">
        <v>539</v>
      </c>
      <c r="P45" s="21" t="s">
        <v>540</v>
      </c>
      <c r="Q45" s="21" t="s">
        <v>106</v>
      </c>
      <c r="R45" s="23">
        <v>56676</v>
      </c>
      <c r="S45" s="21" t="s">
        <v>509</v>
      </c>
      <c r="T45" s="21" t="s">
        <v>953</v>
      </c>
      <c r="U45" s="21" t="s">
        <v>153</v>
      </c>
      <c r="V45" s="21" t="s">
        <v>541</v>
      </c>
      <c r="W45" s="21" t="s">
        <v>542</v>
      </c>
      <c r="X45" s="21">
        <v>1</v>
      </c>
    </row>
    <row r="46" spans="1:24" ht="15">
      <c r="A46" s="21" t="s">
        <v>3</v>
      </c>
      <c r="B46" s="27" t="s">
        <v>12</v>
      </c>
      <c r="C46" s="21" t="s">
        <v>523</v>
      </c>
      <c r="D46" s="21" t="s">
        <v>48</v>
      </c>
      <c r="E46" s="21" t="s">
        <v>143</v>
      </c>
      <c r="F46" s="21" t="s">
        <v>466</v>
      </c>
      <c r="G46" s="21"/>
      <c r="H46" s="21" t="s">
        <v>543</v>
      </c>
      <c r="I46" s="21" t="s">
        <v>544</v>
      </c>
      <c r="J46" s="21" t="s">
        <v>545</v>
      </c>
      <c r="K46" s="21" t="s">
        <v>546</v>
      </c>
      <c r="L46" s="21" t="s">
        <v>254</v>
      </c>
      <c r="M46" s="21" t="s">
        <v>547</v>
      </c>
      <c r="N46" s="21" t="s">
        <v>523</v>
      </c>
      <c r="O46" s="21" t="s">
        <v>77</v>
      </c>
      <c r="P46" s="21" t="s">
        <v>59</v>
      </c>
      <c r="Q46" s="21" t="s">
        <v>60</v>
      </c>
      <c r="R46" s="23">
        <v>46500</v>
      </c>
      <c r="S46" s="21" t="s">
        <v>474</v>
      </c>
      <c r="T46" s="21" t="s">
        <v>953</v>
      </c>
      <c r="U46" s="21" t="s">
        <v>153</v>
      </c>
      <c r="V46" s="21" t="s">
        <v>548</v>
      </c>
      <c r="W46" s="21" t="s">
        <v>549</v>
      </c>
      <c r="X46" s="21">
        <v>1</v>
      </c>
    </row>
    <row r="47" spans="1:24" ht="15">
      <c r="A47" s="21" t="s">
        <v>3</v>
      </c>
      <c r="B47" s="27" t="s">
        <v>12</v>
      </c>
      <c r="C47" s="21" t="s">
        <v>523</v>
      </c>
      <c r="D47" s="21" t="s">
        <v>48</v>
      </c>
      <c r="E47" s="21" t="s">
        <v>143</v>
      </c>
      <c r="F47" s="21" t="s">
        <v>466</v>
      </c>
      <c r="G47" s="21"/>
      <c r="H47" s="21" t="s">
        <v>550</v>
      </c>
      <c r="I47" s="21" t="s">
        <v>551</v>
      </c>
      <c r="J47" s="21" t="s">
        <v>552</v>
      </c>
      <c r="K47" s="21" t="s">
        <v>553</v>
      </c>
      <c r="L47" s="21" t="s">
        <v>74</v>
      </c>
      <c r="M47" s="21" t="s">
        <v>554</v>
      </c>
      <c r="N47" s="21" t="s">
        <v>523</v>
      </c>
      <c r="O47" s="21" t="s">
        <v>77</v>
      </c>
      <c r="P47" s="21" t="s">
        <v>530</v>
      </c>
      <c r="Q47" s="21" t="s">
        <v>106</v>
      </c>
      <c r="R47" s="23">
        <v>9619</v>
      </c>
      <c r="S47" s="21" t="s">
        <v>474</v>
      </c>
      <c r="T47" s="21" t="s">
        <v>953</v>
      </c>
      <c r="U47" s="21" t="s">
        <v>153</v>
      </c>
      <c r="V47" s="21" t="s">
        <v>555</v>
      </c>
      <c r="W47" s="21" t="s">
        <v>556</v>
      </c>
      <c r="X47" s="21">
        <v>1</v>
      </c>
    </row>
    <row r="48" spans="1:24" ht="15">
      <c r="A48" s="21" t="s">
        <v>3</v>
      </c>
      <c r="B48" s="27" t="s">
        <v>12</v>
      </c>
      <c r="C48" s="21" t="s">
        <v>523</v>
      </c>
      <c r="D48" s="21" t="s">
        <v>48</v>
      </c>
      <c r="E48" s="21" t="s">
        <v>143</v>
      </c>
      <c r="F48" s="21" t="s">
        <v>466</v>
      </c>
      <c r="G48" s="21"/>
      <c r="H48" s="21" t="s">
        <v>557</v>
      </c>
      <c r="I48" s="21" t="s">
        <v>558</v>
      </c>
      <c r="J48" s="21" t="s">
        <v>559</v>
      </c>
      <c r="K48" s="21" t="s">
        <v>560</v>
      </c>
      <c r="L48" s="21" t="s">
        <v>56</v>
      </c>
      <c r="M48" s="21" t="s">
        <v>561</v>
      </c>
      <c r="N48" s="21" t="s">
        <v>523</v>
      </c>
      <c r="O48" s="21" t="s">
        <v>77</v>
      </c>
      <c r="P48" s="21" t="s">
        <v>562</v>
      </c>
      <c r="Q48" s="21" t="s">
        <v>106</v>
      </c>
      <c r="R48" s="23">
        <v>8556</v>
      </c>
      <c r="S48" s="21" t="s">
        <v>474</v>
      </c>
      <c r="T48" s="21" t="s">
        <v>953</v>
      </c>
      <c r="U48" s="21" t="s">
        <v>211</v>
      </c>
      <c r="V48" s="21" t="s">
        <v>563</v>
      </c>
      <c r="W48" s="21" t="s">
        <v>564</v>
      </c>
      <c r="X48" s="21">
        <v>1</v>
      </c>
    </row>
    <row r="49" spans="1:24" ht="15">
      <c r="A49" s="21" t="s">
        <v>3</v>
      </c>
      <c r="B49" s="27" t="s">
        <v>12</v>
      </c>
      <c r="C49" s="21" t="s">
        <v>523</v>
      </c>
      <c r="D49" s="21" t="s">
        <v>48</v>
      </c>
      <c r="E49" s="21" t="s">
        <v>143</v>
      </c>
      <c r="F49" s="21" t="s">
        <v>466</v>
      </c>
      <c r="G49" s="21"/>
      <c r="H49" s="21" t="s">
        <v>565</v>
      </c>
      <c r="I49" s="21" t="s">
        <v>566</v>
      </c>
      <c r="J49" s="21" t="s">
        <v>567</v>
      </c>
      <c r="K49" s="21" t="s">
        <v>568</v>
      </c>
      <c r="L49" s="21" t="s">
        <v>119</v>
      </c>
      <c r="M49" s="21" t="s">
        <v>569</v>
      </c>
      <c r="N49" s="21" t="s">
        <v>570</v>
      </c>
      <c r="O49" s="21" t="s">
        <v>571</v>
      </c>
      <c r="P49" s="21" t="s">
        <v>572</v>
      </c>
      <c r="Q49" s="21" t="s">
        <v>425</v>
      </c>
      <c r="R49" s="23">
        <v>2282447</v>
      </c>
      <c r="S49" s="21" t="s">
        <v>474</v>
      </c>
      <c r="T49" s="21" t="s">
        <v>953</v>
      </c>
      <c r="U49" s="21" t="s">
        <v>573</v>
      </c>
      <c r="V49" s="21" t="s">
        <v>574</v>
      </c>
      <c r="W49" s="21" t="s">
        <v>575</v>
      </c>
      <c r="X49" s="21">
        <v>2</v>
      </c>
    </row>
    <row r="50" spans="1:24" ht="15">
      <c r="A50" s="21" t="s">
        <v>3</v>
      </c>
      <c r="B50" s="27" t="s">
        <v>12</v>
      </c>
      <c r="C50" s="21" t="s">
        <v>523</v>
      </c>
      <c r="D50" s="21" t="s">
        <v>48</v>
      </c>
      <c r="E50" s="21" t="s">
        <v>143</v>
      </c>
      <c r="F50" s="21" t="s">
        <v>466</v>
      </c>
      <c r="G50" s="21"/>
      <c r="H50" s="21" t="s">
        <v>576</v>
      </c>
      <c r="I50" s="21" t="s">
        <v>577</v>
      </c>
      <c r="J50" s="21" t="s">
        <v>578</v>
      </c>
      <c r="K50" s="21" t="s">
        <v>579</v>
      </c>
      <c r="L50" s="21" t="s">
        <v>56</v>
      </c>
      <c r="M50" s="21" t="s">
        <v>580</v>
      </c>
      <c r="N50" s="21" t="s">
        <v>523</v>
      </c>
      <c r="O50" s="21" t="s">
        <v>77</v>
      </c>
      <c r="P50" s="21" t="s">
        <v>209</v>
      </c>
      <c r="Q50" s="21" t="s">
        <v>106</v>
      </c>
      <c r="R50" s="23">
        <v>347970</v>
      </c>
      <c r="S50" s="21" t="s">
        <v>474</v>
      </c>
      <c r="T50" s="21" t="s">
        <v>953</v>
      </c>
      <c r="U50" s="21" t="s">
        <v>153</v>
      </c>
      <c r="V50" s="21" t="s">
        <v>581</v>
      </c>
      <c r="W50" s="21" t="s">
        <v>582</v>
      </c>
      <c r="X50" s="21">
        <v>1</v>
      </c>
    </row>
    <row r="51" spans="1:24" ht="15">
      <c r="A51" s="21" t="s">
        <v>3</v>
      </c>
      <c r="B51" s="27" t="s">
        <v>12</v>
      </c>
      <c r="C51" s="21" t="s">
        <v>523</v>
      </c>
      <c r="D51" s="21" t="s">
        <v>48</v>
      </c>
      <c r="E51" s="21" t="s">
        <v>143</v>
      </c>
      <c r="F51" s="21" t="s">
        <v>466</v>
      </c>
      <c r="G51" s="21"/>
      <c r="H51" s="21" t="s">
        <v>583</v>
      </c>
      <c r="I51" s="21" t="s">
        <v>584</v>
      </c>
      <c r="J51" s="21" t="s">
        <v>585</v>
      </c>
      <c r="K51" s="21" t="s">
        <v>586</v>
      </c>
      <c r="L51" s="21" t="s">
        <v>74</v>
      </c>
      <c r="M51" s="21" t="s">
        <v>587</v>
      </c>
      <c r="N51" s="21" t="s">
        <v>523</v>
      </c>
      <c r="O51" s="21" t="s">
        <v>588</v>
      </c>
      <c r="P51" s="21" t="s">
        <v>508</v>
      </c>
      <c r="Q51" s="21" t="s">
        <v>106</v>
      </c>
      <c r="R51" s="23">
        <v>471905</v>
      </c>
      <c r="S51" s="21" t="s">
        <v>474</v>
      </c>
      <c r="T51" s="21" t="s">
        <v>953</v>
      </c>
      <c r="U51" s="21" t="s">
        <v>153</v>
      </c>
      <c r="V51" s="21" t="s">
        <v>589</v>
      </c>
      <c r="W51" s="21" t="s">
        <v>590</v>
      </c>
      <c r="X51" s="21">
        <v>1</v>
      </c>
    </row>
    <row r="52" spans="1:24" ht="15">
      <c r="A52" s="21" t="s">
        <v>3</v>
      </c>
      <c r="B52" s="27" t="s">
        <v>12</v>
      </c>
      <c r="C52" s="21" t="s">
        <v>523</v>
      </c>
      <c r="D52" s="21" t="s">
        <v>48</v>
      </c>
      <c r="E52" s="21" t="s">
        <v>49</v>
      </c>
      <c r="F52" s="21" t="s">
        <v>50</v>
      </c>
      <c r="G52" s="21" t="s">
        <v>418</v>
      </c>
      <c r="H52" s="21" t="s">
        <v>591</v>
      </c>
      <c r="I52" s="21" t="s">
        <v>592</v>
      </c>
      <c r="J52" s="21" t="s">
        <v>593</v>
      </c>
      <c r="K52" s="21" t="s">
        <v>594</v>
      </c>
      <c r="L52" s="21" t="s">
        <v>149</v>
      </c>
      <c r="M52" s="21" t="s">
        <v>595</v>
      </c>
      <c r="N52" s="21" t="s">
        <v>523</v>
      </c>
      <c r="O52" s="21" t="s">
        <v>507</v>
      </c>
      <c r="P52" s="21" t="s">
        <v>59</v>
      </c>
      <c r="Q52" s="21" t="s">
        <v>60</v>
      </c>
      <c r="R52" s="23">
        <v>116313</v>
      </c>
      <c r="S52" s="21" t="s">
        <v>426</v>
      </c>
      <c r="T52" s="21" t="s">
        <v>951</v>
      </c>
      <c r="U52" s="21" t="s">
        <v>62</v>
      </c>
      <c r="V52" s="21" t="s">
        <v>596</v>
      </c>
      <c r="W52" s="21" t="s">
        <v>597</v>
      </c>
      <c r="X52" s="21">
        <v>1</v>
      </c>
    </row>
    <row r="53" spans="1:24" ht="15">
      <c r="A53" s="21" t="s">
        <v>3</v>
      </c>
      <c r="B53" s="27" t="s">
        <v>12</v>
      </c>
      <c r="C53" s="21" t="s">
        <v>598</v>
      </c>
      <c r="D53" s="21" t="s">
        <v>48</v>
      </c>
      <c r="E53" s="21" t="s">
        <v>143</v>
      </c>
      <c r="F53" s="21" t="s">
        <v>466</v>
      </c>
      <c r="G53" s="21"/>
      <c r="H53" s="21" t="s">
        <v>599</v>
      </c>
      <c r="I53" s="21" t="s">
        <v>600</v>
      </c>
      <c r="J53" s="21" t="s">
        <v>601</v>
      </c>
      <c r="K53" s="21" t="s">
        <v>602</v>
      </c>
      <c r="L53" s="21" t="s">
        <v>74</v>
      </c>
      <c r="M53" s="21" t="s">
        <v>603</v>
      </c>
      <c r="N53" s="21" t="s">
        <v>598</v>
      </c>
      <c r="O53" s="21" t="s">
        <v>77</v>
      </c>
      <c r="P53" s="21" t="s">
        <v>530</v>
      </c>
      <c r="Q53" s="21" t="s">
        <v>106</v>
      </c>
      <c r="R53" s="23">
        <v>20475</v>
      </c>
      <c r="S53" s="21" t="s">
        <v>604</v>
      </c>
      <c r="T53" s="21" t="s">
        <v>953</v>
      </c>
      <c r="U53" s="21" t="s">
        <v>153</v>
      </c>
      <c r="V53" s="21" t="s">
        <v>605</v>
      </c>
      <c r="W53" s="21" t="s">
        <v>606</v>
      </c>
      <c r="X53" s="21">
        <v>1</v>
      </c>
    </row>
    <row r="54" spans="1:24" ht="15">
      <c r="A54" s="21" t="s">
        <v>3</v>
      </c>
      <c r="B54" s="27" t="s">
        <v>12</v>
      </c>
      <c r="C54" s="21" t="s">
        <v>607</v>
      </c>
      <c r="D54" s="21" t="s">
        <v>48</v>
      </c>
      <c r="E54" s="21" t="s">
        <v>143</v>
      </c>
      <c r="F54" s="21" t="s">
        <v>466</v>
      </c>
      <c r="G54" s="21"/>
      <c r="H54" s="21" t="s">
        <v>608</v>
      </c>
      <c r="I54" s="21" t="s">
        <v>609</v>
      </c>
      <c r="J54" s="21" t="s">
        <v>610</v>
      </c>
      <c r="K54" s="21" t="s">
        <v>611</v>
      </c>
      <c r="L54" s="21" t="s">
        <v>74</v>
      </c>
      <c r="M54" s="21" t="s">
        <v>75</v>
      </c>
      <c r="N54" s="21" t="s">
        <v>607</v>
      </c>
      <c r="O54" s="21" t="s">
        <v>612</v>
      </c>
      <c r="P54" s="21" t="s">
        <v>59</v>
      </c>
      <c r="Q54" s="21" t="s">
        <v>60</v>
      </c>
      <c r="R54" s="23">
        <v>271381</v>
      </c>
      <c r="S54" s="21" t="s">
        <v>474</v>
      </c>
      <c r="T54" s="21" t="s">
        <v>953</v>
      </c>
      <c r="U54" s="21" t="s">
        <v>153</v>
      </c>
      <c r="V54" s="21" t="s">
        <v>613</v>
      </c>
      <c r="W54" s="21" t="s">
        <v>614</v>
      </c>
      <c r="X54" s="21">
        <v>1</v>
      </c>
    </row>
    <row r="55" spans="1:24" ht="15">
      <c r="A55" s="21" t="s">
        <v>3</v>
      </c>
      <c r="B55" s="27" t="s">
        <v>12</v>
      </c>
      <c r="C55" s="21" t="s">
        <v>615</v>
      </c>
      <c r="D55" s="21" t="s">
        <v>48</v>
      </c>
      <c r="E55" s="21" t="s">
        <v>143</v>
      </c>
      <c r="F55" s="21" t="s">
        <v>156</v>
      </c>
      <c r="G55" s="21"/>
      <c r="H55" s="21" t="s">
        <v>616</v>
      </c>
      <c r="I55" s="21" t="s">
        <v>617</v>
      </c>
      <c r="J55" s="21" t="s">
        <v>618</v>
      </c>
      <c r="K55" s="21" t="s">
        <v>619</v>
      </c>
      <c r="L55" s="21" t="s">
        <v>119</v>
      </c>
      <c r="M55" s="21" t="s">
        <v>620</v>
      </c>
      <c r="N55" s="21" t="s">
        <v>615</v>
      </c>
      <c r="O55" s="21" t="s">
        <v>621</v>
      </c>
      <c r="P55" s="21" t="s">
        <v>622</v>
      </c>
      <c r="Q55" s="21" t="s">
        <v>106</v>
      </c>
      <c r="R55" s="23">
        <v>32588</v>
      </c>
      <c r="S55" s="21" t="s">
        <v>234</v>
      </c>
      <c r="T55" s="21" t="s">
        <v>952</v>
      </c>
      <c r="U55" s="21" t="s">
        <v>62</v>
      </c>
      <c r="V55" s="21" t="s">
        <v>623</v>
      </c>
      <c r="W55" s="21" t="s">
        <v>624</v>
      </c>
      <c r="X55" s="21">
        <v>1</v>
      </c>
    </row>
    <row r="56" spans="1:24" ht="15">
      <c r="A56" s="21" t="s">
        <v>3</v>
      </c>
      <c r="B56" s="28" t="s">
        <v>13</v>
      </c>
      <c r="C56" s="21" t="s">
        <v>625</v>
      </c>
      <c r="D56" s="21" t="s">
        <v>48</v>
      </c>
      <c r="E56" s="21" t="s">
        <v>68</v>
      </c>
      <c r="F56" s="21" t="s">
        <v>348</v>
      </c>
      <c r="G56" s="21"/>
      <c r="H56" s="21" t="s">
        <v>626</v>
      </c>
      <c r="I56" s="21" t="s">
        <v>627</v>
      </c>
      <c r="J56" s="21" t="s">
        <v>628</v>
      </c>
      <c r="K56" s="21" t="s">
        <v>629</v>
      </c>
      <c r="L56" s="21" t="s">
        <v>134</v>
      </c>
      <c r="M56" s="21" t="s">
        <v>630</v>
      </c>
      <c r="N56" s="21" t="s">
        <v>631</v>
      </c>
      <c r="O56" s="21" t="s">
        <v>77</v>
      </c>
      <c r="P56" s="21" t="s">
        <v>59</v>
      </c>
      <c r="Q56" s="21" t="s">
        <v>60</v>
      </c>
      <c r="R56" s="23">
        <v>74694</v>
      </c>
      <c r="S56" s="21" t="s">
        <v>357</v>
      </c>
      <c r="T56" s="21" t="s">
        <v>950</v>
      </c>
      <c r="U56" s="21" t="s">
        <v>358</v>
      </c>
      <c r="V56" s="21" t="s">
        <v>632</v>
      </c>
      <c r="W56" s="21" t="s">
        <v>633</v>
      </c>
      <c r="X56" s="21">
        <v>1</v>
      </c>
    </row>
    <row r="57" spans="1:24" ht="15">
      <c r="A57" s="21" t="s">
        <v>3</v>
      </c>
      <c r="B57" s="28" t="s">
        <v>13</v>
      </c>
      <c r="C57" s="21" t="s">
        <v>634</v>
      </c>
      <c r="D57" s="21" t="s">
        <v>48</v>
      </c>
      <c r="E57" s="21" t="s">
        <v>49</v>
      </c>
      <c r="F57" s="21" t="s">
        <v>50</v>
      </c>
      <c r="G57" s="21" t="s">
        <v>418</v>
      </c>
      <c r="H57" s="21" t="s">
        <v>635</v>
      </c>
      <c r="I57" s="21" t="s">
        <v>636</v>
      </c>
      <c r="J57" s="21" t="s">
        <v>637</v>
      </c>
      <c r="K57" s="21" t="s">
        <v>638</v>
      </c>
      <c r="L57" s="21" t="s">
        <v>119</v>
      </c>
      <c r="M57" s="21" t="s">
        <v>639</v>
      </c>
      <c r="N57" s="21" t="s">
        <v>634</v>
      </c>
      <c r="O57" s="21" t="s">
        <v>77</v>
      </c>
      <c r="P57" s="21" t="s">
        <v>245</v>
      </c>
      <c r="Q57" s="21" t="s">
        <v>106</v>
      </c>
      <c r="R57" s="23">
        <v>27197</v>
      </c>
      <c r="S57" s="21" t="s">
        <v>426</v>
      </c>
      <c r="T57" s="21" t="s">
        <v>951</v>
      </c>
      <c r="U57" s="21" t="s">
        <v>211</v>
      </c>
      <c r="V57" s="21" t="s">
        <v>640</v>
      </c>
      <c r="W57" s="21" t="s">
        <v>641</v>
      </c>
      <c r="X57" s="21">
        <v>2</v>
      </c>
    </row>
    <row r="58" spans="1:24" ht="15">
      <c r="A58" s="21" t="s">
        <v>3</v>
      </c>
      <c r="B58" s="28" t="s">
        <v>13</v>
      </c>
      <c r="C58" s="21" t="s">
        <v>642</v>
      </c>
      <c r="D58" s="21" t="s">
        <v>48</v>
      </c>
      <c r="E58" s="21" t="s">
        <v>68</v>
      </c>
      <c r="F58" s="21" t="s">
        <v>348</v>
      </c>
      <c r="G58" s="21"/>
      <c r="H58" s="21" t="s">
        <v>643</v>
      </c>
      <c r="I58" s="21" t="s">
        <v>644</v>
      </c>
      <c r="J58" s="21" t="s">
        <v>645</v>
      </c>
      <c r="K58" s="21" t="s">
        <v>646</v>
      </c>
      <c r="L58" s="21" t="s">
        <v>56</v>
      </c>
      <c r="M58" s="21" t="s">
        <v>647</v>
      </c>
      <c r="N58" s="21" t="s">
        <v>642</v>
      </c>
      <c r="O58" s="21" t="s">
        <v>77</v>
      </c>
      <c r="P58" s="21" t="s">
        <v>59</v>
      </c>
      <c r="Q58" s="21" t="s">
        <v>425</v>
      </c>
      <c r="R58" s="23">
        <v>12964</v>
      </c>
      <c r="S58" s="21" t="s">
        <v>357</v>
      </c>
      <c r="T58" s="21" t="s">
        <v>950</v>
      </c>
      <c r="U58" s="21" t="s">
        <v>358</v>
      </c>
      <c r="V58" s="21" t="s">
        <v>648</v>
      </c>
      <c r="W58" s="21" t="s">
        <v>649</v>
      </c>
      <c r="X58" s="21">
        <v>1</v>
      </c>
    </row>
    <row r="59" spans="1:24" ht="15">
      <c r="A59" s="21" t="s">
        <v>3</v>
      </c>
      <c r="B59" s="29" t="s">
        <v>14</v>
      </c>
      <c r="C59" s="21" t="s">
        <v>650</v>
      </c>
      <c r="D59" s="21" t="s">
        <v>48</v>
      </c>
      <c r="E59" s="21" t="s">
        <v>143</v>
      </c>
      <c r="F59" s="21" t="s">
        <v>500</v>
      </c>
      <c r="G59" s="21"/>
      <c r="H59" s="21" t="s">
        <v>651</v>
      </c>
      <c r="I59" s="21" t="s">
        <v>652</v>
      </c>
      <c r="J59" s="21" t="s">
        <v>653</v>
      </c>
      <c r="K59" s="21" t="s">
        <v>654</v>
      </c>
      <c r="L59" s="21" t="s">
        <v>254</v>
      </c>
      <c r="M59" s="21" t="s">
        <v>655</v>
      </c>
      <c r="N59" s="21" t="s">
        <v>656</v>
      </c>
      <c r="O59" s="21" t="s">
        <v>657</v>
      </c>
      <c r="P59" s="21" t="s">
        <v>245</v>
      </c>
      <c r="Q59" s="21" t="s">
        <v>106</v>
      </c>
      <c r="R59" s="23">
        <v>28847</v>
      </c>
      <c r="S59" s="21" t="s">
        <v>509</v>
      </c>
      <c r="T59" s="21" t="s">
        <v>953</v>
      </c>
      <c r="U59" s="21" t="s">
        <v>153</v>
      </c>
      <c r="V59" s="21" t="s">
        <v>658</v>
      </c>
      <c r="W59" s="21" t="s">
        <v>659</v>
      </c>
      <c r="X59" s="21">
        <v>2</v>
      </c>
    </row>
    <row r="60" spans="1:24" ht="15">
      <c r="A60" s="21" t="s">
        <v>3</v>
      </c>
      <c r="B60" s="29" t="s">
        <v>14</v>
      </c>
      <c r="C60" s="21" t="s">
        <v>650</v>
      </c>
      <c r="D60" s="21" t="s">
        <v>48</v>
      </c>
      <c r="E60" s="21" t="s">
        <v>143</v>
      </c>
      <c r="F60" s="21" t="s">
        <v>500</v>
      </c>
      <c r="G60" s="21"/>
      <c r="H60" s="21" t="s">
        <v>660</v>
      </c>
      <c r="I60" s="21" t="s">
        <v>661</v>
      </c>
      <c r="J60" s="21" t="s">
        <v>662</v>
      </c>
      <c r="K60" s="21" t="s">
        <v>663</v>
      </c>
      <c r="L60" s="21" t="s">
        <v>254</v>
      </c>
      <c r="M60" s="21" t="s">
        <v>664</v>
      </c>
      <c r="N60" s="21" t="s">
        <v>656</v>
      </c>
      <c r="O60" s="21" t="s">
        <v>77</v>
      </c>
      <c r="P60" s="21" t="s">
        <v>245</v>
      </c>
      <c r="Q60" s="21" t="s">
        <v>106</v>
      </c>
      <c r="R60" s="23">
        <v>28702</v>
      </c>
      <c r="S60" s="21" t="s">
        <v>509</v>
      </c>
      <c r="T60" s="21" t="s">
        <v>953</v>
      </c>
      <c r="U60" s="21" t="s">
        <v>153</v>
      </c>
      <c r="V60" s="21" t="s">
        <v>665</v>
      </c>
      <c r="W60" s="21" t="s">
        <v>666</v>
      </c>
      <c r="X60" s="21">
        <v>2</v>
      </c>
    </row>
    <row r="61" spans="1:24" ht="15">
      <c r="A61" s="21" t="s">
        <v>3</v>
      </c>
      <c r="B61" s="29" t="s">
        <v>14</v>
      </c>
      <c r="C61" s="21" t="s">
        <v>667</v>
      </c>
      <c r="D61" s="21" t="s">
        <v>48</v>
      </c>
      <c r="E61" s="21" t="s">
        <v>68</v>
      </c>
      <c r="F61" s="21" t="s">
        <v>668</v>
      </c>
      <c r="G61" s="21" t="s">
        <v>51</v>
      </c>
      <c r="H61" s="21" t="s">
        <v>669</v>
      </c>
      <c r="I61" s="21" t="s">
        <v>670</v>
      </c>
      <c r="J61" s="21" t="s">
        <v>671</v>
      </c>
      <c r="K61" s="21" t="s">
        <v>672</v>
      </c>
      <c r="L61" s="21" t="s">
        <v>74</v>
      </c>
      <c r="M61" s="21" t="s">
        <v>673</v>
      </c>
      <c r="N61" s="21" t="s">
        <v>667</v>
      </c>
      <c r="O61" s="21" t="s">
        <v>674</v>
      </c>
      <c r="P61" s="21" t="s">
        <v>59</v>
      </c>
      <c r="Q61" s="21" t="s">
        <v>106</v>
      </c>
      <c r="R61" s="23">
        <v>68322</v>
      </c>
      <c r="S61" s="21" t="s">
        <v>675</v>
      </c>
      <c r="T61" s="21" t="s">
        <v>950</v>
      </c>
      <c r="U61" s="21" t="s">
        <v>140</v>
      </c>
      <c r="V61" s="21" t="s">
        <v>676</v>
      </c>
      <c r="W61" s="21" t="s">
        <v>677</v>
      </c>
      <c r="X61" s="21">
        <v>2</v>
      </c>
    </row>
    <row r="62" spans="1:24" ht="15">
      <c r="A62" s="21" t="s">
        <v>3</v>
      </c>
      <c r="B62" s="30" t="s">
        <v>15</v>
      </c>
      <c r="C62" s="21" t="s">
        <v>678</v>
      </c>
      <c r="D62" s="21" t="s">
        <v>48</v>
      </c>
      <c r="E62" s="21" t="s">
        <v>68</v>
      </c>
      <c r="F62" s="21" t="s">
        <v>348</v>
      </c>
      <c r="G62" s="21"/>
      <c r="H62" s="21" t="s">
        <v>679</v>
      </c>
      <c r="I62" s="21" t="s">
        <v>680</v>
      </c>
      <c r="J62" s="21" t="s">
        <v>681</v>
      </c>
      <c r="K62" s="21" t="s">
        <v>682</v>
      </c>
      <c r="L62" s="21" t="s">
        <v>74</v>
      </c>
      <c r="M62" s="21" t="s">
        <v>683</v>
      </c>
      <c r="N62" s="21" t="s">
        <v>678</v>
      </c>
      <c r="O62" s="21" t="s">
        <v>684</v>
      </c>
      <c r="P62" s="21" t="s">
        <v>90</v>
      </c>
      <c r="Q62" s="21" t="s">
        <v>106</v>
      </c>
      <c r="R62" s="23">
        <v>245878</v>
      </c>
      <c r="S62" s="21" t="s">
        <v>357</v>
      </c>
      <c r="T62" s="21" t="s">
        <v>950</v>
      </c>
      <c r="U62" s="21" t="s">
        <v>358</v>
      </c>
      <c r="V62" s="21" t="s">
        <v>685</v>
      </c>
      <c r="W62" s="21" t="s">
        <v>686</v>
      </c>
      <c r="X62" s="21">
        <v>1</v>
      </c>
    </row>
    <row r="63" spans="1:24" ht="15">
      <c r="A63" s="21" t="s">
        <v>3</v>
      </c>
      <c r="B63" s="30" t="s">
        <v>15</v>
      </c>
      <c r="C63" s="21" t="s">
        <v>678</v>
      </c>
      <c r="D63" s="21" t="s">
        <v>48</v>
      </c>
      <c r="E63" s="21" t="s">
        <v>143</v>
      </c>
      <c r="F63" s="21" t="s">
        <v>687</v>
      </c>
      <c r="G63" s="21"/>
      <c r="H63" s="21" t="s">
        <v>688</v>
      </c>
      <c r="I63" s="21" t="s">
        <v>689</v>
      </c>
      <c r="J63" s="21" t="s">
        <v>690</v>
      </c>
      <c r="K63" s="21" t="s">
        <v>691</v>
      </c>
      <c r="L63" s="21" t="s">
        <v>254</v>
      </c>
      <c r="M63" s="21" t="s">
        <v>692</v>
      </c>
      <c r="N63" s="21" t="s">
        <v>678</v>
      </c>
      <c r="O63" s="21" t="s">
        <v>77</v>
      </c>
      <c r="P63" s="21" t="s">
        <v>693</v>
      </c>
      <c r="Q63" s="21" t="s">
        <v>106</v>
      </c>
      <c r="R63" s="23">
        <v>2544</v>
      </c>
      <c r="S63" s="21" t="s">
        <v>694</v>
      </c>
      <c r="T63" s="21" t="s">
        <v>952</v>
      </c>
      <c r="U63" s="21" t="s">
        <v>153</v>
      </c>
      <c r="V63" s="21" t="s">
        <v>695</v>
      </c>
      <c r="W63" s="21" t="s">
        <v>696</v>
      </c>
      <c r="X63" s="21">
        <v>1</v>
      </c>
    </row>
    <row r="64" spans="1:24" ht="15">
      <c r="A64" s="21" t="s">
        <v>3</v>
      </c>
      <c r="B64" s="31" t="s">
        <v>16</v>
      </c>
      <c r="C64" s="21" t="s">
        <v>697</v>
      </c>
      <c r="D64" s="21" t="s">
        <v>48</v>
      </c>
      <c r="E64" s="21" t="s">
        <v>698</v>
      </c>
      <c r="F64" s="21" t="s">
        <v>699</v>
      </c>
      <c r="G64" s="21"/>
      <c r="H64" s="21" t="s">
        <v>700</v>
      </c>
      <c r="I64" s="21" t="s">
        <v>701</v>
      </c>
      <c r="J64" s="21" t="s">
        <v>702</v>
      </c>
      <c r="K64" s="21" t="s">
        <v>703</v>
      </c>
      <c r="L64" s="21" t="s">
        <v>56</v>
      </c>
      <c r="M64" s="21" t="s">
        <v>704</v>
      </c>
      <c r="N64" s="21" t="s">
        <v>697</v>
      </c>
      <c r="O64" s="21" t="s">
        <v>77</v>
      </c>
      <c r="P64" s="21" t="s">
        <v>90</v>
      </c>
      <c r="Q64" s="21" t="s">
        <v>425</v>
      </c>
      <c r="R64" s="23">
        <v>183161</v>
      </c>
      <c r="S64" s="21" t="s">
        <v>705</v>
      </c>
      <c r="T64" s="21" t="s">
        <v>950</v>
      </c>
      <c r="U64" s="21" t="s">
        <v>358</v>
      </c>
      <c r="V64" s="21" t="s">
        <v>706</v>
      </c>
      <c r="W64" s="21" t="s">
        <v>707</v>
      </c>
      <c r="X64" s="21">
        <v>3</v>
      </c>
    </row>
    <row r="65" spans="1:24" ht="15">
      <c r="A65" s="21" t="s">
        <v>3</v>
      </c>
      <c r="B65" s="32" t="s">
        <v>17</v>
      </c>
      <c r="C65" s="21" t="s">
        <v>708</v>
      </c>
      <c r="D65" s="21" t="s">
        <v>48</v>
      </c>
      <c r="E65" s="21" t="s">
        <v>68</v>
      </c>
      <c r="F65" s="21" t="s">
        <v>348</v>
      </c>
      <c r="G65" s="21" t="s">
        <v>51</v>
      </c>
      <c r="H65" s="21" t="s">
        <v>709</v>
      </c>
      <c r="I65" s="21" t="s">
        <v>710</v>
      </c>
      <c r="J65" s="21" t="s">
        <v>711</v>
      </c>
      <c r="K65" s="21" t="s">
        <v>712</v>
      </c>
      <c r="L65" s="21" t="s">
        <v>56</v>
      </c>
      <c r="M65" s="21" t="s">
        <v>713</v>
      </c>
      <c r="N65" s="21" t="s">
        <v>708</v>
      </c>
      <c r="O65" s="21" t="s">
        <v>714</v>
      </c>
      <c r="P65" s="21" t="s">
        <v>245</v>
      </c>
      <c r="Q65" s="21" t="s">
        <v>106</v>
      </c>
      <c r="R65" s="23">
        <v>6560</v>
      </c>
      <c r="S65" s="21" t="s">
        <v>715</v>
      </c>
      <c r="T65" s="21" t="s">
        <v>950</v>
      </c>
      <c r="U65" s="21" t="s">
        <v>358</v>
      </c>
      <c r="V65" s="21" t="s">
        <v>716</v>
      </c>
      <c r="W65" s="21" t="s">
        <v>717</v>
      </c>
      <c r="X65" s="21">
        <v>1</v>
      </c>
    </row>
    <row r="66" spans="1:24" ht="15">
      <c r="A66" s="21" t="s">
        <v>3</v>
      </c>
      <c r="B66" s="33" t="s">
        <v>18</v>
      </c>
      <c r="C66" s="21" t="s">
        <v>718</v>
      </c>
      <c r="D66" s="21" t="s">
        <v>48</v>
      </c>
      <c r="E66" s="21" t="s">
        <v>49</v>
      </c>
      <c r="F66" s="21" t="s">
        <v>50</v>
      </c>
      <c r="G66" s="21" t="s">
        <v>418</v>
      </c>
      <c r="H66" s="21" t="s">
        <v>719</v>
      </c>
      <c r="I66" s="21" t="s">
        <v>720</v>
      </c>
      <c r="J66" s="21" t="s">
        <v>721</v>
      </c>
      <c r="K66" s="21" t="s">
        <v>722</v>
      </c>
      <c r="L66" s="21" t="s">
        <v>56</v>
      </c>
      <c r="M66" s="21" t="s">
        <v>723</v>
      </c>
      <c r="N66" s="21" t="s">
        <v>718</v>
      </c>
      <c r="O66" s="21" t="s">
        <v>724</v>
      </c>
      <c r="P66" s="21" t="s">
        <v>59</v>
      </c>
      <c r="Q66" s="21" t="s">
        <v>60</v>
      </c>
      <c r="R66" s="23">
        <v>12258</v>
      </c>
      <c r="S66" s="21" t="s">
        <v>426</v>
      </c>
      <c r="T66" s="21" t="s">
        <v>951</v>
      </c>
      <c r="U66" s="21" t="s">
        <v>211</v>
      </c>
      <c r="V66" s="21" t="s">
        <v>725</v>
      </c>
      <c r="W66" s="21" t="s">
        <v>726</v>
      </c>
      <c r="X66" s="21">
        <v>1</v>
      </c>
    </row>
    <row r="67" spans="1:24" ht="15">
      <c r="A67" s="21" t="s">
        <v>3</v>
      </c>
      <c r="B67" s="33" t="s">
        <v>18</v>
      </c>
      <c r="C67" s="21" t="s">
        <v>718</v>
      </c>
      <c r="D67" s="21" t="s">
        <v>48</v>
      </c>
      <c r="E67" s="21" t="s">
        <v>49</v>
      </c>
      <c r="F67" s="21" t="s">
        <v>50</v>
      </c>
      <c r="G67" s="21" t="s">
        <v>418</v>
      </c>
      <c r="H67" s="21" t="s">
        <v>727</v>
      </c>
      <c r="I67" s="21" t="s">
        <v>728</v>
      </c>
      <c r="J67" s="21" t="s">
        <v>729</v>
      </c>
      <c r="K67" s="21" t="s">
        <v>730</v>
      </c>
      <c r="L67" s="21" t="s">
        <v>119</v>
      </c>
      <c r="M67" s="21" t="s">
        <v>731</v>
      </c>
      <c r="N67" s="21" t="s">
        <v>718</v>
      </c>
      <c r="O67" s="21" t="s">
        <v>732</v>
      </c>
      <c r="P67" s="21" t="s">
        <v>59</v>
      </c>
      <c r="Q67" s="21" t="s">
        <v>60</v>
      </c>
      <c r="R67" s="23">
        <v>67110</v>
      </c>
      <c r="S67" s="21" t="s">
        <v>426</v>
      </c>
      <c r="T67" s="21" t="s">
        <v>951</v>
      </c>
      <c r="U67" s="21" t="s">
        <v>211</v>
      </c>
      <c r="V67" s="21" t="s">
        <v>733</v>
      </c>
      <c r="W67" s="21" t="s">
        <v>734</v>
      </c>
      <c r="X67" s="21">
        <v>1</v>
      </c>
    </row>
    <row r="68" spans="1:24" ht="15">
      <c r="A68" s="21" t="s">
        <v>3</v>
      </c>
      <c r="B68" s="34" t="s">
        <v>19</v>
      </c>
      <c r="C68" s="21" t="s">
        <v>735</v>
      </c>
      <c r="D68" s="21" t="s">
        <v>48</v>
      </c>
      <c r="E68" s="21" t="s">
        <v>68</v>
      </c>
      <c r="F68" s="21" t="s">
        <v>348</v>
      </c>
      <c r="G68" s="21"/>
      <c r="H68" s="21" t="s">
        <v>736</v>
      </c>
      <c r="I68" s="21" t="s">
        <v>737</v>
      </c>
      <c r="J68" s="21" t="s">
        <v>738</v>
      </c>
      <c r="K68" s="21" t="s">
        <v>739</v>
      </c>
      <c r="L68" s="21" t="s">
        <v>74</v>
      </c>
      <c r="M68" s="21" t="s">
        <v>740</v>
      </c>
      <c r="N68" s="21" t="s">
        <v>741</v>
      </c>
      <c r="O68" s="21" t="s">
        <v>742</v>
      </c>
      <c r="P68" s="21" t="s">
        <v>59</v>
      </c>
      <c r="Q68" s="21" t="s">
        <v>60</v>
      </c>
      <c r="R68" s="23">
        <v>372619</v>
      </c>
      <c r="S68" s="21" t="s">
        <v>357</v>
      </c>
      <c r="T68" s="21" t="s">
        <v>950</v>
      </c>
      <c r="U68" s="21" t="s">
        <v>140</v>
      </c>
      <c r="V68" s="21" t="s">
        <v>743</v>
      </c>
      <c r="W68" s="21" t="s">
        <v>744</v>
      </c>
      <c r="X68" s="21">
        <v>2</v>
      </c>
    </row>
    <row r="69" spans="1:24" ht="15">
      <c r="A69" s="21" t="s">
        <v>3</v>
      </c>
      <c r="B69" s="34" t="s">
        <v>19</v>
      </c>
      <c r="C69" s="21" t="s">
        <v>745</v>
      </c>
      <c r="D69" s="21" t="s">
        <v>48</v>
      </c>
      <c r="E69" s="21" t="s">
        <v>68</v>
      </c>
      <c r="F69" s="21" t="s">
        <v>348</v>
      </c>
      <c r="G69" s="21"/>
      <c r="H69" s="21" t="s">
        <v>746</v>
      </c>
      <c r="I69" s="21" t="s">
        <v>747</v>
      </c>
      <c r="J69" s="21" t="s">
        <v>748</v>
      </c>
      <c r="K69" s="21" t="s">
        <v>749</v>
      </c>
      <c r="L69" s="21" t="s">
        <v>119</v>
      </c>
      <c r="M69" s="21" t="s">
        <v>750</v>
      </c>
      <c r="N69" s="21" t="s">
        <v>745</v>
      </c>
      <c r="O69" s="21" t="s">
        <v>77</v>
      </c>
      <c r="P69" s="21" t="s">
        <v>751</v>
      </c>
      <c r="Q69" s="21" t="s">
        <v>106</v>
      </c>
      <c r="R69" s="23">
        <v>103228</v>
      </c>
      <c r="S69" s="21" t="s">
        <v>357</v>
      </c>
      <c r="T69" s="21" t="s">
        <v>950</v>
      </c>
      <c r="U69" s="21" t="s">
        <v>140</v>
      </c>
      <c r="V69" s="21" t="s">
        <v>752</v>
      </c>
      <c r="W69" s="21" t="s">
        <v>753</v>
      </c>
      <c r="X69" s="21">
        <v>1</v>
      </c>
    </row>
    <row r="70" spans="1:24" ht="15">
      <c r="A70" s="21" t="s">
        <v>3</v>
      </c>
      <c r="B70" s="35" t="s">
        <v>21</v>
      </c>
      <c r="C70" s="21" t="s">
        <v>754</v>
      </c>
      <c r="D70" s="21" t="s">
        <v>48</v>
      </c>
      <c r="E70" s="21" t="s">
        <v>128</v>
      </c>
      <c r="F70" s="21" t="s">
        <v>755</v>
      </c>
      <c r="G70" s="21" t="s">
        <v>311</v>
      </c>
      <c r="H70" s="21" t="s">
        <v>756</v>
      </c>
      <c r="I70" s="21" t="s">
        <v>757</v>
      </c>
      <c r="J70" s="21" t="s">
        <v>758</v>
      </c>
      <c r="K70" s="21" t="s">
        <v>759</v>
      </c>
      <c r="L70" s="21" t="s">
        <v>56</v>
      </c>
      <c r="M70" s="21" t="s">
        <v>760</v>
      </c>
      <c r="N70" s="21" t="s">
        <v>761</v>
      </c>
      <c r="O70" s="21" t="s">
        <v>77</v>
      </c>
      <c r="P70" s="21" t="s">
        <v>762</v>
      </c>
      <c r="Q70" s="21" t="s">
        <v>425</v>
      </c>
      <c r="R70" s="23">
        <v>806646</v>
      </c>
      <c r="S70" s="21" t="s">
        <v>763</v>
      </c>
      <c r="T70" s="21" t="s">
        <v>950</v>
      </c>
      <c r="U70" s="21" t="s">
        <v>358</v>
      </c>
      <c r="V70" s="21" t="s">
        <v>764</v>
      </c>
      <c r="W70" s="21" t="s">
        <v>765</v>
      </c>
      <c r="X70" s="21">
        <v>3</v>
      </c>
    </row>
    <row r="71" spans="1:24" ht="15">
      <c r="A71" s="21" t="s">
        <v>3</v>
      </c>
      <c r="B71" s="35" t="s">
        <v>21</v>
      </c>
      <c r="C71" s="21" t="s">
        <v>766</v>
      </c>
      <c r="D71" s="21" t="s">
        <v>48</v>
      </c>
      <c r="E71" s="21" t="s">
        <v>128</v>
      </c>
      <c r="F71" s="21" t="s">
        <v>767</v>
      </c>
      <c r="G71" s="21" t="s">
        <v>311</v>
      </c>
      <c r="H71" s="21" t="s">
        <v>768</v>
      </c>
      <c r="I71" s="21" t="s">
        <v>769</v>
      </c>
      <c r="J71" s="21" t="s">
        <v>770</v>
      </c>
      <c r="K71" s="21" t="s">
        <v>771</v>
      </c>
      <c r="L71" s="21" t="s">
        <v>119</v>
      </c>
      <c r="M71" s="21" t="s">
        <v>772</v>
      </c>
      <c r="N71" s="21" t="s">
        <v>773</v>
      </c>
      <c r="O71" s="21" t="s">
        <v>77</v>
      </c>
      <c r="P71" s="21" t="s">
        <v>245</v>
      </c>
      <c r="Q71" s="21" t="s">
        <v>60</v>
      </c>
      <c r="R71" s="23">
        <v>209126</v>
      </c>
      <c r="S71" s="21" t="s">
        <v>774</v>
      </c>
      <c r="T71" s="21" t="s">
        <v>950</v>
      </c>
      <c r="U71" s="21" t="s">
        <v>358</v>
      </c>
      <c r="V71" s="21" t="s">
        <v>775</v>
      </c>
      <c r="W71" s="21" t="s">
        <v>776</v>
      </c>
      <c r="X71" s="21">
        <v>1</v>
      </c>
    </row>
    <row r="72" spans="1:24" ht="15">
      <c r="A72" s="21" t="s">
        <v>3</v>
      </c>
      <c r="B72" s="35" t="s">
        <v>21</v>
      </c>
      <c r="C72" s="21" t="s">
        <v>745</v>
      </c>
      <c r="D72" s="21" t="s">
        <v>48</v>
      </c>
      <c r="E72" s="21" t="s">
        <v>143</v>
      </c>
      <c r="F72" s="21" t="s">
        <v>156</v>
      </c>
      <c r="G72" s="21" t="s">
        <v>777</v>
      </c>
      <c r="H72" s="21" t="s">
        <v>778</v>
      </c>
      <c r="I72" s="21" t="s">
        <v>779</v>
      </c>
      <c r="J72" s="21" t="s">
        <v>780</v>
      </c>
      <c r="K72" s="21" t="s">
        <v>781</v>
      </c>
      <c r="L72" s="21" t="s">
        <v>119</v>
      </c>
      <c r="M72" s="21" t="s">
        <v>782</v>
      </c>
      <c r="N72" s="21" t="s">
        <v>783</v>
      </c>
      <c r="O72" s="21" t="s">
        <v>77</v>
      </c>
      <c r="P72" s="21" t="s">
        <v>751</v>
      </c>
      <c r="Q72" s="21" t="s">
        <v>106</v>
      </c>
      <c r="R72" s="23">
        <v>908046</v>
      </c>
      <c r="S72" s="21" t="s">
        <v>784</v>
      </c>
      <c r="T72" s="21" t="s">
        <v>949</v>
      </c>
      <c r="U72" s="21" t="s">
        <v>211</v>
      </c>
      <c r="V72" s="21" t="s">
        <v>785</v>
      </c>
      <c r="W72" s="21" t="s">
        <v>786</v>
      </c>
      <c r="X72" s="21">
        <v>2</v>
      </c>
    </row>
  </sheetData>
  <autoFilter ref="A1:X72" xr:uid="{00000000-0009-0000-0000-000002000000}"/>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7"/>
  <sheetViews>
    <sheetView workbookViewId="0">
      <pane xSplit="3" ySplit="1" topLeftCell="D2" activePane="bottomRight" state="frozen"/>
      <selection pane="topRight"/>
      <selection pane="bottomLeft"/>
      <selection pane="bottomRight"/>
    </sheetView>
  </sheetViews>
  <sheetFormatPr defaultRowHeight="14.4"/>
  <cols>
    <col min="1" max="1" width="15" customWidth="1"/>
    <col min="2" max="2" width="16" customWidth="1"/>
    <col min="3" max="3" width="22" customWidth="1"/>
    <col min="4" max="4" width="13" customWidth="1"/>
    <col min="5" max="5" width="10" customWidth="1"/>
    <col min="6" max="6" width="40" customWidth="1"/>
    <col min="7" max="7" width="14" customWidth="1"/>
    <col min="8" max="8" width="16" customWidth="1"/>
    <col min="9" max="9" width="24" customWidth="1"/>
    <col min="10" max="10" width="40" customWidth="1"/>
    <col min="11" max="11" width="30" customWidth="1"/>
    <col min="12" max="12" width="7" customWidth="1"/>
    <col min="13" max="13" width="22" customWidth="1"/>
    <col min="14" max="14" width="40" customWidth="1"/>
    <col min="15" max="15" width="30" customWidth="1"/>
    <col min="16" max="16" width="24" customWidth="1"/>
    <col min="17" max="17" width="9" customWidth="1"/>
    <col min="18" max="18" width="12" customWidth="1"/>
    <col min="19" max="19" width="34" customWidth="1"/>
    <col min="20" max="20" width="24" customWidth="1"/>
    <col min="21" max="23" width="22" customWidth="1"/>
    <col min="24" max="24" width="8" customWidth="1"/>
  </cols>
  <sheetData>
    <row r="1" spans="1:24" ht="31.2">
      <c r="A1" s="1" t="s">
        <v>23</v>
      </c>
      <c r="B1" s="1" t="s">
        <v>2</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row>
    <row r="2" spans="1:24" ht="15">
      <c r="A2" s="21" t="s">
        <v>4</v>
      </c>
      <c r="B2" s="22" t="s">
        <v>8</v>
      </c>
      <c r="C2" s="21" t="s">
        <v>82</v>
      </c>
      <c r="D2" s="21" t="s">
        <v>787</v>
      </c>
      <c r="E2" s="21" t="s">
        <v>83</v>
      </c>
      <c r="F2" s="21" t="s">
        <v>84</v>
      </c>
      <c r="G2" s="21" t="s">
        <v>51</v>
      </c>
      <c r="H2" s="21" t="s">
        <v>788</v>
      </c>
      <c r="I2" s="21" t="s">
        <v>789</v>
      </c>
      <c r="J2" s="21" t="s">
        <v>790</v>
      </c>
      <c r="K2" s="21" t="s">
        <v>791</v>
      </c>
      <c r="L2" s="21" t="s">
        <v>56</v>
      </c>
      <c r="M2" s="21" t="s">
        <v>792</v>
      </c>
      <c r="N2" s="21" t="s">
        <v>82</v>
      </c>
      <c r="O2" s="21" t="s">
        <v>793</v>
      </c>
      <c r="P2" s="21" t="s">
        <v>794</v>
      </c>
      <c r="Q2" s="21" t="s">
        <v>795</v>
      </c>
      <c r="R2" s="23">
        <v>191798</v>
      </c>
      <c r="S2" s="21" t="s">
        <v>796</v>
      </c>
      <c r="T2" s="21" t="s">
        <v>949</v>
      </c>
      <c r="U2" s="21" t="s">
        <v>92</v>
      </c>
      <c r="V2" s="21" t="s">
        <v>797</v>
      </c>
      <c r="W2" s="21" t="s">
        <v>798</v>
      </c>
      <c r="X2" s="21">
        <v>6</v>
      </c>
    </row>
    <row r="3" spans="1:24" ht="15">
      <c r="A3" s="21" t="s">
        <v>4</v>
      </c>
      <c r="B3" s="22" t="s">
        <v>8</v>
      </c>
      <c r="C3" s="21" t="s">
        <v>799</v>
      </c>
      <c r="D3" s="21" t="s">
        <v>787</v>
      </c>
      <c r="E3" s="21" t="s">
        <v>83</v>
      </c>
      <c r="F3" s="21" t="s">
        <v>800</v>
      </c>
      <c r="G3" s="21"/>
      <c r="H3" s="21" t="s">
        <v>801</v>
      </c>
      <c r="I3" s="21" t="s">
        <v>802</v>
      </c>
      <c r="J3" s="21" t="s">
        <v>803</v>
      </c>
      <c r="K3" s="21" t="s">
        <v>804</v>
      </c>
      <c r="L3" s="21" t="s">
        <v>149</v>
      </c>
      <c r="M3" s="21" t="s">
        <v>805</v>
      </c>
      <c r="N3" s="21" t="s">
        <v>799</v>
      </c>
      <c r="O3" s="21" t="s">
        <v>806</v>
      </c>
      <c r="P3" s="21" t="s">
        <v>807</v>
      </c>
      <c r="Q3" s="21" t="s">
        <v>801</v>
      </c>
      <c r="R3" s="23" t="s">
        <v>808</v>
      </c>
      <c r="S3" s="21" t="s">
        <v>809</v>
      </c>
      <c r="T3" s="21" t="s">
        <v>954</v>
      </c>
      <c r="U3" s="21" t="s">
        <v>92</v>
      </c>
      <c r="V3" s="21" t="s">
        <v>801</v>
      </c>
      <c r="W3" s="21" t="s">
        <v>810</v>
      </c>
      <c r="X3" s="21">
        <v>1</v>
      </c>
    </row>
    <row r="4" spans="1:24" ht="15">
      <c r="A4" s="21" t="s">
        <v>4</v>
      </c>
      <c r="B4" s="22" t="s">
        <v>8</v>
      </c>
      <c r="C4" s="21" t="s">
        <v>811</v>
      </c>
      <c r="D4" s="21" t="s">
        <v>787</v>
      </c>
      <c r="E4" s="21" t="s">
        <v>68</v>
      </c>
      <c r="F4" s="21" t="s">
        <v>800</v>
      </c>
      <c r="G4" s="21"/>
      <c r="H4" s="21" t="s">
        <v>801</v>
      </c>
      <c r="I4" s="21" t="s">
        <v>812</v>
      </c>
      <c r="J4" s="21" t="s">
        <v>813</v>
      </c>
      <c r="K4" s="21" t="s">
        <v>814</v>
      </c>
      <c r="L4" s="21" t="s">
        <v>119</v>
      </c>
      <c r="M4" s="21" t="s">
        <v>815</v>
      </c>
      <c r="N4" s="21" t="s">
        <v>816</v>
      </c>
      <c r="O4" s="21" t="s">
        <v>817</v>
      </c>
      <c r="P4" s="21" t="s">
        <v>818</v>
      </c>
      <c r="Q4" s="21" t="s">
        <v>801</v>
      </c>
      <c r="R4" s="23" t="s">
        <v>819</v>
      </c>
      <c r="S4" s="21" t="s">
        <v>820</v>
      </c>
      <c r="T4" s="21" t="s">
        <v>955</v>
      </c>
      <c r="U4" s="21" t="s">
        <v>821</v>
      </c>
      <c r="V4" s="21" t="s">
        <v>801</v>
      </c>
      <c r="W4" s="21" t="s">
        <v>822</v>
      </c>
      <c r="X4" s="21">
        <v>1</v>
      </c>
    </row>
    <row r="5" spans="1:24" ht="15">
      <c r="A5" s="21" t="s">
        <v>4</v>
      </c>
      <c r="B5" s="24" t="s">
        <v>9</v>
      </c>
      <c r="C5" s="21" t="s">
        <v>339</v>
      </c>
      <c r="D5" s="21" t="s">
        <v>787</v>
      </c>
      <c r="E5" s="21" t="s">
        <v>823</v>
      </c>
      <c r="F5" s="21" t="s">
        <v>800</v>
      </c>
      <c r="G5" s="21"/>
      <c r="H5" s="21" t="s">
        <v>801</v>
      </c>
      <c r="I5" s="21" t="s">
        <v>824</v>
      </c>
      <c r="J5" s="21" t="s">
        <v>825</v>
      </c>
      <c r="K5" s="21" t="s">
        <v>826</v>
      </c>
      <c r="L5" s="21" t="s">
        <v>471</v>
      </c>
      <c r="M5" s="21" t="s">
        <v>827</v>
      </c>
      <c r="N5" s="21" t="s">
        <v>828</v>
      </c>
      <c r="O5" s="21" t="s">
        <v>829</v>
      </c>
      <c r="P5" s="21" t="s">
        <v>807</v>
      </c>
      <c r="Q5" s="21" t="s">
        <v>801</v>
      </c>
      <c r="R5" s="23" t="s">
        <v>830</v>
      </c>
      <c r="S5" s="21" t="s">
        <v>831</v>
      </c>
      <c r="T5" s="21" t="s">
        <v>956</v>
      </c>
      <c r="U5" s="21" t="s">
        <v>153</v>
      </c>
      <c r="V5" s="21" t="s">
        <v>801</v>
      </c>
      <c r="W5" s="21" t="s">
        <v>832</v>
      </c>
      <c r="X5" s="21">
        <v>1</v>
      </c>
    </row>
    <row r="6" spans="1:24" ht="15">
      <c r="A6" s="21" t="s">
        <v>4</v>
      </c>
      <c r="B6" s="24" t="s">
        <v>9</v>
      </c>
      <c r="C6" s="21" t="s">
        <v>339</v>
      </c>
      <c r="D6" s="21" t="s">
        <v>787</v>
      </c>
      <c r="E6" s="21" t="s">
        <v>823</v>
      </c>
      <c r="F6" s="21" t="s">
        <v>800</v>
      </c>
      <c r="G6" s="21"/>
      <c r="H6" s="21" t="s">
        <v>801</v>
      </c>
      <c r="I6" s="21" t="s">
        <v>833</v>
      </c>
      <c r="J6" s="21" t="s">
        <v>834</v>
      </c>
      <c r="K6" s="21" t="s">
        <v>835</v>
      </c>
      <c r="L6" s="21" t="s">
        <v>471</v>
      </c>
      <c r="M6" s="21" t="s">
        <v>75</v>
      </c>
      <c r="N6" s="21" t="s">
        <v>828</v>
      </c>
      <c r="O6" s="21" t="s">
        <v>836</v>
      </c>
      <c r="P6" s="21" t="s">
        <v>807</v>
      </c>
      <c r="Q6" s="21" t="s">
        <v>801</v>
      </c>
      <c r="R6" s="23" t="s">
        <v>75</v>
      </c>
      <c r="S6" s="21" t="s">
        <v>837</v>
      </c>
      <c r="T6" s="21" t="s">
        <v>956</v>
      </c>
      <c r="U6" s="21" t="s">
        <v>153</v>
      </c>
      <c r="V6" s="21" t="s">
        <v>801</v>
      </c>
      <c r="W6" s="21" t="s">
        <v>838</v>
      </c>
      <c r="X6" s="21">
        <v>1</v>
      </c>
    </row>
    <row r="7" spans="1:24" ht="15">
      <c r="A7" s="21" t="s">
        <v>4</v>
      </c>
      <c r="B7" s="24" t="s">
        <v>9</v>
      </c>
      <c r="C7" s="21" t="s">
        <v>339</v>
      </c>
      <c r="D7" s="21" t="s">
        <v>787</v>
      </c>
      <c r="E7" s="21" t="s">
        <v>68</v>
      </c>
      <c r="F7" s="21" t="s">
        <v>800</v>
      </c>
      <c r="G7" s="21"/>
      <c r="H7" s="21" t="s">
        <v>801</v>
      </c>
      <c r="I7" s="21" t="s">
        <v>839</v>
      </c>
      <c r="J7" s="21" t="s">
        <v>840</v>
      </c>
      <c r="K7" s="21" t="s">
        <v>841</v>
      </c>
      <c r="L7" s="21" t="s">
        <v>149</v>
      </c>
      <c r="M7" s="21" t="s">
        <v>75</v>
      </c>
      <c r="N7" s="21" t="s">
        <v>842</v>
      </c>
      <c r="O7" s="21" t="s">
        <v>843</v>
      </c>
      <c r="P7" s="21" t="s">
        <v>844</v>
      </c>
      <c r="Q7" s="21" t="s">
        <v>801</v>
      </c>
      <c r="R7" s="23" t="s">
        <v>75</v>
      </c>
      <c r="S7" s="21" t="s">
        <v>845</v>
      </c>
      <c r="T7" s="21" t="s">
        <v>957</v>
      </c>
      <c r="U7" s="21" t="s">
        <v>153</v>
      </c>
      <c r="V7" s="21" t="s">
        <v>801</v>
      </c>
      <c r="W7" s="21" t="s">
        <v>838</v>
      </c>
      <c r="X7" s="21">
        <v>1</v>
      </c>
    </row>
    <row r="8" spans="1:24" ht="15">
      <c r="A8" s="21" t="s">
        <v>4</v>
      </c>
      <c r="B8" s="24" t="s">
        <v>9</v>
      </c>
      <c r="C8" s="21" t="s">
        <v>339</v>
      </c>
      <c r="D8" s="21" t="s">
        <v>787</v>
      </c>
      <c r="E8" s="21" t="s">
        <v>143</v>
      </c>
      <c r="F8" s="21" t="s">
        <v>301</v>
      </c>
      <c r="G8" s="21"/>
      <c r="H8" s="21" t="s">
        <v>846</v>
      </c>
      <c r="I8" s="21" t="s">
        <v>847</v>
      </c>
      <c r="J8" s="21" t="s">
        <v>848</v>
      </c>
      <c r="K8" s="21" t="s">
        <v>849</v>
      </c>
      <c r="L8" s="21" t="s">
        <v>56</v>
      </c>
      <c r="M8" s="21" t="s">
        <v>850</v>
      </c>
      <c r="N8" s="21" t="s">
        <v>339</v>
      </c>
      <c r="O8" s="21" t="s">
        <v>77</v>
      </c>
      <c r="P8" s="21" t="s">
        <v>59</v>
      </c>
      <c r="Q8" s="21" t="s">
        <v>106</v>
      </c>
      <c r="R8" s="23">
        <v>19847</v>
      </c>
      <c r="S8" s="21" t="s">
        <v>851</v>
      </c>
      <c r="T8" s="21" t="s">
        <v>952</v>
      </c>
      <c r="U8" s="21" t="s">
        <v>153</v>
      </c>
      <c r="V8" s="21" t="s">
        <v>852</v>
      </c>
      <c r="W8" s="21" t="s">
        <v>853</v>
      </c>
      <c r="X8" s="21">
        <v>2</v>
      </c>
    </row>
    <row r="9" spans="1:24" ht="15">
      <c r="A9" s="21" t="s">
        <v>4</v>
      </c>
      <c r="B9" s="25" t="s">
        <v>10</v>
      </c>
      <c r="C9" s="21" t="s">
        <v>854</v>
      </c>
      <c r="D9" s="21" t="s">
        <v>787</v>
      </c>
      <c r="E9" s="21" t="s">
        <v>68</v>
      </c>
      <c r="F9" s="21" t="s">
        <v>348</v>
      </c>
      <c r="G9" s="21"/>
      <c r="H9" s="21" t="s">
        <v>855</v>
      </c>
      <c r="I9" s="21" t="s">
        <v>856</v>
      </c>
      <c r="J9" s="21" t="s">
        <v>857</v>
      </c>
      <c r="K9" s="21" t="s">
        <v>858</v>
      </c>
      <c r="L9" s="21" t="s">
        <v>56</v>
      </c>
      <c r="M9" s="21" t="s">
        <v>859</v>
      </c>
      <c r="N9" s="21" t="s">
        <v>854</v>
      </c>
      <c r="O9" s="21" t="s">
        <v>860</v>
      </c>
      <c r="P9" s="21" t="s">
        <v>59</v>
      </c>
      <c r="Q9" s="21" t="s">
        <v>106</v>
      </c>
      <c r="R9" s="23">
        <v>9816</v>
      </c>
      <c r="S9" s="21" t="s">
        <v>357</v>
      </c>
      <c r="T9" s="21" t="s">
        <v>950</v>
      </c>
      <c r="U9" s="21" t="s">
        <v>358</v>
      </c>
      <c r="V9" s="21" t="s">
        <v>861</v>
      </c>
      <c r="W9" s="21" t="s">
        <v>862</v>
      </c>
      <c r="X9" s="21">
        <v>2</v>
      </c>
    </row>
    <row r="10" spans="1:24" ht="15">
      <c r="A10" s="21" t="s">
        <v>4</v>
      </c>
      <c r="B10" s="26" t="s">
        <v>11</v>
      </c>
      <c r="C10" s="21" t="s">
        <v>437</v>
      </c>
      <c r="D10" s="21" t="s">
        <v>787</v>
      </c>
      <c r="E10" s="21" t="s">
        <v>68</v>
      </c>
      <c r="F10" s="21" t="s">
        <v>348</v>
      </c>
      <c r="G10" s="21" t="s">
        <v>418</v>
      </c>
      <c r="H10" s="21" t="s">
        <v>863</v>
      </c>
      <c r="I10" s="21" t="s">
        <v>864</v>
      </c>
      <c r="J10" s="21" t="s">
        <v>865</v>
      </c>
      <c r="K10" s="21" t="s">
        <v>866</v>
      </c>
      <c r="L10" s="21" t="s">
        <v>56</v>
      </c>
      <c r="M10" s="21" t="s">
        <v>867</v>
      </c>
      <c r="N10" s="21" t="s">
        <v>437</v>
      </c>
      <c r="O10" s="21" t="s">
        <v>77</v>
      </c>
      <c r="P10" s="21" t="s">
        <v>868</v>
      </c>
      <c r="Q10" s="21" t="s">
        <v>106</v>
      </c>
      <c r="R10" s="23">
        <v>49769</v>
      </c>
      <c r="S10" s="21" t="s">
        <v>462</v>
      </c>
      <c r="T10" s="21" t="s">
        <v>950</v>
      </c>
      <c r="U10" s="21" t="s">
        <v>358</v>
      </c>
      <c r="V10" s="21" t="s">
        <v>869</v>
      </c>
      <c r="W10" s="21" t="s">
        <v>870</v>
      </c>
      <c r="X10" s="21">
        <v>1</v>
      </c>
    </row>
    <row r="11" spans="1:24" ht="15">
      <c r="A11" s="21" t="s">
        <v>4</v>
      </c>
      <c r="B11" s="28" t="s">
        <v>13</v>
      </c>
      <c r="C11" s="21" t="s">
        <v>634</v>
      </c>
      <c r="D11" s="21" t="s">
        <v>787</v>
      </c>
      <c r="E11" s="21" t="s">
        <v>68</v>
      </c>
      <c r="F11" s="21" t="s">
        <v>348</v>
      </c>
      <c r="G11" s="21"/>
      <c r="H11" s="21" t="s">
        <v>871</v>
      </c>
      <c r="I11" s="21" t="s">
        <v>872</v>
      </c>
      <c r="J11" s="21" t="s">
        <v>873</v>
      </c>
      <c r="K11" s="21" t="s">
        <v>874</v>
      </c>
      <c r="L11" s="21" t="s">
        <v>74</v>
      </c>
      <c r="M11" s="21" t="s">
        <v>875</v>
      </c>
      <c r="N11" s="21" t="s">
        <v>634</v>
      </c>
      <c r="O11" s="21" t="s">
        <v>876</v>
      </c>
      <c r="P11" s="21" t="s">
        <v>877</v>
      </c>
      <c r="Q11" s="21" t="s">
        <v>60</v>
      </c>
      <c r="R11" s="23">
        <v>315764</v>
      </c>
      <c r="S11" s="21" t="s">
        <v>357</v>
      </c>
      <c r="T11" s="21" t="s">
        <v>950</v>
      </c>
      <c r="U11" s="21" t="s">
        <v>878</v>
      </c>
      <c r="V11" s="21" t="s">
        <v>879</v>
      </c>
      <c r="W11" s="21" t="s">
        <v>880</v>
      </c>
      <c r="X11" s="21">
        <v>1</v>
      </c>
    </row>
    <row r="12" spans="1:24" ht="15">
      <c r="A12" s="21" t="s">
        <v>4</v>
      </c>
      <c r="B12" s="29" t="s">
        <v>14</v>
      </c>
      <c r="C12" s="21" t="s">
        <v>881</v>
      </c>
      <c r="D12" s="21" t="s">
        <v>787</v>
      </c>
      <c r="E12" s="21" t="s">
        <v>68</v>
      </c>
      <c r="F12" s="21" t="s">
        <v>348</v>
      </c>
      <c r="G12" s="21"/>
      <c r="H12" s="21" t="s">
        <v>882</v>
      </c>
      <c r="I12" s="21" t="s">
        <v>883</v>
      </c>
      <c r="J12" s="21" t="s">
        <v>884</v>
      </c>
      <c r="K12" s="21" t="s">
        <v>885</v>
      </c>
      <c r="L12" s="21" t="s">
        <v>74</v>
      </c>
      <c r="M12" s="21" t="s">
        <v>886</v>
      </c>
      <c r="N12" s="21" t="s">
        <v>881</v>
      </c>
      <c r="O12" s="21" t="s">
        <v>887</v>
      </c>
      <c r="P12" s="21" t="s">
        <v>90</v>
      </c>
      <c r="Q12" s="21" t="s">
        <v>106</v>
      </c>
      <c r="R12" s="23">
        <v>197896</v>
      </c>
      <c r="S12" s="21" t="s">
        <v>357</v>
      </c>
      <c r="T12" s="21" t="s">
        <v>950</v>
      </c>
      <c r="U12" s="21" t="s">
        <v>358</v>
      </c>
      <c r="V12" s="21" t="s">
        <v>888</v>
      </c>
      <c r="W12" s="21" t="s">
        <v>889</v>
      </c>
      <c r="X12" s="21">
        <v>1</v>
      </c>
    </row>
    <row r="13" spans="1:24" ht="15">
      <c r="A13" s="21" t="s">
        <v>4</v>
      </c>
      <c r="B13" s="30" t="s">
        <v>15</v>
      </c>
      <c r="C13" s="21" t="s">
        <v>678</v>
      </c>
      <c r="D13" s="21" t="s">
        <v>787</v>
      </c>
      <c r="E13" s="21" t="s">
        <v>68</v>
      </c>
      <c r="F13" s="21" t="s">
        <v>348</v>
      </c>
      <c r="G13" s="21"/>
      <c r="H13" s="21" t="s">
        <v>890</v>
      </c>
      <c r="I13" s="21" t="s">
        <v>891</v>
      </c>
      <c r="J13" s="21" t="s">
        <v>892</v>
      </c>
      <c r="K13" s="21" t="s">
        <v>893</v>
      </c>
      <c r="L13" s="21" t="s">
        <v>149</v>
      </c>
      <c r="M13" s="21" t="s">
        <v>894</v>
      </c>
      <c r="N13" s="21" t="s">
        <v>895</v>
      </c>
      <c r="O13" s="21" t="s">
        <v>896</v>
      </c>
      <c r="P13" s="21" t="s">
        <v>90</v>
      </c>
      <c r="Q13" s="21" t="s">
        <v>106</v>
      </c>
      <c r="R13" s="23">
        <v>301796</v>
      </c>
      <c r="S13" s="21" t="s">
        <v>357</v>
      </c>
      <c r="T13" s="21" t="s">
        <v>950</v>
      </c>
      <c r="U13" s="21" t="s">
        <v>358</v>
      </c>
      <c r="V13" s="21" t="s">
        <v>897</v>
      </c>
      <c r="W13" s="21" t="s">
        <v>898</v>
      </c>
      <c r="X13" s="21">
        <v>1</v>
      </c>
    </row>
    <row r="14" spans="1:24" ht="15">
      <c r="A14" s="21" t="s">
        <v>4</v>
      </c>
      <c r="B14" s="31" t="s">
        <v>16</v>
      </c>
      <c r="C14" s="21" t="s">
        <v>899</v>
      </c>
      <c r="D14" s="21" t="s">
        <v>787</v>
      </c>
      <c r="E14" s="21" t="s">
        <v>698</v>
      </c>
      <c r="F14" s="21" t="s">
        <v>900</v>
      </c>
      <c r="G14" s="21"/>
      <c r="H14" s="21" t="s">
        <v>901</v>
      </c>
      <c r="I14" s="21" t="s">
        <v>902</v>
      </c>
      <c r="J14" s="21" t="s">
        <v>903</v>
      </c>
      <c r="K14" s="21" t="s">
        <v>904</v>
      </c>
      <c r="L14" s="21" t="s">
        <v>74</v>
      </c>
      <c r="M14" s="21" t="s">
        <v>905</v>
      </c>
      <c r="N14" s="21" t="s">
        <v>906</v>
      </c>
      <c r="O14" s="21" t="s">
        <v>907</v>
      </c>
      <c r="P14" s="21" t="s">
        <v>59</v>
      </c>
      <c r="Q14" s="21" t="s">
        <v>60</v>
      </c>
      <c r="R14" s="23">
        <v>102688</v>
      </c>
      <c r="S14" s="21" t="s">
        <v>908</v>
      </c>
      <c r="T14" s="21" t="s">
        <v>950</v>
      </c>
      <c r="U14" s="21" t="s">
        <v>79</v>
      </c>
      <c r="V14" s="21" t="s">
        <v>909</v>
      </c>
      <c r="W14" s="21" t="s">
        <v>910</v>
      </c>
      <c r="X14" s="21">
        <v>3</v>
      </c>
    </row>
    <row r="15" spans="1:24" ht="15">
      <c r="A15" s="21" t="s">
        <v>4</v>
      </c>
      <c r="B15" s="36" t="s">
        <v>20</v>
      </c>
      <c r="C15" s="21" t="s">
        <v>911</v>
      </c>
      <c r="D15" s="21" t="s">
        <v>787</v>
      </c>
      <c r="E15" s="21" t="s">
        <v>96</v>
      </c>
      <c r="F15" s="21" t="s">
        <v>912</v>
      </c>
      <c r="G15" s="21" t="s">
        <v>418</v>
      </c>
      <c r="H15" s="21" t="s">
        <v>913</v>
      </c>
      <c r="I15" s="21" t="s">
        <v>914</v>
      </c>
      <c r="J15" s="21" t="s">
        <v>915</v>
      </c>
      <c r="K15" s="21" t="s">
        <v>801</v>
      </c>
      <c r="L15" s="21" t="s">
        <v>801</v>
      </c>
      <c r="M15" s="21" t="s">
        <v>916</v>
      </c>
      <c r="N15" s="21" t="s">
        <v>911</v>
      </c>
      <c r="O15" s="21" t="s">
        <v>77</v>
      </c>
      <c r="P15" s="21" t="s">
        <v>917</v>
      </c>
      <c r="Q15" s="21" t="s">
        <v>60</v>
      </c>
      <c r="R15" s="23">
        <v>11441407</v>
      </c>
      <c r="S15" s="21" t="s">
        <v>918</v>
      </c>
      <c r="T15" s="21" t="s">
        <v>801</v>
      </c>
      <c r="U15" s="21" t="s">
        <v>801</v>
      </c>
      <c r="V15" s="21" t="s">
        <v>919</v>
      </c>
      <c r="W15" s="21" t="s">
        <v>920</v>
      </c>
      <c r="X15" s="21">
        <v>11</v>
      </c>
    </row>
    <row r="16" spans="1:24" ht="15">
      <c r="A16" s="21" t="s">
        <v>4</v>
      </c>
      <c r="B16" s="35" t="s">
        <v>21</v>
      </c>
      <c r="C16" s="21" t="s">
        <v>921</v>
      </c>
      <c r="D16" s="21" t="s">
        <v>787</v>
      </c>
      <c r="E16" s="21" t="s">
        <v>96</v>
      </c>
      <c r="F16" s="21" t="s">
        <v>922</v>
      </c>
      <c r="G16" s="21"/>
      <c r="H16" s="21" t="s">
        <v>923</v>
      </c>
      <c r="I16" s="21" t="s">
        <v>924</v>
      </c>
      <c r="J16" s="21" t="s">
        <v>925</v>
      </c>
      <c r="K16" s="21" t="s">
        <v>925</v>
      </c>
      <c r="L16" s="21" t="s">
        <v>254</v>
      </c>
      <c r="M16" s="21" t="s">
        <v>926</v>
      </c>
      <c r="N16" s="21" t="s">
        <v>927</v>
      </c>
      <c r="O16" s="21" t="s">
        <v>77</v>
      </c>
      <c r="P16" s="21" t="s">
        <v>245</v>
      </c>
      <c r="Q16" s="21" t="s">
        <v>106</v>
      </c>
      <c r="R16" s="23">
        <v>245389</v>
      </c>
      <c r="S16" s="21" t="s">
        <v>928</v>
      </c>
      <c r="T16" s="21" t="s">
        <v>950</v>
      </c>
      <c r="U16" s="21" t="s">
        <v>358</v>
      </c>
      <c r="V16" s="21" t="s">
        <v>929</v>
      </c>
      <c r="W16" s="21" t="s">
        <v>930</v>
      </c>
      <c r="X16" s="21">
        <v>5</v>
      </c>
    </row>
    <row r="17" spans="1:24" ht="15">
      <c r="A17" s="21" t="s">
        <v>4</v>
      </c>
      <c r="B17" s="35" t="s">
        <v>21</v>
      </c>
      <c r="C17" s="21" t="s">
        <v>179</v>
      </c>
      <c r="D17" s="21" t="s">
        <v>787</v>
      </c>
      <c r="E17" s="21" t="s">
        <v>68</v>
      </c>
      <c r="F17" s="21" t="s">
        <v>348</v>
      </c>
      <c r="G17" s="21"/>
      <c r="H17" s="21" t="s">
        <v>931</v>
      </c>
      <c r="I17" s="21" t="s">
        <v>932</v>
      </c>
      <c r="J17" s="21" t="s">
        <v>933</v>
      </c>
      <c r="K17" s="21" t="s">
        <v>934</v>
      </c>
      <c r="L17" s="21" t="s">
        <v>56</v>
      </c>
      <c r="M17" s="21" t="s">
        <v>935</v>
      </c>
      <c r="N17" s="21" t="s">
        <v>936</v>
      </c>
      <c r="O17" s="21" t="s">
        <v>452</v>
      </c>
      <c r="P17" s="21" t="s">
        <v>59</v>
      </c>
      <c r="Q17" s="21" t="s">
        <v>106</v>
      </c>
      <c r="R17" s="23">
        <v>194315</v>
      </c>
      <c r="S17" s="21" t="s">
        <v>357</v>
      </c>
      <c r="T17" s="21" t="s">
        <v>950</v>
      </c>
      <c r="U17" s="21" t="s">
        <v>937</v>
      </c>
      <c r="V17" s="21" t="s">
        <v>938</v>
      </c>
      <c r="W17" s="21" t="s">
        <v>939</v>
      </c>
      <c r="X17" s="21">
        <v>1</v>
      </c>
    </row>
  </sheetData>
  <autoFilter ref="A1:X17" xr:uid="{00000000-0009-0000-0000-000003000000}"/>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xSplit="3" ySplit="1" topLeftCell="D2" activePane="bottomRight" state="frozen"/>
      <selection pane="topRight"/>
      <selection pane="bottomLeft"/>
      <selection pane="bottomRight"/>
    </sheetView>
  </sheetViews>
  <sheetFormatPr defaultRowHeight="14.4"/>
  <cols>
    <col min="1" max="1" width="15" customWidth="1"/>
    <col min="2" max="2" width="16" customWidth="1"/>
    <col min="3" max="3" width="22" customWidth="1"/>
    <col min="4" max="4" width="13" customWidth="1"/>
    <col min="5" max="5" width="10" customWidth="1"/>
    <col min="6" max="6" width="40" customWidth="1"/>
    <col min="7" max="7" width="14" customWidth="1"/>
    <col min="8" max="8" width="16" customWidth="1"/>
    <col min="9" max="9" width="24" customWidth="1"/>
    <col min="10" max="10" width="40" customWidth="1"/>
    <col min="11" max="11" width="30" customWidth="1"/>
    <col min="12" max="12" width="7" customWidth="1"/>
    <col min="13" max="13" width="22" customWidth="1"/>
    <col min="14" max="14" width="40" customWidth="1"/>
    <col min="15" max="15" width="30" customWidth="1"/>
    <col min="16" max="16" width="24" customWidth="1"/>
    <col min="17" max="17" width="9" customWidth="1"/>
    <col min="18" max="18" width="12" customWidth="1"/>
    <col min="19" max="19" width="34" customWidth="1"/>
    <col min="20" max="20" width="24" customWidth="1"/>
    <col min="21" max="23" width="22" customWidth="1"/>
    <col min="24" max="24" width="8" customWidth="1"/>
  </cols>
  <sheetData>
    <row r="1" spans="1:24" ht="31.2">
      <c r="A1" s="1" t="s">
        <v>23</v>
      </c>
      <c r="B1" s="1" t="s">
        <v>2</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row>
    <row r="2" spans="1:24" ht="15">
      <c r="A2" s="21" t="s">
        <v>5</v>
      </c>
      <c r="B2" s="24" t="s">
        <v>9</v>
      </c>
      <c r="C2" s="21" t="s">
        <v>237</v>
      </c>
      <c r="D2" s="21" t="s">
        <v>940</v>
      </c>
      <c r="E2" s="21" t="s">
        <v>823</v>
      </c>
      <c r="F2" s="21" t="s">
        <v>800</v>
      </c>
      <c r="G2" s="21"/>
      <c r="H2" s="21" t="s">
        <v>801</v>
      </c>
      <c r="I2" s="21" t="s">
        <v>941</v>
      </c>
      <c r="J2" s="21" t="s">
        <v>942</v>
      </c>
      <c r="K2" s="21" t="s">
        <v>943</v>
      </c>
      <c r="L2" s="21" t="s">
        <v>471</v>
      </c>
      <c r="M2" s="21" t="s">
        <v>944</v>
      </c>
      <c r="N2" s="21" t="s">
        <v>945</v>
      </c>
      <c r="O2" s="21" t="s">
        <v>946</v>
      </c>
      <c r="P2" s="21" t="s">
        <v>818</v>
      </c>
      <c r="Q2" s="21" t="s">
        <v>801</v>
      </c>
      <c r="R2" s="23" t="s">
        <v>947</v>
      </c>
      <c r="S2" s="21" t="s">
        <v>837</v>
      </c>
      <c r="T2" s="21" t="s">
        <v>958</v>
      </c>
      <c r="U2" s="21" t="s">
        <v>153</v>
      </c>
      <c r="V2" s="21" t="s">
        <v>801</v>
      </c>
      <c r="W2" s="21" t="s">
        <v>948</v>
      </c>
      <c r="X2" s="21">
        <v>1</v>
      </c>
    </row>
  </sheetData>
  <autoFilter ref="A1:X2" xr:uid="{00000000-0009-0000-0000-000004000000}"/>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汇总</vt:lpstr>
      <vt:lpstr>全部</vt:lpstr>
      <vt:lpstr>人 Human</vt:lpstr>
      <vt:lpstr>鼠 Mouse</vt:lpstr>
      <vt:lpstr>人鼠 Mixed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McCree Jesse</cp:lastModifiedBy>
  <dcterms:created xsi:type="dcterms:W3CDTF">2026-06-14T04:00:09Z</dcterms:created>
  <dcterms:modified xsi:type="dcterms:W3CDTF">2026-08-30T11:53:45Z</dcterms:modified>
</cp:coreProperties>
</file>