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d3bdbd819a9487a" /></Relationships>
</file>

<file path=xl/workbook.xml><?xml version="1.0" encoding="utf-8"?>
<x:workbook xmlns:x="http://schemas.openxmlformats.org/spreadsheetml/2006/main">
  <x:sheets>
    <x:sheet xmlns:r="http://schemas.openxmlformats.org/officeDocument/2006/relationships" name="说明与统计" sheetId="1" r:id="R28291b5f2c1545fb"/>
    <x:sheet xmlns:r="http://schemas.openxmlformats.org/officeDocument/2006/relationships" name="我方Marker文章" sheetId="2" r:id="Rfb52276a4798407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FFFFFF"/>
      <x:name val="Carlito"/>
    </x:font>
    <x:font>
      <x:b/>
      <x:sz val="11"/>
      <x:color rgb="FF17365D"/>
      <x:name val="Carlito"/>
    </x:font>
    <x:font>
      <x:b/>
      <x:sz val="11"/>
      <x:name val="Carlito"/>
    </x:font>
    <x:font>
      <x:b/>
      <x:sz val="11"/>
      <x:color rgb="FF375623"/>
      <x:name val="Carlito"/>
    </x:font>
    <x:font>
      <x:sz val="11"/>
      <x:color rgb="FF334E68"/>
      <x:name val="Carlito"/>
    </x:font>
    <x:font>
      <x:i/>
      <x:sz val="11"/>
      <x:color rgb="FF5B6573"/>
      <x:name val="Carlito"/>
    </x:font>
    <x:font>
      <x:b/>
      <x:sz val="11"/>
      <x:color rgb="FF548235"/>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F7FAFC"/>
      </x:patternFill>
    </x:fill>
    <x:fill>
      <x:patternFill patternType="solid">
        <x:fgColor rgb="FFE2F0D9"/>
      </x:patternFill>
    </x:fill>
    <x:fill>
      <x:patternFill patternType="solid">
        <x:fgColor rgb="FFE2F0D9"/>
      </x:patternFill>
    </x:fill>
  </x:fills>
  <x:borders count="10">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left style="thin">
        <x:color rgb="FFC9D6E2"/>
      </x:left>
      <x:top style="thin">
        <x:color rgb="FFC9D6E2"/>
      </x:top>
    </x:border>
    <x:border>
      <x:right style="thin">
        <x:color rgb="FFC9D6E2"/>
      </x:right>
      <x:top style="thin">
        <x:color rgb="FFC9D6E2"/>
      </x:top>
    </x:border>
    <x:border>
      <x:left style="thin">
        <x:color rgb="FFC9D6E2"/>
      </x:left>
    </x:border>
    <x:border>
      <x:right style="thin">
        <x:color rgb="FFC9D6E2"/>
      </x:right>
    </x:border>
    <x:border>
      <x:left style="thin">
        <x:color rgb="FFC9D6E2"/>
      </x:left>
      <x:bottom style="thin">
        <x:color rgb="FFC9D6E2"/>
      </x:bottom>
    </x:border>
    <x:border>
      <x:right style="thin">
        <x:color rgb="FFC9D6E2"/>
      </x:right>
      <x:bottom style="thin">
        <x:color rgb="FFC9D6E2"/>
      </x:bottom>
    </x:border>
  </x:borders>
  <x:cellStyleXfs count="1">
    <x:xf numFmtId="0" fontId="0" fillId="0" borderId="0"/>
  </x:cellStyleXfs>
  <x:cellXfs count="62">
    <x:xf numFmtId="0" fontId="0" fillId="0" borderId="0"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3" borderId="0" xfId="0"/>
    <x:xf numFmtId="0" fontId="2" fillId="3" borderId="0" xfId="0"/>
    <x:xf numFmtId="0" fontId="2" fillId="3" borderId="1" xfId="0"/>
    <x:xf numFmtId="0" fontId="2" fillId="3" borderId="2" xfId="0"/>
    <x:xf numFmtId="0" fontId="2" fillId="3" borderId="3" xfId="0"/>
    <x:xf numFmtId="0" fontId="2" fillId="3" borderId="1" xfId="0" applyAlignment="1">
      <x:alignment horizontal="center"/>
    </x:xf>
    <x:xf numFmtId="0" fontId="2" fillId="3" borderId="2" xfId="0" applyAlignment="1">
      <x:alignment horizontal="center"/>
    </x:xf>
    <x:xf numFmtId="0" fontId="2" fillId="3" borderId="3" xfId="0" applyAlignment="1">
      <x:alignment horizontal="center"/>
    </x:xf>
    <x:xf numFmtId="0" fontId="0" fillId="0" borderId="4" xfId="0"/>
    <x:xf numFmtId="0" fontId="0" fillId="0" borderId="5" xfId="0"/>
    <x:xf numFmtId="0" fontId="0" fillId="0" borderId="6" xfId="0"/>
    <x:xf numFmtId="0" fontId="0" fillId="0" borderId="7" xfId="0"/>
    <x:xf numFmtId="0" fontId="0" fillId="0" borderId="8" xfId="0"/>
    <x:xf numFmtId="0" fontId="0" fillId="0" borderId="9" xfId="0"/>
    <x:xf numFmtId="0" fontId="0" fillId="0" borderId="4" xfId="0" applyAlignment="1">
      <x:alignment vertical="center"/>
    </x:xf>
    <x:xf numFmtId="0" fontId="0" fillId="0" borderId="5" xfId="0" applyAlignment="1">
      <x:alignment vertical="center"/>
    </x:xf>
    <x:xf numFmtId="0" fontId="0" fillId="0" borderId="6" xfId="0" applyAlignment="1">
      <x:alignment vertical="center"/>
    </x:xf>
    <x:xf numFmtId="0" fontId="0" fillId="0" borderId="7" xfId="0" applyAlignment="1">
      <x:alignment vertical="center"/>
    </x:xf>
    <x:xf numFmtId="0" fontId="0" fillId="0" borderId="8" xfId="0" applyAlignment="1">
      <x:alignment vertical="center"/>
    </x:xf>
    <x:xf numFmtId="0" fontId="0" fillId="0" borderId="9" xfId="0" applyAlignment="1">
      <x:alignment vertical="center"/>
    </x:xf>
    <x:xf numFmtId="0" fontId="3" fillId="0" borderId="5" xfId="0" applyAlignment="1">
      <x:alignment vertical="center"/>
    </x:xf>
    <x:xf numFmtId="0" fontId="3" fillId="0" borderId="7" xfId="0" applyAlignment="1">
      <x:alignment vertical="center"/>
    </x:xf>
    <x:xf numFmtId="0" fontId="3" fillId="0" borderId="9" xfId="0" applyAlignment="1">
      <x:alignment vertical="center"/>
    </x:xf>
    <x:xf numFmtId="1" fontId="3" fillId="0" borderId="5" xfId="0" applyAlignment="1">
      <x:alignment vertical="center"/>
    </x:xf>
    <x:xf numFmtId="1" fontId="3" fillId="0" borderId="7" xfId="0" applyAlignment="1">
      <x:alignment vertical="center"/>
    </x:xf>
    <x:xf numFmtId="1" fontId="3" fillId="0" borderId="9" xfId="0" applyAlignment="1">
      <x:alignment vertical="center"/>
    </x:xf>
    <x:xf numFmtId="1" fontId="3" fillId="0" borderId="5" xfId="0" applyAlignment="1">
      <x:alignment horizontal="center" vertical="center"/>
    </x:xf>
    <x:xf numFmtId="1" fontId="3" fillId="0" borderId="7" xfId="0" applyAlignment="1">
      <x:alignment horizontal="center" vertical="center"/>
    </x:xf>
    <x:xf numFmtId="1" fontId="3" fillId="0" borderId="9" xfId="0" applyAlignment="1">
      <x:alignment horizontal="center" vertical="center"/>
    </x:xf>
    <x:xf numFmtId="0" fontId="0" fillId="4" borderId="0" xfId="0"/>
    <x:xf numFmtId="0" fontId="4" fillId="4" borderId="0" xfId="0"/>
    <x:xf numFmtId="0" fontId="0" fillId="5" borderId="0" xfId="0"/>
    <x:xf numFmtId="0" fontId="5" fillId="5" borderId="0" xfId="0"/>
    <x:xf numFmtId="0" fontId="5" fillId="5" borderId="0" xfId="0" applyAlignment="1">
      <x:alignment wrapText="1"/>
    </x:xf>
    <x:xf numFmtId="0" fontId="5" fillId="5" borderId="0" xfId="0" applyAlignment="1">
      <x:alignment vertical="center" wrapText="1"/>
    </x:xf>
    <x:xf numFmtId="0" fontId="6" fillId="0" borderId="0" xfId="0"/>
    <x:xf numFmtId="0" fontId="0" fillId="0"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0" borderId="0" xfId="0" applyAlignment="1">
      <x:alignment vertical="top"/>
    </x:xf>
    <x:xf numFmtId="0" fontId="0" fillId="0" borderId="0" xfId="0" applyAlignment="1">
      <x:alignment vertical="top" wrapText="1"/>
    </x:xf>
    <x:xf numFmtId="0" fontId="0" fillId="0" borderId="0" xfId="0" applyAlignment="1">
      <x:alignment vertical="center"/>
    </x:xf>
    <x:xf numFmtId="1" fontId="0" fillId="0" borderId="0" xfId="0" applyAlignment="1">
      <x:alignment vertical="center"/>
    </x:xf>
    <x:xf numFmtId="1" fontId="0" fillId="0" borderId="0" xfId="0" applyAlignment="1">
      <x:alignment horizontal="center" vertical="center"/>
    </x:xf>
    <x:xf numFmtId="0" fontId="0" fillId="0" borderId="0" xfId="0" applyAlignment="1">
      <x:alignment horizontal="center" vertical="center"/>
    </x:xf>
    <x:xf numFmtId="0" fontId="0" fillId="0" borderId="0" xfId="0" applyAlignment="1">
      <x:alignment horizontal="center" vertical="top" wrapText="1"/>
    </x:xf>
    <x:xf numFmtId="1" fontId="0" fillId="0" borderId="0" xfId="0" applyAlignment="1">
      <x:alignment vertical="top"/>
    </x:xf>
    <x:xf numFmtId="1" fontId="0" fillId="0" borderId="0" xfId="0" applyAlignment="1">
      <x:alignment horizontal="center" vertical="top"/>
    </x:xf>
    <x:xf numFmtId="0" fontId="0" fillId="6" borderId="0" xfId="0" applyAlignment="1">
      <x:alignment horizontal="center" vertical="top" wrapText="1"/>
    </x:xf>
    <x:xf numFmtId="0" fontId="7" fillId="6" borderId="0" xfId="0" applyAlignment="1">
      <x:alignment horizontal="center" vertical="top" wrapText="1"/>
    </x:xf>
    <x:xf numFmtId="0" fontId="7" fillId="7" borderId="0" xfId="0" applyAlignment="1">
      <x:alignment horizontal="center" vertical="top" wrapText="1"/>
    </x:xf>
    <x:xf numFmtId="1" fontId="3" fillId="0" borderId="5" xfId="0" applyAlignment="1">
      <x:alignment horizontal="center" vertical="center"/>
    </x:xf>
    <x:xf numFmtId="1" fontId="3" fillId="0" borderId="7" xfId="0" applyAlignment="1">
      <x:alignment horizontal="center" vertical="center"/>
    </x:xf>
    <x:xf numFmtId="1" fontId="3" fillId="0" borderId="9" xfId="0" applyAlignment="1">
      <x:alignment horizontal="center" vertical="center"/>
    </x:xf>
    <x:xf numFmtId="1" fontId="0" fillId="0" borderId="0" xfId="0" applyAlignment="1">
      <x:alignment horizontal="center" vertical="center"/>
    </x:xf>
    <x:xf numFmtId="1" fontId="0" fillId="0" borderId="0" xfId="0" applyAlignment="1">
      <x:alignment horizontal="center" vertical="top"/>
    </x:xf>
  </x:cellXfs>
  <x:cellStyles count="1">
    <x:cellStyle name="Normal" xfId="0"/>
  </x:cellStyles>
  <x:dxfs count="5">
    <x:dxf>
      <x:font>
        <x:color rgb="FF375623"/>
      </x:font>
      <x:fill>
        <x:patternFill>
          <x:bgColor rgb="FFE2F0D9"/>
        </x:patternFill>
      </x:fill>
    </x:dxf>
    <x:dxf>
      <x:font>
        <x:color rgb="FF9C0006"/>
      </x:font>
      <x:fill>
        <x:patternFill>
          <x:bgColor rgb="FFFCE4D6"/>
        </x:patternFill>
      </x:fill>
    </x:dxf>
    <x:dxf>
      <x:font>
        <x:color rgb="FF7F6000"/>
      </x:font>
      <x:fill>
        <x:patternFill>
          <x:bgColor rgb="FFFFF2CC"/>
        </x:patternFill>
      </x:fill>
    </x:dxf>
    <x:dxf>
      <x:font>
        <x:b/>
        <x:color rgb="FF1F4E78"/>
      </x:font>
      <x:fill>
        <x:patternFill>
          <x:bgColor rgb="FFDDEBF7"/>
        </x:patternFill>
      </x:fill>
    </x:dxf>
    <x:dxf>
      <x:font>
        <x:b/>
        <x:color rgb="FF9C0006"/>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1c685fc6eee4cc9" /><Relationship Type="http://schemas.openxmlformats.org/officeDocument/2006/relationships/theme" Target="/xl/theme/theme1.xml" Id="R9282b1b676bb4f08" /><Relationship Type="http://schemas.openxmlformats.org/officeDocument/2006/relationships/sharedStrings" Target="/xl/sharedStrings.xml" Id="Rb86c15103bee419a" /><Relationship Type="http://schemas.openxmlformats.org/officeDocument/2006/relationships/worksheet" Target="/xl/worksheets/sheet1.xml" Id="R28291b5f2c1545fb" /><Relationship Type="http://schemas.openxmlformats.org/officeDocument/2006/relationships/worksheet" Target="/xl/worksheets/sheet2.xml" Id="Rfb52276a47984078" /></Relationships>
</file>

<file path=xl/tables/table1.xml><?xml version="1.0" encoding="utf-8"?>
<x:table xmlns:x="http://schemas.openxmlformats.org/spreadsheetml/2006/main" id="1" name="OurMarkerPapersTable" displayName="OurMarkerPapersTable" ref="A1:U45" headerRowCount="1" totalsRowCount="0" totalsRowShown="0">
  <x:tableColumns count="21">
    <x:tableColumn id="1" name="序号"/>
    <x:tableColumn id="2" name="纳入Marker任务"/>
    <x:tableColumn id="3" name="任务范围"/>
    <x:tableColumn id="4" name="数据来源"/>
    <x:tableColumn id="5" name="代表Dataset ID"/>
    <x:tableColumn id="6" name="Collection ID"/>
    <x:tableColumn id="7" name="论文标题"/>
    <x:tableColumn id="8" name="中文标题"/>
    <x:tableColumn id="9" name="年份"/>
    <x:tableColumn id="10" name="DOI"/>
    <x:tableColumn id="11" name="PMID"/>
    <x:tableColumn id="12" name="物种"/>
    <x:tableColumn id="13" name="PNS层级"/>
    <x:tableColumn id="14" name="组织"/>
    <x:tableColumn id="15" name="技术"/>
    <x:tableColumn id="16" name="PDF状态"/>
    <x:tableColumn id="17" name="PDF路径"/>
    <x:tableColumn id="18" name="paper_id"/>
    <x:tableColumn id="19" name="Marker状态"/>
    <x:tableColumn id="20" name="备注"/>
    <x:tableColumn id="21" name="分工表行号"/>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98910d038c46f1"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style="41" customWidth="1"/>
    <x:col min="2" max="2" width="16" style="41" customWidth="1"/>
    <x:col min="3" max="3" width="16" style="41" customWidth="1"/>
    <x:col min="4" max="4" width="26" style="41" customWidth="1"/>
    <x:col min="5" max="5" width="16" style="41" customWidth="1"/>
    <x:col min="6" max="6" width="16" style="41" customWidth="1"/>
    <x:col min="7" max="7" width="26" style="41" customWidth="1"/>
    <x:col min="8" max="8" width="16" style="41" customWidth="1"/>
  </x:cols>
  <x:sheetData>
    <x:row r="1" s="41" customFormat="1" ht="32" customHeight="1">
      <x:c r="A1" s="4" t="inlineStr">
        <x:is>
          <x:t xml:space="preserve">我方 Marker 文章任务清单</x:t>
        </x:is>
      </x:c>
    </x:row>
    <x:row r="3">
      <x:c r="A3" s="10" t="inlineStr">
        <x:is>
          <x:t xml:space="preserve">任务范围</x:t>
        </x:is>
      </x:c>
      <x:c r="B3" s="11" t="inlineStr">
        <x:is>
          <x:t xml:space="preserve">数量</x:t>
        </x:is>
      </x:c>
      <x:c r="C3" s="11" t="str"/>
      <x:c r="D3" s="11" t="inlineStr">
        <x:is>
          <x:t xml:space="preserve">PDF状态</x:t>
        </x:is>
      </x:c>
      <x:c r="E3" s="11" t="inlineStr">
        <x:is>
          <x:t xml:space="preserve">数量</x:t>
        </x:is>
      </x:c>
      <x:c r="F3" s="11" t="str"/>
      <x:c r="G3" s="11" t="inlineStr">
        <x:is>
          <x:t xml:space="preserve">Marker状态</x:t>
        </x:is>
      </x:c>
      <x:c r="H3" s="12" t="inlineStr">
        <x:is>
          <x:t xml:space="preserve">数量</x:t>
        </x:is>
      </x:c>
    </x:row>
    <x:row r="4">
      <x:c r="A4" s="19" t="inlineStr">
        <x:is>
          <x:t xml:space="preserve">B组分工条目</x:t>
        </x:is>
      </x:c>
      <x:c r="B4" s="57" t="n">
        <x:f>COUNTA('我方Marker文章'!$A$2:$A$45)</x:f>
        <x:v>44</x:v>
      </x:c>
      <x:c r="D4" s="19" t="inlineStr">
        <x:is>
          <x:t xml:space="preserve">CellxGene PDF已核验</x:t>
        </x:is>
      </x:c>
      <x:c r="E4" s="57" t="n">
        <x:f>COUNTIF('我方Marker文章'!$P$2:$P$45,"已核验")</x:f>
        <x:v>39</x:v>
      </x:c>
      <x:c r="G4" s="19" t="inlineStr">
        <x:is>
          <x:t xml:space="preserve">快速复核已录入</x:t>
        </x:is>
      </x:c>
      <x:c r="H4" s="57" t="n">
        <x:f>COUNTIF('我方Marker文章'!$S$2:$S$45,"快速复核已录入")</x:f>
        <x:v>16</x:v>
      </x:c>
    </x:row>
    <x:row r="5">
      <x:c r="A5" s="21" t="inlineStr">
        <x:is>
          <x:t xml:space="preserve">CellxGene当前任务</x:t>
        </x:is>
      </x:c>
      <x:c r="B5" s="58" t="n">
        <x:f>COUNTIF('我方Marker文章'!$C$2:$C$45,A5)</x:f>
        <x:v>42</x:v>
      </x:c>
      <x:c r="D5" s="21" t="inlineStr">
        <x:is>
          <x:t xml:space="preserve">CellxGene缺有效PDF</x:t>
        </x:is>
      </x:c>
      <x:c r="E5" s="58" t="n">
        <x:f>COUNTIF('我方Marker文章'!$P$2:$P$45,"缺有效PDF")+COUNTIF('我方Marker文章'!$P$2:$P$45,"求助中：缺有效PDF")</x:f>
        <x:v>3</x:v>
      </x:c>
      <x:c r="G5" s="21" t="inlineStr">
        <x:is>
          <x:t xml:space="preserve">待新版提取</x:t>
        </x:is>
      </x:c>
      <x:c r="H5" s="58" t="n">
        <x:f>COUNTIF('我方Marker文章'!$S$2:$S$45,"待新版提取")</x:f>
        <x:v>0</x:v>
      </x:c>
    </x:row>
    <x:row r="6">
      <x:c r="A6" s="23" t="inlineStr">
        <x:is>
          <x:t xml:space="preserve">GEO补充任务</x:t>
        </x:is>
      </x:c>
      <x:c r="B6" s="59" t="n">
        <x:f>COUNTIF('我方Marker文章'!$C$2:$C$45,A6)</x:f>
        <x:v>2</x:v>
      </x:c>
      <x:c r="D6" s="23" t="inlineStr">
        <x:is>
          <x:t xml:space="preserve">GEO未接入PDF库</x:t>
        </x:is>
      </x:c>
      <x:c r="E6" s="59" t="n">
        <x:f>COUNTIF('我方Marker文章'!$P$2:$P$45,"未接入当前PDF库")</x:f>
        <x:v>2</x:v>
      </x:c>
      <x:c r="G6" s="23" t="inlineStr">
        <x:is>
          <x:t xml:space="preserve">阻塞/待接入</x:t>
        </x:is>
      </x:c>
      <x:c r="H6" s="59" t="n">
        <x:f>COUNTIF('我方Marker文章'!$S$2:$S$45,"阻塞：缺有效PDF")+COUNTIF('我方Marker文章'!$S$2:$S$45,"阻塞：需补PDF/接入")</x:f>
        <x:v>5</x:v>
      </x:c>
    </x:row>
    <x:row r="7">
      <x:c r="G7" t="str">
        <x:v>待处理（新版21；补证据2）</x:v>
      </x:c>
      <x:c r="H7" t="n">
        <x:f>COUNTIF('我方Marker文章'!$S$2:$S$45,"新版机器提取完成，待人工复核")+COUNTIF('我方Marker文章'!$S$2:$S$45,"需补证据/重提取")</x:f>
        <x:v>23</x:v>
      </x:c>
    </x:row>
    <x:row r="8">
      <x:c r="A8" s="35" t="inlineStr">
        <x:is>
          <x:t xml:space="preserve">口径说明</x:t>
        </x:is>
      </x:c>
    </x:row>
    <x:row r="9" s="41" customFormat="1" ht="30" customHeight="1">
      <x:c r="A9" s="39" t="inlineStr">
        <x:is>
          <x:t xml:space="preserve">1. 本表只收录原分工表中不高亮的 B 组；黄色 A 组由同学负责。</x:t>
        </x:is>
      </x:c>
    </x:row>
    <x:row r="10" s="41" customFormat="1" ht="30" customHeight="1">
      <x:c r="A10" s="39" t="inlineStr">
        <x:is>
          <x:t xml:space="preserve">2. 44 是分工任务条目数：42 条 CellxGene + 2 条 GEO 补充。</x:t>
        </x:is>
      </x:c>
    </x:row>
    <x:row r="11" s="41" customFormat="1" ht="30" customHeight="1">
      <x:c r="A11" s="39" t="inlineStr">
        <x:is>
          <x:t xml:space="preserve">3. GSE198485 一个任务条目关联 PMID 37120427 和 37664243，因此 44 条不严格等于 44 篇唯一论文。</x:t>
        </x:is>
      </x:c>
    </x:row>
    <x:row r="12" s="41" customFormat="1" ht="30" customHeight="1">
      <x:c r="A12" s="39" t="str">
        <x:v>4. 旧 markers_output 结果存在映射污染，Marker状态只认可 markers_output_v2；当前21篇论文已完成新版重提取（其中21篇待人工复核，2篇需补证据/重提取），未新增正式marker。</x:v>
      </x:c>
    </x:row>
    <x:row r="13" s="41" customFormat="1" ht="30" customHeight="1">
      <x:c r="A13" s="39" t="inlineStr">
        <x:is>
          <x:t xml:space="preserve">5. PDF状态来自 paper_map.audit.json 的正式身份审计；缺 PDF 的条目不得进入 marker 提取。</x:t>
        </x:is>
      </x:c>
    </x:row>
    <x:row r="15">
      <x:c r="A15" s="40" t="inlineStr">
        <x:is>
          <x:t xml:space="preserve">来源文件：db/reference/文献_细胞类型_工具一览表.xlsx（分工）</x:t>
        </x:is>
      </x:c>
    </x:row>
    <x:row r="16">
      <x:c r="A16" s="40" t="inlineStr">
        <x:is>
          <x:t xml:space="preserve">登记文件：db/cellxgene/paper_registry.json（CellxGene论文身份）</x:t>
        </x:is>
      </x:c>
    </x:row>
    <x:row r="17">
      <x:c r="A17" s="40" t="inlineStr">
        <x:is>
          <x:t xml:space="preserve">审计文件：db/cellxgene/paper_map.audit.json（有效PDF身份）</x:t>
        </x:is>
      </x:c>
    </x:row>
  </x:sheetData>
  <x:mergeCells>
    <x:mergeCell ref="A9:H9"/>
    <x:mergeCell ref="A12:H12"/>
    <x:mergeCell ref="A15:H15"/>
    <x:mergeCell ref="A16:H16"/>
    <x:mergeCell ref="A10:H10"/>
    <x:mergeCell ref="A13:H13"/>
    <x:mergeCell ref="A11:H11"/>
    <x:mergeCell ref="A1:H1"/>
    <x:mergeCell ref="A8:H8"/>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7" style="41" customWidth="1"/>
    <x:col min="2" max="2" width="14" style="41" customWidth="1"/>
    <x:col min="3" max="3" width="19" style="41" customWidth="1"/>
    <x:col min="4" max="4" width="12" style="41" customWidth="1"/>
    <x:col min="5" max="5" width="39" style="41" customWidth="1"/>
    <x:col min="6" max="6" width="38" style="41" customWidth="1"/>
    <x:col min="7" max="7" width="54" style="41" customWidth="1"/>
    <x:col min="8" max="8" width="42" style="41" customWidth="1"/>
    <x:col min="9" max="9" width="8" style="41" customWidth="1"/>
    <x:col min="10" max="10" width="31" style="41" customWidth="1"/>
    <x:col min="11" max="11" width="20" style="41" customWidth="1"/>
    <x:col min="12" max="12" width="16" style="41" customWidth="1"/>
    <x:col min="13" max="13" width="19" style="41" customWidth="1"/>
    <x:col min="14" max="14" width="30" style="41" customWidth="1"/>
    <x:col min="15" max="15" width="28" style="41" customWidth="1"/>
    <x:col min="16" max="16" width="20" style="41" customWidth="1"/>
    <x:col min="17" max="17" width="62" style="41" customWidth="1"/>
    <x:col min="18" max="18" width="42" style="41" customWidth="1"/>
    <x:col min="19" max="19" width="28" style="41" customWidth="1"/>
    <x:col min="20" max="20" width="44" style="41" customWidth="1"/>
    <x:col min="21" max="21" width="11" style="41" customWidth="1"/>
  </x:cols>
  <x:sheetData>
    <x:row r="1" s="41" customFormat="1" ht="34" customHeight="1">
      <x:c r="A1" s="44" t="inlineStr">
        <x:is>
          <x:t xml:space="preserve">序号</x:t>
        </x:is>
      </x:c>
      <x:c r="B1" s="44" t="inlineStr">
        <x:is>
          <x:t xml:space="preserve">纳入Marker任务</x:t>
        </x:is>
      </x:c>
      <x:c r="C1" s="44" t="inlineStr">
        <x:is>
          <x:t xml:space="preserve">任务范围</x:t>
        </x:is>
      </x:c>
      <x:c r="D1" s="44" t="inlineStr">
        <x:is>
          <x:t xml:space="preserve">数据来源</x:t>
        </x:is>
      </x:c>
      <x:c r="E1" s="44" t="inlineStr">
        <x:is>
          <x:t xml:space="preserve">代表Dataset ID</x:t>
        </x:is>
      </x:c>
      <x:c r="F1" s="44" t="inlineStr">
        <x:is>
          <x:t xml:space="preserve">Collection ID</x:t>
        </x:is>
      </x:c>
      <x:c r="G1" s="44" t="inlineStr">
        <x:is>
          <x:t xml:space="preserve">论文标题</x:t>
        </x:is>
      </x:c>
      <x:c r="H1" s="44" t="inlineStr">
        <x:is>
          <x:t xml:space="preserve">中文标题</x:t>
        </x:is>
      </x:c>
      <x:c r="I1" s="44" t="inlineStr">
        <x:is>
          <x:t xml:space="preserve">年份</x:t>
        </x:is>
      </x:c>
      <x:c r="J1" s="44" t="inlineStr">
        <x:is>
          <x:t xml:space="preserve">DOI</x:t>
        </x:is>
      </x:c>
      <x:c r="K1" s="44" t="inlineStr">
        <x:is>
          <x:t xml:space="preserve">PMID</x:t>
        </x:is>
      </x:c>
      <x:c r="L1" s="44" t="inlineStr">
        <x:is>
          <x:t xml:space="preserve">物种</x:t>
        </x:is>
      </x:c>
      <x:c r="M1" s="44" t="inlineStr">
        <x:is>
          <x:t xml:space="preserve">PNS层级</x:t>
        </x:is>
      </x:c>
      <x:c r="N1" s="44" t="inlineStr">
        <x:is>
          <x:t xml:space="preserve">组织</x:t>
        </x:is>
      </x:c>
      <x:c r="O1" s="44" t="inlineStr">
        <x:is>
          <x:t xml:space="preserve">技术</x:t>
        </x:is>
      </x:c>
      <x:c r="P1" s="44" t="inlineStr">
        <x:is>
          <x:t xml:space="preserve">PDF状态</x:t>
        </x:is>
      </x:c>
      <x:c r="Q1" s="44" t="inlineStr">
        <x:is>
          <x:t xml:space="preserve">PDF路径</x:t>
        </x:is>
      </x:c>
      <x:c r="R1" s="44" t="inlineStr">
        <x:is>
          <x:t xml:space="preserve">paper_id</x:t>
        </x:is>
      </x:c>
      <x:c r="S1" s="44" t="inlineStr">
        <x:is>
          <x:t xml:space="preserve">Marker状态</x:t>
        </x:is>
      </x:c>
      <x:c r="T1" s="44" t="inlineStr">
        <x:is>
          <x:t xml:space="preserve">备注</x:t>
        </x:is>
      </x:c>
      <x:c r="U1" s="44" t="inlineStr">
        <x:is>
          <x:t xml:space="preserve">分工表行号</x:t>
        </x:is>
      </x:c>
    </x:row>
    <x:row r="2" s="41" customFormat="1" ht="36" customHeight="1">
      <x:c r="A2" s="60" t="n">
        <x:v>1</x:v>
      </x:c>
      <x:c r="B2" s="50" t="inlineStr">
        <x:is>
          <x:t xml:space="preserve">是</x:t>
        </x:is>
      </x:c>
      <x:c r="C2" s="50" t="inlineStr">
        <x:is>
          <x:t xml:space="preserve">CellxGene当前任务</x:t>
        </x:is>
      </x:c>
      <x:c r="D2" s="50" t="inlineStr">
        <x:is>
          <x:t xml:space="preserve">CellxGene</x:t>
        </x:is>
      </x:c>
      <x:c r="E2" s="47" t="inlineStr">
        <x:is>
          <x:t xml:space="preserve">CELLxGENE:595c9010-99ec-462d-b6a1-2b2fe5407871</x:t>
        </x:is>
      </x:c>
      <x:c r="F2" s="47" t="inlineStr">
        <x:is>
          <x:t xml:space="preserve">59c9ecfe-c47d-4a6a-bab0-895cc0c1942b</x:t>
        </x:is>
      </x:c>
      <x:c r="G2" s="46" t="inlineStr">
        <x:is>
          <x:t xml:space="preserve">Dysregulation of brain and choroid plexus cell types in severe COVID-19.</x:t>
        </x:is>
      </x:c>
      <x:c r="H2" s="46" t="inlineStr">
        <x:is>
          <x:t xml:space="preserve">严重COVID-19中脑和脉络丛细胞类型的失调</x:t>
        </x:is>
      </x:c>
      <x:c r="I2" s="50" t="inlineStr">
        <x:is>
          <x:t xml:space="preserve">2024</x:t>
        </x:is>
      </x:c>
      <x:c r="J2" s="47" t="inlineStr">
        <x:is>
          <x:t xml:space="preserve">10.1038/s41586-021-03710-0</x:t>
        </x:is>
      </x:c>
      <x:c r="K2" s="50" t="inlineStr">
        <x:is>
          <x:t xml:space="preserve">34153974</x:t>
        </x:is>
      </x:c>
      <x:c r="L2" s="50" t="inlineStr">
        <x:is>
          <x:t xml:space="preserve">Homo sapiens</x:t>
        </x:is>
      </x:c>
      <x:c r="M2" s="51" t="inlineStr">
        <x:is>
          <x:t xml:space="preserve">—</x:t>
        </x:is>
      </x:c>
      <x:c r="N2" s="46" t="inlineStr">
        <x:is>
          <x:t xml:space="preserve">choroid plexus</x:t>
        </x:is>
      </x:c>
      <x:c r="O2" s="46" t="inlineStr">
        <x:is>
          <x:t xml:space="preserve">10x 3' v3</x:t>
        </x:is>
      </x:c>
      <x:c r="P2" s="51" t="inlineStr">
        <x:is>
          <x:t xml:space="preserve">已核验</x:t>
        </x:is>
      </x:c>
      <x:c r="Q2" s="46" t="inlineStr">
        <x:is>
          <x:t xml:space="preserve">D:/OneDrive/Desktop/组/db/cellxgene/cellxgene_filtered/downloads/PMID_34153974_Dysregulation of brain and choroid plexus cell types in severe COVID-19..pdf</x:t>
        </x:is>
      </x:c>
      <x:c r="R2" s="45" t="inlineStr">
        <x:is>
          <x:t xml:space="preserve">DOI_10.1038_s41586-021-03710-0</x:t>
        </x:is>
      </x:c>
      <x:c r="S2" s="51" t="str">
        <x:v>新版机器提取完成，待人工复核</x:v>
      </x:c>
      <x:c r="T2" s="46" t="str">
        <x:v>v2 JSON 16 条候选（11 条形式候选）；无正式 PNS marker。待人工复核。</x:v>
      </x:c>
      <x:c r="U2" s="61" t="n">
        <x:v>2</x:v>
      </x:c>
    </x:row>
    <x:row r="3" s="41" customFormat="1" ht="36" customHeight="1">
      <x:c r="A3" s="60" t="n">
        <x:v>2</x:v>
      </x:c>
      <x:c r="B3" s="50" t="inlineStr">
        <x:is>
          <x:t xml:space="preserve">是</x:t>
        </x:is>
      </x:c>
      <x:c r="C3" s="50" t="inlineStr">
        <x:is>
          <x:t xml:space="preserve">CellxGene当前任务</x:t>
        </x:is>
      </x:c>
      <x:c r="D3" s="50" t="inlineStr">
        <x:is>
          <x:t xml:space="preserve">CellxGene</x:t>
        </x:is>
      </x:c>
      <x:c r="E3" s="47" t="inlineStr">
        <x:is>
          <x:t xml:space="preserve">CELLxGENE:3c364ffe-d599-44d5-a77f-6c5fd7038cf6</x:t>
        </x:is>
      </x:c>
      <x:c r="F3" s="47" t="inlineStr">
        <x:is>
          <x:t xml:space="preserve">05e3d0fc-c9dd-4f14-9163-2b242b3bb5c2</x:t>
        </x:is>
      </x:c>
      <x:c r="G3" s="46" t="inlineStr">
        <x:is>
          <x:t xml:space="preserve">Single cell atlas of the human optic nerve</x:t>
        </x:is>
      </x:c>
      <x:c r="H3" s="46" t="inlineStr">
        <x:is>
          <x:t xml:space="preserve">人视神经单细胞图谱</x:t>
        </x:is>
      </x:c>
      <x:c r="I3" s="50" t="inlineStr">
        <x:is>
          <x:t xml:space="preserve">2025</x:t>
        </x:is>
      </x:c>
      <x:c r="J3" s="47" t="str"/>
      <x:c r="K3" s="50" t="str"/>
      <x:c r="L3" s="50" t="inlineStr">
        <x:is>
          <x:t xml:space="preserve">Homo sapiens</x:t>
        </x:is>
      </x:c>
      <x:c r="M3" s="51" t="inlineStr">
        <x:is>
          <x:t xml:space="preserve">L2:Myelinating Schwann cell/Non-myelinating Schwann cell</x:t>
        </x:is>
      </x:c>
      <x:c r="N3" s="46" t="inlineStr">
        <x:is>
          <x:t xml:space="preserve">cranial nerve II</x:t>
        </x:is>
      </x:c>
      <x:c r="O3" s="46" t="inlineStr">
        <x:is>
          <x:t xml:space="preserve">10x 3' v3</x:t>
        </x:is>
      </x:c>
      <x:c r="P3" s="51" t="inlineStr">
        <x:is>
          <x:t xml:space="preserve">缺有效PDF</x:t>
        </x:is>
      </x:c>
      <x:c r="Q3" s="46" t="str"/>
      <x:c r="R3" s="45" t="inlineStr">
        <x:is>
          <x:t xml:space="preserve">TITLE_single_cell_atlas_of_the_human_optic_nerve</x:t>
        </x:is>
      </x:c>
      <x:c r="S3" s="51" t="inlineStr">
        <x:is>
          <x:t xml:space="preserve">阻塞：缺有效PDF</x:t>
        </x:is>
      </x:c>
      <x:c r="T3" s="46" t="inlineStr">
        <x:is>
          <x:t xml:space="preserve">登记未提供 DOI/PMID，需先锁定论文身份</x:t>
        </x:is>
      </x:c>
      <x:c r="U3" s="61" t="n">
        <x:v>3</x:v>
      </x:c>
    </x:row>
    <x:row r="4" s="41" customFormat="1" ht="36" customHeight="1">
      <x:c r="A4" s="60" t="n">
        <x:v>3</x:v>
      </x:c>
      <x:c r="B4" s="50" t="inlineStr">
        <x:is>
          <x:t xml:space="preserve">是</x:t>
        </x:is>
      </x:c>
      <x:c r="C4" s="50" t="inlineStr">
        <x:is>
          <x:t xml:space="preserve">CellxGene当前任务</x:t>
        </x:is>
      </x:c>
      <x:c r="D4" s="50" t="inlineStr">
        <x:is>
          <x:t xml:space="preserve">CellxGene</x:t>
        </x:is>
      </x:c>
      <x:c r="E4" s="47" t="inlineStr">
        <x:is>
          <x:t xml:space="preserve">CELLxGENE:d973ea15-3722-4bc8-a0e8-1d956d26e203</x:t>
        </x:is>
      </x:c>
      <x:c r="F4" s="47" t="inlineStr">
        <x:is>
          <x:t xml:space="preserve">741abcf7-af4b-425d-88db-7e0b0d845719</x:t>
        </x:is>
      </x:c>
      <x:c r="G4" s="46" t="inlineStr">
        <x:is>
          <x:t xml:space="preserve">Single-nucleus transcriptomic analysis of human dorsal root ganglion neurons.</x:t>
        </x:is>
      </x:c>
      <x:c r="H4" s="46" t="inlineStr">
        <x:is>
          <x:t xml:space="preserve">人背根神经节神经元的单核转录组分析</x:t>
        </x:is>
      </x:c>
      <x:c r="I4" s="50" t="inlineStr">
        <x:is>
          <x:t xml:space="preserve">2025</x:t>
        </x:is>
      </x:c>
      <x:c r="J4" s="47" t="inlineStr">
        <x:is>
          <x:t xml:space="preserve">10.7554/elife.71752</x:t>
        </x:is>
      </x:c>
      <x:c r="K4" s="50" t="inlineStr">
        <x:is>
          <x:t xml:space="preserve">34825887</x:t>
        </x:is>
      </x:c>
      <x:c r="L4" s="50" t="inlineStr">
        <x:is>
          <x:t xml:space="preserve">Homo sapiens</x:t>
        </x:is>
      </x:c>
      <x:c r="M4" s="51" t="inlineStr">
        <x:is>
          <x:t xml:space="preserve">L1:Sensory neuron (DRG)</x:t>
        </x:is>
      </x:c>
      <x:c r="N4" s="46" t="inlineStr">
        <x:is>
          <x:t xml:space="preserve">dorsal root ganglion</x:t>
        </x:is>
      </x:c>
      <x:c r="O4" s="46" t="inlineStr">
        <x:is>
          <x:t xml:space="preserve">10x 3' v2|10x 3' v3</x:t>
        </x:is>
      </x:c>
      <x:c r="P4" s="51" t="inlineStr">
        <x:is>
          <x:t xml:space="preserve">已核验</x:t>
        </x:is>
      </x:c>
      <x:c r="Q4" s="46" t="inlineStr">
        <x:is>
          <x:t xml:space="preserve">D:/OneDrive/Desktop/组/db/cellxgene/cellxgene_filtered/downloads/PMID_34825887_Single-nucleus transcriptomic analysis of human dorsal root ganglion neurons..pdf</x:t>
        </x:is>
      </x:c>
      <x:c r="R4" s="45" t="inlineStr">
        <x:is>
          <x:t xml:space="preserve">DOI_10.7554_elife.71752</x:t>
        </x:is>
      </x:c>
      <x:c r="S4" s="56" t="inlineStr">
        <x:is>
          <x:t xml:space="preserve">快速复核已录入</x:t>
        </x:is>
      </x:c>
      <x:c r="T4" s="46" t="inlineStr">
        <x:is>
          <x:t xml:space="preserve">新版提取已生成 raw JSON/review CSV；快速一致性复核通过10条PNS human marker，已录入 our_markers.xlsx</x:t>
        </x:is>
      </x:c>
      <x:c r="U4" s="61" t="n">
        <x:v>4</x:v>
      </x:c>
    </x:row>
    <x:row r="5" s="41" customFormat="1" ht="36" customHeight="1">
      <x:c r="A5" s="60" t="n">
        <x:v>4</x:v>
      </x:c>
      <x:c r="B5" s="50" t="inlineStr">
        <x:is>
          <x:t xml:space="preserve">是</x:t>
        </x:is>
      </x:c>
      <x:c r="C5" s="50" t="inlineStr">
        <x:is>
          <x:t xml:space="preserve">CellxGene当前任务</x:t>
        </x:is>
      </x:c>
      <x:c r="D5" s="50" t="inlineStr">
        <x:is>
          <x:t xml:space="preserve">CellxGene</x:t>
        </x:is>
      </x:c>
      <x:c r="E5" s="47" t="inlineStr">
        <x:is>
          <x:t xml:space="preserve">CELLxGENE:8c42cfd0-0b0a-46d5-910c-fc833d83c45e</x:t>
        </x:is>
      </x:c>
      <x:c r="F5" s="47" t="inlineStr">
        <x:is>
          <x:t xml:space="preserve">5d445965-6f1a-4b68-ba3a-b8f765155d3a</x:t>
        </x:is>
      </x:c>
      <x:c r="G5" s="46" t="inlineStr">
        <x:is>
          <x:t xml:space="preserve">A molecular cell atlas of the human lung from single-cell RNA sequencing.</x:t>
        </x:is>
      </x:c>
      <x:c r="H5" s="46" t="inlineStr">
        <x:is>
          <x:t xml:space="preserve">单细胞RNA测序揭示的人类肺分子细胞图谱</x:t>
        </x:is>
      </x:c>
      <x:c r="I5" s="50" t="inlineStr">
        <x:is>
          <x:t xml:space="preserve">2020</x:t>
        </x:is>
      </x:c>
      <x:c r="J5" s="47" t="inlineStr">
        <x:is>
          <x:t xml:space="preserve">10.1038/s41586-020-2922-4</x:t>
        </x:is>
      </x:c>
      <x:c r="K5" s="50" t="inlineStr">
        <x:is>
          <x:t xml:space="preserve">33208946</x:t>
        </x:is>
      </x:c>
      <x:c r="L5" s="50" t="inlineStr">
        <x:is>
          <x:t xml:space="preserve">Homo sapiens</x:t>
        </x:is>
      </x:c>
      <x:c r="M5" s="51" t="inlineStr">
        <x:is>
          <x:t xml:space="preserve">L4:Pulmonary neuroendocrine cell</x:t>
        </x:is>
      </x:c>
      <x:c r="N5" s="46" t="inlineStr">
        <x:is>
          <x:t xml:space="preserve">blood</x:t>
        </x:is>
      </x:c>
      <x:c r="O5" s="46" t="inlineStr">
        <x:is>
          <x:t xml:space="preserve">10x 3' v2</x:t>
        </x:is>
      </x:c>
      <x:c r="P5" s="51" t="inlineStr">
        <x:is>
          <x:t xml:space="preserve">已核验</x:t>
        </x:is>
      </x:c>
      <x:c r="Q5" s="46" t="inlineStr">
        <x:is>
          <x:t xml:space="preserve">D:/OneDrive/Desktop/组/db/cellxgene/cellxgene_filtered/downloads/A_molecular_cell_atlas_of_the_human_lung_from_single-cell_RNA_sequencing(科研通-ablesci.com).pdf</x:t>
        </x:is>
      </x:c>
      <x:c r="R5" s="45" t="inlineStr">
        <x:is>
          <x:t xml:space="preserve">DOI_10.1038_s41586-020-2922-4</x:t>
        </x:is>
      </x:c>
      <x:c r="S5" s="51" t="str">
        <x:v>新版机器提取完成，待人工复核</x:v>
      </x:c>
      <x:c r="T5" s="46" t="str">
        <x:v>v2 JSON 127 条候选（19 条形式候选）；无正式 PNS marker。待人工复核。</x:v>
      </x:c>
      <x:c r="U5" s="61" t="n">
        <x:v>39</x:v>
      </x:c>
    </x:row>
    <x:row r="6" s="41" customFormat="1" ht="36" customHeight="1">
      <x:c r="A6" s="60" t="n">
        <x:v>5</x:v>
      </x:c>
      <x:c r="B6" s="50" t="inlineStr">
        <x:is>
          <x:t xml:space="preserve">是</x:t>
        </x:is>
      </x:c>
      <x:c r="C6" s="50" t="inlineStr">
        <x:is>
          <x:t xml:space="preserve">CellxGene当前任务</x:t>
        </x:is>
      </x:c>
      <x:c r="D6" s="50" t="inlineStr">
        <x:is>
          <x:t xml:space="preserve">CellxGene</x:t>
        </x:is>
      </x:c>
      <x:c r="E6" s="47" t="inlineStr">
        <x:is>
          <x:t xml:space="preserve">CELLxGENE:093d3bfe-6f0f-4ac0-a7a1-829f94d0a49f</x:t>
        </x:is>
      </x:c>
      <x:c r="F6" s="47" t="inlineStr">
        <x:is>
          <x:t xml:space="preserve">c1241244-b22d-483d-875b-75699efb9f3c</x:t>
        </x:is>
      </x:c>
      <x:c r="G6" s="46" t="inlineStr">
        <x:is>
          <x:t xml:space="preserve">A spatially resolved atlas of the human lung characterizes a gland-associated immune niche.</x:t>
        </x:is>
      </x:c>
      <x:c r="H6" s="46" t="inlineStr">
        <x:is>
          <x:t xml:space="preserve">人类肺部的空间分辨图谱刻画了一个腺体相关的免疫微环境</x:t>
        </x:is>
      </x:c>
      <x:c r="I6" s="50" t="inlineStr">
        <x:is>
          <x:t xml:space="preserve">2024</x:t>
        </x:is>
      </x:c>
      <x:c r="J6" s="47" t="inlineStr">
        <x:is>
          <x:t xml:space="preserve">10.1038/s41588-022-01243-4</x:t>
        </x:is>
      </x:c>
      <x:c r="K6" s="50" t="inlineStr">
        <x:is>
          <x:t xml:space="preserve">36543915</x:t>
        </x:is>
      </x:c>
      <x:c r="L6" s="50" t="inlineStr">
        <x:is>
          <x:t xml:space="preserve">Homo sapiens</x:t>
        </x:is>
      </x:c>
      <x:c r="M6" s="51" t="inlineStr">
        <x:is>
          <x:t xml:space="preserve">L2:Myelinating Schwann cell/Non-myelinating Schwann cell | L4:Neuroendocrine cell</x:t>
        </x:is>
      </x:c>
      <x:c r="N6" s="46" t="inlineStr">
        <x:is>
          <x:t xml:space="preserve">bronchus</x:t>
        </x:is>
      </x:c>
      <x:c r="O6" s="46" t="inlineStr">
        <x:is>
          <x:t xml:space="preserve">10x 3' v2|10x 3' v3|10x 5' transcription profiling</x:t>
        </x:is>
      </x:c>
      <x:c r="P6" s="51" t="inlineStr">
        <x:is>
          <x:t xml:space="preserve">已核验</x:t>
        </x:is>
      </x:c>
      <x:c r="Q6" s="46" t="inlineStr">
        <x:is>
          <x:t xml:space="preserve">D:/OneDrive/Desktop/组/db/cellxgene/cellxgene_filtered/downloads/PMID_36543915_A spatially resolved atlas of the human lung characterizes a gland-associated immune niche..pdf</x:t>
        </x:is>
      </x:c>
      <x:c r="R6" s="45" t="inlineStr">
        <x:is>
          <x:t xml:space="preserve">DOI_10.1038_s41588-022-01243-4</x:t>
        </x:is>
      </x:c>
      <x:c r="S6" s="51" t="inlineStr">
        <x:is>
          <x:t xml:space="preserve">快速复核已录入</x:t>
        </x:is>
      </x:c>
      <x:c r="T6" s="46" t="inlineStr">
        <x:is>
          <x:t xml:space="preserve">快速复核录入16条：复用旧提取并抽样核对作者直接marker/注释语境</x:t>
        </x:is>
      </x:c>
      <x:c r="U6" s="61" t="n">
        <x:v>40</x:v>
      </x:c>
    </x:row>
    <x:row r="7" s="41" customFormat="1" ht="36" customHeight="1">
      <x:c r="A7" s="60" t="n">
        <x:v>6</x:v>
      </x:c>
      <x:c r="B7" s="50" t="inlineStr">
        <x:is>
          <x:t xml:space="preserve">是</x:t>
        </x:is>
      </x:c>
      <x:c r="C7" s="50" t="inlineStr">
        <x:is>
          <x:t xml:space="preserve">CellxGene当前任务</x:t>
        </x:is>
      </x:c>
      <x:c r="D7" s="50" t="inlineStr">
        <x:is>
          <x:t xml:space="preserve">CellxGene</x:t>
        </x:is>
      </x:c>
      <x:c r="E7" s="47" t="inlineStr">
        <x:is>
          <x:t xml:space="preserve">CELLxGENE:b61a921b-7fa3-4b42-b455-aaaf32447920</x:t>
        </x:is>
      </x:c>
      <x:c r="F7" s="47" t="inlineStr">
        <x:is>
          <x:t xml:space="preserve">4f30b962-d49b-4624-a233-64f048cf8632</x:t>
        </x:is>
      </x:c>
      <x:c r="G7" s="46" t="inlineStr">
        <x:is>
          <x:t xml:space="preserve">A Unique Cellular Organization of Human Distal Airways and Its Disarray in Chronic Obstructive Pulmonary Disease.</x:t>
        </x:is>
      </x:c>
      <x:c r="H7" s="46" t="inlineStr">
        <x:is>
          <x:t xml:space="preserve">人类远端气道的独特细胞组织及其在慢性阻塞性肺疾病中的紊乱</x:t>
        </x:is>
      </x:c>
      <x:c r="I7" s="50" t="inlineStr">
        <x:is>
          <x:t xml:space="preserve">2025</x:t>
        </x:is>
      </x:c>
      <x:c r="J7" s="47" t="inlineStr">
        <x:is>
          <x:t xml:space="preserve">10.1164/rccm.202207-1384oc</x:t>
        </x:is>
      </x:c>
      <x:c r="K7" s="50" t="inlineStr">
        <x:is>
          <x:t xml:space="preserve">36796082</x:t>
        </x:is>
      </x:c>
      <x:c r="L7" s="50" t="inlineStr">
        <x:is>
          <x:t xml:space="preserve">Homo sapiens</x:t>
        </x:is>
      </x:c>
      <x:c r="M7" s="51" t="inlineStr">
        <x:is>
          <x:t xml:space="preserve">L2:Schwann cell | L4:Pulmonary neuroendocrine cell</x:t>
        </x:is>
      </x:c>
      <x:c r="N7" s="46" t="inlineStr">
        <x:is>
          <x:t xml:space="preserve">bronchus</x:t>
        </x:is>
      </x:c>
      <x:c r="O7" s="46" t="inlineStr">
        <x:is>
          <x:t xml:space="preserve">10x 3' v2|10x 3' v3</x:t>
        </x:is>
      </x:c>
      <x:c r="P7" s="51" t="inlineStr">
        <x:is>
          <x:t xml:space="preserve">已核验</x:t>
        </x:is>
      </x:c>
      <x:c r="Q7" s="46" t="inlineStr">
        <x:is>
          <x:t xml:space="preserve">D:/OneDrive/Desktop/组/db/cellxgene/cellxgene_filtered/downloads/PMID_36796082_A Unique Cellular Organization of Human Distal Airways and Its Disarray in Chronic Obstructive Pulmonary Disease.pdf</x:t>
        </x:is>
      </x:c>
      <x:c r="R7" s="45" t="inlineStr">
        <x:is>
          <x:t xml:space="preserve">DOI_10.1164_rccm.202207-1384oc</x:t>
        </x:is>
      </x:c>
      <x:c r="S7" s="51" t="inlineStr">
        <x:is>
          <x:t xml:space="preserve">快速复核已录入</x:t>
        </x:is>
      </x:c>
      <x:c r="T7" s="46" t="inlineStr">
        <x:is>
          <x:t xml:space="preserve">官网直接下载；按用户要求未做正文复核；快速复核录入1条：复用旧提取并抽样核对作者直接marker/注释语境</x:t>
        </x:is>
      </x:c>
      <x:c r="U7" s="61" t="n">
        <x:v>41</x:v>
      </x:c>
    </x:row>
    <x:row r="8" s="41" customFormat="1" ht="36" customHeight="1">
      <x:c r="A8" s="60" t="n">
        <x:v>7</x:v>
      </x:c>
      <x:c r="B8" s="50" t="inlineStr">
        <x:is>
          <x:t xml:space="preserve">是</x:t>
        </x:is>
      </x:c>
      <x:c r="C8" s="50" t="inlineStr">
        <x:is>
          <x:t xml:space="preserve">CellxGene当前任务</x:t>
        </x:is>
      </x:c>
      <x:c r="D8" s="50" t="inlineStr">
        <x:is>
          <x:t xml:space="preserve">CellxGene</x:t>
        </x:is>
      </x:c>
      <x:c r="E8" s="47" t="inlineStr">
        <x:is>
          <x:t xml:space="preserve">CELLxGENE:edc8d3fe-153c-4e3d-8be0-2108d30f8d70</x:t>
        </x:is>
      </x:c>
      <x:c r="F8" s="47" t="inlineStr">
        <x:is>
          <x:t xml:space="preserve">03f821b4-87be-4ff4-b65a-b5fc00061da7</x:t>
        </x:is>
      </x:c>
      <x:c r="G8" s="46" t="inlineStr">
        <x:is>
          <x:t xml:space="preserve">Local and systemic responses to SARS-CoV-2 infection in children and adults.</x:t>
        </x:is>
      </x:c>
      <x:c r="H8" s="46" t="inlineStr">
        <x:is>
          <x:t xml:space="preserve">儿童和成人对SARS-CoV-2感染的局部及全身反应</x:t>
        </x:is>
      </x:c>
      <x:c r="I8" s="50" t="inlineStr">
        <x:is>
          <x:t xml:space="preserve">2022</x:t>
        </x:is>
      </x:c>
      <x:c r="J8" s="47" t="inlineStr">
        <x:is>
          <x:t xml:space="preserve">10.1038/s41586-021-04345-x</x:t>
        </x:is>
      </x:c>
      <x:c r="K8" s="50" t="inlineStr">
        <x:is>
          <x:t xml:space="preserve">34937051</x:t>
        </x:is>
      </x:c>
      <x:c r="L8" s="50" t="inlineStr">
        <x:is>
          <x:t xml:space="preserve">Homo sapiens</x:t>
        </x:is>
      </x:c>
      <x:c r="M8" s="51" t="inlineStr">
        <x:is>
          <x:t xml:space="preserve">L4:Neuroendocrine cell</x:t>
        </x:is>
      </x:c>
      <x:c r="N8" s="46" t="inlineStr">
        <x:is>
          <x:t xml:space="preserve">bronchus</x:t>
        </x:is>
      </x:c>
      <x:c r="O8" s="46" t="inlineStr">
        <x:is>
          <x:t xml:space="preserve">10x 5' v1|10x 5' v2</x:t>
        </x:is>
      </x:c>
      <x:c r="P8" s="51" t="inlineStr">
        <x:is>
          <x:t xml:space="preserve">已核验</x:t>
        </x:is>
      </x:c>
      <x:c r="Q8" s="46" t="inlineStr">
        <x:is>
          <x:t xml:space="preserve">D:/OneDrive/Desktop/组/db/cellxgene/cellxgene_filtered/downloads/PMID_34937051_Local and systemic responses to SARS-CoV-2 infection in children and adults..pdf</x:t>
        </x:is>
      </x:c>
      <x:c r="R8" s="45" t="inlineStr">
        <x:is>
          <x:t xml:space="preserve">DOI_10.1038_s41586-021-04345-x</x:t>
        </x:is>
      </x:c>
      <x:c r="S8" s="51" t="str">
        <x:v>新版机器提取完成，待人工复核</x:v>
      </x:c>
      <x:c r="T8" s="46" t="str">
        <x:v>v2 JSON 114 条候选（25 条形式候选），无 PNS marker；待人工复核。</x:v>
      </x:c>
      <x:c r="U8" s="61" t="n">
        <x:v>42</x:v>
      </x:c>
    </x:row>
    <x:row r="9" s="41" customFormat="1" ht="36" customHeight="1">
      <x:c r="A9" s="60" t="n">
        <x:v>8</x:v>
      </x:c>
      <x:c r="B9" s="50" t="inlineStr">
        <x:is>
          <x:t xml:space="preserve">是</x:t>
        </x:is>
      </x:c>
      <x:c r="C9" s="50" t="inlineStr">
        <x:is>
          <x:t xml:space="preserve">CellxGene当前任务</x:t>
        </x:is>
      </x:c>
      <x:c r="D9" s="50" t="inlineStr">
        <x:is>
          <x:t xml:space="preserve">CellxGene</x:t>
        </x:is>
      </x:c>
      <x:c r="E9" s="47" t="inlineStr">
        <x:is>
          <x:t xml:space="preserve">CELLxGENE:1ab4ebbc-18d6-4838-89c2-cdc5b10accfb</x:t>
        </x:is>
      </x:c>
      <x:c r="F9" s="47" t="inlineStr">
        <x:is>
          <x:t xml:space="preserve">54004c5c-af08-4693-a606-73871b6ef989</x:t>
        </x:is>
      </x:c>
      <x:c r="G9" s="46" t="inlineStr">
        <x:is>
          <x:t xml:space="preserve">Evidence for altered immune-structural cell crosstalk in cystic fibrosis revealed by single cell transcriptomics.</x:t>
        </x:is>
      </x:c>
      <x:c r="H9" s="46" t="inlineStr">
        <x:is>
          <x:t xml:space="preserve">囊性纤维化与健康对照活检</x:t>
        </x:is>
      </x:c>
      <x:c r="I9" s="50" t="inlineStr">
        <x:is>
          <x:t xml:space="preserve">2025</x:t>
        </x:is>
      </x:c>
      <x:c r="J9" s="47" t="inlineStr">
        <x:is>
          <x:t xml:space="preserve">10.1016/j.jcf.2025.01.016</x:t>
        </x:is>
      </x:c>
      <x:c r="K9" s="50" t="inlineStr">
        <x:is>
          <x:t xml:space="preserve">39947933</x:t>
        </x:is>
      </x:c>
      <x:c r="L9" s="50" t="inlineStr">
        <x:is>
          <x:t xml:space="preserve">Homo sapiens</x:t>
        </x:is>
      </x:c>
      <x:c r="M9" s="51" t="inlineStr">
        <x:is>
          <x:t xml:space="preserve">L4:Pulmonary neuroendocrine cell</x:t>
        </x:is>
      </x:c>
      <x:c r="N9" s="46" t="inlineStr">
        <x:is>
          <x:t xml:space="preserve">carina of trachea</x:t>
        </x:is>
      </x:c>
      <x:c r="O9" s="46" t="inlineStr">
        <x:is>
          <x:t xml:space="preserve">10x 3' v2|10x 3' v3</x:t>
        </x:is>
      </x:c>
      <x:c r="P9" s="51" t="inlineStr">
        <x:is>
          <x:t xml:space="preserve">已核验</x:t>
        </x:is>
      </x:c>
      <x:c r="Q9" s="46" t="inlineStr">
        <x:is>
          <x:t xml:space="preserve">D:/OneDrive/Desktop/组/db/cellxgene/cellxgene_filtered/downloads/DOI_10.1016_j.jcf.2025.01.016_Cystic Fibrosis and healthy control biopsy.pdf</x:t>
        </x:is>
      </x:c>
      <x:c r="R9" s="45" t="inlineStr">
        <x:is>
          <x:t xml:space="preserve">DOI_10.1016_j.jcf.2025.01.016</x:t>
        </x:is>
      </x:c>
      <x:c r="S9" s="51" t="str">
        <x:v>新版机器提取完成，待人工复核</x:v>
      </x:c>
      <x:c r="T9" s="46" t="str">
        <x:v>v2 JSON 5 条候选（2 条形式候选）；无正式 PNS marker。待人工复核。</x:v>
      </x:c>
      <x:c r="U9" s="61" t="n">
        <x:v>43</x:v>
      </x:c>
    </x:row>
    <x:row r="10" s="41" customFormat="1" ht="36" customHeight="1">
      <x:c r="A10" s="60" t="n">
        <x:v>9</x:v>
      </x:c>
      <x:c r="B10" s="50" t="inlineStr">
        <x:is>
          <x:t xml:space="preserve">是</x:t>
        </x:is>
      </x:c>
      <x:c r="C10" s="50" t="inlineStr">
        <x:is>
          <x:t xml:space="preserve">CellxGene当前任务</x:t>
        </x:is>
      </x:c>
      <x:c r="D10" s="50" t="inlineStr">
        <x:is>
          <x:t xml:space="preserve">CellxGene</x:t>
        </x:is>
      </x:c>
      <x:c r="E10" s="47" t="inlineStr">
        <x:is>
          <x:t xml:space="preserve">CELLxGENE:3dc61ca1-ce40-46b6-8337-f27260fd9a03</x:t>
        </x:is>
      </x:c>
      <x:c r="F10" s="47" t="inlineStr">
        <x:is>
          <x:t xml:space="preserve">2d2e2acd-dade-489f-a2da-6c11aa654028</x:t>
        </x:is>
      </x:c>
      <x:c r="G10" s="46" t="inlineStr">
        <x:is>
          <x:t xml:space="preserve">A human fetal lung cell atlas uncovers proximal-distal gradients of differentiation and key regulators of epithelial fates.</x:t>
        </x:is>
      </x:c>
      <x:c r="H10" s="46" t="inlineStr">
        <x:is>
          <x:t xml:space="preserve">人类胎儿肺细胞图谱揭示分化的近端-远端梯度及上皮命运的关键调控因子</x:t>
        </x:is>
      </x:c>
      <x:c r="I10" s="50" t="inlineStr">
        <x:is>
          <x:t xml:space="preserve">2022</x:t>
        </x:is>
      </x:c>
      <x:c r="J10" s="47" t="inlineStr">
        <x:is>
          <x:t xml:space="preserve">10.1016/j.cell.2022.11.005</x:t>
        </x:is>
      </x:c>
      <x:c r="K10" s="50" t="inlineStr">
        <x:is>
          <x:t xml:space="preserve">36493756</x:t>
        </x:is>
      </x:c>
      <x:c r="L10" s="50" t="inlineStr">
        <x:is>
          <x:t xml:space="preserve">Homo sapiens</x:t>
        </x:is>
      </x:c>
      <x:c r="M10" s="51" t="inlineStr">
        <x:is>
          <x:t xml:space="preserve">L2:Schwann cell/Schwann cell precursor/Immature Schwann cell | L4:Pulmonary neuroendocrine cell</x:t>
        </x:is>
      </x:c>
      <x:c r="N10" s="46" t="inlineStr">
        <x:is>
          <x:t xml:space="preserve">lung</x:t>
        </x:is>
      </x:c>
      <x:c r="O10" s="46" t="inlineStr">
        <x:is>
          <x:t xml:space="preserve">10x 5' v1</x:t>
        </x:is>
      </x:c>
      <x:c r="P10" s="51" t="inlineStr">
        <x:is>
          <x:t xml:space="preserve">已核验</x:t>
        </x:is>
      </x:c>
      <x:c r="Q10" s="46" t="inlineStr">
        <x:is>
          <x:t xml:space="preserve">D:/OneDrive/Desktop/组/db/cellxgene/cellxgene_filtered/downloads/PMID_36493756_A human fetal lung cell atlas uncovers proximal-distal gradients of differentiation and key regulato.pdf</x:t>
        </x:is>
      </x:c>
      <x:c r="R10" s="45" t="inlineStr">
        <x:is>
          <x:t xml:space="preserve">DOI_10.1016_j.cell.2022.11.005</x:t>
        </x:is>
      </x:c>
      <x:c r="S10" s="51" t="inlineStr">
        <x:is>
          <x:t xml:space="preserve">快速复核已录入</x:t>
        </x:is>
      </x:c>
      <x:c r="T10" s="46" t="inlineStr">
        <x:is>
          <x:t xml:space="preserve">旧结果不可复用：未找到可复用的旧复核 CSV；GLM预筛+Markdown定向复核录入4条；已剔除窗口误配</x:t>
        </x:is>
      </x:c>
      <x:c r="U10" s="61" t="n">
        <x:v>44</x:v>
      </x:c>
    </x:row>
    <x:row r="11" s="41" customFormat="1" ht="36" customHeight="1">
      <x:c r="A11" s="60" t="n">
        <x:v>10</x:v>
      </x:c>
      <x:c r="B11" s="50" t="inlineStr">
        <x:is>
          <x:t xml:space="preserve">是</x:t>
        </x:is>
      </x:c>
      <x:c r="C11" s="50" t="inlineStr">
        <x:is>
          <x:t xml:space="preserve">CellxGene当前任务</x:t>
        </x:is>
      </x:c>
      <x:c r="D11" s="50" t="inlineStr">
        <x:is>
          <x:t xml:space="preserve">CellxGene</x:t>
        </x:is>
      </x:c>
      <x:c r="E11" s="47" t="inlineStr">
        <x:is>
          <x:t xml:space="preserve">CELLxGENE:10c0c666-bd99-4a5c-b697-f1be835f5427</x:t>
        </x:is>
      </x:c>
      <x:c r="F11" s="47" t="inlineStr">
        <x:is>
          <x:t xml:space="preserve">e276e3e2-197a-4524-abd1-a753a48dc33a</x:t>
        </x:is>
      </x:c>
      <x:c r="G11" s="46" t="inlineStr">
        <x:is>
          <x:t xml:space="preserve">Human lung allografts experience persistent fibrogenic shift following acute cellular rejection.</x:t>
        </x:is>
      </x:c>
      <x:c r="H11" s="46" t="inlineStr">
        <x:is>
          <x:t xml:space="preserve">人肺同种异体移植物在急性细胞排斥后经历持续性纤维化转变</x:t>
        </x:is>
      </x:c>
      <x:c r="I11" s="50" t="inlineStr">
        <x:is>
          <x:t xml:space="preserve">2026</x:t>
        </x:is>
      </x:c>
      <x:c r="J11" s="47" t="inlineStr">
        <x:is>
          <x:t xml:space="preserve">10.1016/j.healun.2026.02.1666</x:t>
        </x:is>
      </x:c>
      <x:c r="K11" s="50" t="inlineStr">
        <x:is>
          <x:t xml:space="preserve">41740941</x:t>
        </x:is>
      </x:c>
      <x:c r="L11" s="50" t="inlineStr">
        <x:is>
          <x:t xml:space="preserve">Homo sapiens</x:t>
        </x:is>
      </x:c>
      <x:c r="M11" s="51" t="inlineStr">
        <x:is>
          <x:t xml:space="preserve">L4:Neuroendocrine cell</x:t>
        </x:is>
      </x:c>
      <x:c r="N11" s="46" t="inlineStr">
        <x:is>
          <x:t xml:space="preserve">lung</x:t>
        </x:is>
      </x:c>
      <x:c r="O11" s="46" t="inlineStr">
        <x:is>
          <x:t xml:space="preserve">10x 3' v3|10x 5' v1|10x 5' v2</x:t>
        </x:is>
      </x:c>
      <x:c r="P11" s="51" t="inlineStr">
        <x:is>
          <x:t xml:space="preserve">求助中：缺有效PDF</x:t>
        </x:is>
      </x:c>
      <x:c r="Q11" s="46" t="str"/>
      <x:c r="R11" s="45" t="inlineStr">
        <x:is>
          <x:t xml:space="preserve">DOI_10.1016_j.healun.2026.02.1666</x:t>
        </x:is>
      </x:c>
      <x:c r="S11" s="51" t="inlineStr">
        <x:is>
          <x:t xml:space="preserve">阻塞：缺有效PDF</x:t>
        </x:is>
      </x:c>
      <x:c r="T11" s="46" t="inlineStr">
        <x:is>
          <x:t xml:space="preserve">科研求助中</x:t>
        </x:is>
      </x:c>
      <x:c r="U11" s="61" t="n">
        <x:v>45</x:v>
      </x:c>
    </x:row>
    <x:row r="12" s="41" customFormat="1" ht="36" customHeight="1">
      <x:c r="A12" s="60" t="n">
        <x:v>11</x:v>
      </x:c>
      <x:c r="B12" s="50" t="inlineStr">
        <x:is>
          <x:t xml:space="preserve">是</x:t>
        </x:is>
      </x:c>
      <x:c r="C12" s="50" t="inlineStr">
        <x:is>
          <x:t xml:space="preserve">CellxGene当前任务</x:t>
        </x:is>
      </x:c>
      <x:c r="D12" s="50" t="inlineStr">
        <x:is>
          <x:t xml:space="preserve">CellxGene</x:t>
        </x:is>
      </x:c>
      <x:c r="E12" s="47" t="inlineStr">
        <x:is>
          <x:t xml:space="preserve">CELLxGENE:3de0ad6d-4378-4f62-b37b-ec0b75a50d94</x:t>
        </x:is>
      </x:c>
      <x:c r="F12" s="47" t="inlineStr">
        <x:is>
          <x:t xml:space="preserve">625f6bf4-2f33-4942-962e-35243d284837</x:t>
        </x:is>
      </x:c>
      <x:c r="G12" s="46" t="inlineStr">
        <x:is>
          <x:t xml:space="preserve">Single-cell multiomic profiling of human lungs reveals cell-type-specific and age-dynamic control of SARS-CoV2 host genes.</x:t>
        </x:is>
      </x:c>
      <x:c r="H12" s="46" t="inlineStr">
        <x:is>
          <x:t xml:space="preserve">LungMAP — 来自广泛年龄健康捐赠者群体的人类数据</x:t>
        </x:is>
      </x:c>
      <x:c r="I12" s="50" t="inlineStr">
        <x:is>
          <x:t xml:space="preserve">2021</x:t>
        </x:is>
      </x:c>
      <x:c r="J12" s="47" t="inlineStr">
        <x:is>
          <x:t xml:space="preserve">10.7554/elife.62522</x:t>
        </x:is>
      </x:c>
      <x:c r="K12" s="50" t="inlineStr">
        <x:is>
          <x:t xml:space="preserve">33164753</x:t>
        </x:is>
      </x:c>
      <x:c r="L12" s="50" t="inlineStr">
        <x:is>
          <x:t xml:space="preserve">Homo sapiens</x:t>
        </x:is>
      </x:c>
      <x:c r="M12" s="51" t="inlineStr">
        <x:is>
          <x:t xml:space="preserve">L4:Pulmonary neuroendocrine cell</x:t>
        </x:is>
      </x:c>
      <x:c r="N12" s="46" t="inlineStr">
        <x:is>
          <x:t xml:space="preserve">lung</x:t>
        </x:is>
      </x:c>
      <x:c r="O12" s="46" t="inlineStr">
        <x:is>
          <x:t xml:space="preserve">10x 3' v3</x:t>
        </x:is>
      </x:c>
      <x:c r="P12" s="51" t="inlineStr">
        <x:is>
          <x:t xml:space="preserve">已核验</x:t>
        </x:is>
      </x:c>
      <x:c r="Q12" s="46" t="inlineStr">
        <x:is>
          <x:t xml:space="preserve">D:/OneDrive/Desktop/组/db/cellxgene/cellxgene_filtered/downloads/PMID_33164753_Single-cell multiomic profiling of human lungs reveals cell-type-specific and age-dynamic control of.pdf</x:t>
        </x:is>
      </x:c>
      <x:c r="R12" s="45" t="inlineStr">
        <x:is>
          <x:t xml:space="preserve">DOI_10.7554_elife.62522</x:t>
        </x:is>
      </x:c>
      <x:c r="S12" s="51" t="str">
        <x:v>新版机器提取完成，待人工复核</x:v>
      </x:c>
      <x:c r="T12" s="46" t="str">
        <x:v>v2 JSON 4 条候选（均为上下文候选），无 PNS marker；待人工复核。</x:v>
      </x:c>
      <x:c r="U12" s="61" t="n">
        <x:v>46</x:v>
      </x:c>
    </x:row>
    <x:row r="13" s="41" customFormat="1" ht="36" customHeight="1">
      <x:c r="A13" s="60" t="n">
        <x:v>12</x:v>
      </x:c>
      <x:c r="B13" s="50" t="inlineStr">
        <x:is>
          <x:t xml:space="preserve">是</x:t>
        </x:is>
      </x:c>
      <x:c r="C13" s="50" t="inlineStr">
        <x:is>
          <x:t xml:space="preserve">CellxGene当前任务</x:t>
        </x:is>
      </x:c>
      <x:c r="D13" s="50" t="inlineStr">
        <x:is>
          <x:t xml:space="preserve">CellxGene</x:t>
        </x:is>
      </x:c>
      <x:c r="E13" s="47" t="inlineStr">
        <x:is>
          <x:t xml:space="preserve">CELLxGENE:781cc817-3fd0-487c-a55a-b47b2786a05d</x:t>
        </x:is>
      </x:c>
      <x:c r="F13" s="47" t="inlineStr">
        <x:is>
          <x:t xml:space="preserve">92db8a7e-8761-4317-873f-15606c016ce5</x:t>
        </x:is>
      </x:c>
      <x:c r="G13" s="46" t="inlineStr">
        <x:is>
          <x:t xml:space="preserve">A novel human fetal lung-derived alveolar organoid model reveals mechanisms of surfactant protein C maturation relevant to interstitial lung disease.</x:t>
        </x:is>
      </x:c>
      <x:c r="H13" s="46" t="inlineStr">
        <x:is>
          <x:t xml:space="preserve">一种新型人胎肺来源肺泡类器官模型揭示与间质性肺病相关的表面活性蛋白C成熟机制</x:t>
        </x:is>
      </x:c>
      <x:c r="I13" s="50" t="inlineStr">
        <x:is>
          <x:t xml:space="preserve">2025</x:t>
        </x:is>
      </x:c>
      <x:c r="J13" s="47" t="inlineStr">
        <x:is>
          <x:t xml:space="preserve">10.1038/s44318-024-00328-6</x:t>
        </x:is>
      </x:c>
      <x:c r="K13" s="50" t="inlineStr">
        <x:is>
          <x:t xml:space="preserve">39815007</x:t>
        </x:is>
      </x:c>
      <x:c r="L13" s="50" t="inlineStr">
        <x:is>
          <x:t xml:space="preserve">Homo sapiens</x:t>
        </x:is>
      </x:c>
      <x:c r="M13" s="51" t="inlineStr">
        <x:is>
          <x:t xml:space="preserve">L4:Pulmonary neuroendocrine cell</x:t>
        </x:is>
      </x:c>
      <x:c r="N13" s="46" t="inlineStr">
        <x:is>
          <x:t xml:space="preserve">lung</x:t>
        </x:is>
      </x:c>
      <x:c r="O13" s="46" t="inlineStr">
        <x:is>
          <x:t xml:space="preserve">10x 5' v1</x:t>
        </x:is>
      </x:c>
      <x:c r="P13" s="51" t="inlineStr">
        <x:is>
          <x:t xml:space="preserve">已核验</x:t>
        </x:is>
      </x:c>
      <x:c r="Q13" s="46" t="inlineStr">
        <x:is>
          <x:t xml:space="preserve">D:/OneDrive/Desktop/组/db/cellxgene/cellxgene_filtered/downloads/DOI_10.1038_s44318-024-00328-6_A novel human fetal lung-derived alveolar organoid model reveals mechanisms of surfactant protein C maturation relevant .pdf</x:t>
        </x:is>
      </x:c>
      <x:c r="R13" s="45" t="inlineStr">
        <x:is>
          <x:t xml:space="preserve">DOI_10.1038_s44318-024-00328-6</x:t>
        </x:is>
      </x:c>
      <x:c r="S13" s="51" t="inlineStr">
        <x:is>
          <x:t xml:space="preserve">快速复核已录入</x:t>
        </x:is>
      </x:c>
      <x:c r="T13" s="46" t="inlineStr">
        <x:is>
          <x:t xml:space="preserve">旧结果不可复用：旧结果存在已确认的论文映射污染，未复用；GLM预筛+Markdown定向复核录入3条；已剔除窗口误配</x:t>
        </x:is>
      </x:c>
      <x:c r="U13" s="61" t="n">
        <x:v>47</x:v>
      </x:c>
    </x:row>
    <x:row r="14" s="41" customFormat="1" ht="36" customHeight="1">
      <x:c r="A14" s="60" t="n">
        <x:v>13</x:v>
      </x:c>
      <x:c r="B14" s="50" t="inlineStr">
        <x:is>
          <x:t xml:space="preserve">是</x:t>
        </x:is>
      </x:c>
      <x:c r="C14" s="50" t="inlineStr">
        <x:is>
          <x:t xml:space="preserve">CellxGene当前任务</x:t>
        </x:is>
      </x:c>
      <x:c r="D14" s="50" t="inlineStr">
        <x:is>
          <x:t xml:space="preserve">CellxGene</x:t>
        </x:is>
      </x:c>
      <x:c r="E14" s="47" t="inlineStr">
        <x:is>
          <x:t xml:space="preserve">CELLxGENE:8dc858b0-b076-4326-94bb-7c2d1cd721a3</x:t>
        </x:is>
      </x:c>
      <x:c r="F14" s="47" t="inlineStr">
        <x:is>
          <x:t xml:space="preserve">ec329aed-22bc-4d6e-8935-8282dcb1acac</x:t>
        </x:is>
      </x:c>
      <x:c r="G14" s="46" t="inlineStr">
        <x:is>
          <x:t xml:space="preserve">Early human lung immune cell development and its role in epithelial cell fate.</x:t>
        </x:is>
      </x:c>
      <x:c r="H14" s="46" t="inlineStr">
        <x:is>
          <x:t xml:space="preserve">早期人类肺免疫细胞发育及其在上皮细胞命运中的作用</x:t>
        </x:is>
      </x:c>
      <x:c r="I14" s="50" t="inlineStr">
        <x:is>
          <x:t xml:space="preserve">2024</x:t>
        </x:is>
      </x:c>
      <x:c r="J14" s="47" t="inlineStr">
        <x:is>
          <x:t xml:space="preserve">10.1126/sciimmunol.adf9988</x:t>
        </x:is>
      </x:c>
      <x:c r="K14" s="50" t="inlineStr">
        <x:is>
          <x:t xml:space="preserve">38100545</x:t>
        </x:is>
      </x:c>
      <x:c r="L14" s="50" t="inlineStr">
        <x:is>
          <x:t xml:space="preserve">Homo sapiens</x:t>
        </x:is>
      </x:c>
      <x:c r="M14" s="51" t="inlineStr">
        <x:is>
          <x:t xml:space="preserve">L4:Pulmonary neuroendocrine cell</x:t>
        </x:is>
      </x:c>
      <x:c r="N14" s="46" t="inlineStr">
        <x:is>
          <x:t xml:space="preserve">lung</x:t>
        </x:is>
      </x:c>
      <x:c r="O14" s="46" t="inlineStr">
        <x:is>
          <x:t xml:space="preserve">10x 5' transcription profiling</x:t>
        </x:is>
      </x:c>
      <x:c r="P14" s="51" t="inlineStr">
        <x:is>
          <x:t xml:space="preserve">已核验</x:t>
        </x:is>
      </x:c>
      <x:c r="Q14" s="46" t="inlineStr">
        <x:is>
          <x:t xml:space="preserve">D:/OneDrive/Desktop/组/db/cellxgene/cellxgene_filtered/downloads/Early_human_lung_immune_cell_development_and_its_role_in_epithelial_cell_fate(科研通-ablesci.com) (1).pdf</x:t>
        </x:is>
      </x:c>
      <x:c r="R14" s="45" t="inlineStr">
        <x:is>
          <x:t xml:space="preserve">DOI_10.1126_sciimmunol.adf9988</x:t>
        </x:is>
      </x:c>
      <x:c r="S14" s="51" t="str">
        <x:v>新版机器提取完成，待人工复核</x:v>
      </x:c>
      <x:c r="T14" s="46" t="str">
        <x:v>v2 JSON 94 条候选（21 条形式候选）；无正式 PNS marker。待人工复核。</x:v>
      </x:c>
      <x:c r="U14" s="61" t="n">
        <x:v>48</x:v>
      </x:c>
    </x:row>
    <x:row r="15" s="41" customFormat="1" ht="36" customHeight="1">
      <x:c r="A15" s="60" t="n">
        <x:v>14</x:v>
      </x:c>
      <x:c r="B15" s="50" t="inlineStr">
        <x:is>
          <x:t xml:space="preserve">是</x:t>
        </x:is>
      </x:c>
      <x:c r="C15" s="50" t="inlineStr">
        <x:is>
          <x:t xml:space="preserve">CellxGene当前任务</x:t>
        </x:is>
      </x:c>
      <x:c r="D15" s="50" t="inlineStr">
        <x:is>
          <x:t xml:space="preserve">CellxGene</x:t>
        </x:is>
      </x:c>
      <x:c r="E15" s="47" t="inlineStr">
        <x:is>
          <x:t xml:space="preserve">CELLxGENE:9f222629-9e39-47d0-b83f-e08d610c7479</x:t>
        </x:is>
      </x:c>
      <x:c r="F15" s="47" t="inlineStr">
        <x:is>
          <x:t xml:space="preserve">6f6d381a-7701-4781-935c-db10d30de293</x:t>
        </x:is>
      </x:c>
      <x:c r="G15" s="46" t="inlineStr">
        <x:is>
          <x:t xml:space="preserve">An integrated cell atlas of the lung in health and disease.</x:t>
        </x:is>
      </x:c>
      <x:c r="H15" s="46" t="inlineStr">
        <x:is>
          <x:t xml:space="preserve">整合性人类肺细胞图谱</x:t>
        </x:is>
      </x:c>
      <x:c r="I15" s="50" t="inlineStr">
        <x:is>
          <x:t xml:space="preserve">2022</x:t>
        </x:is>
      </x:c>
      <x:c r="J15" s="47" t="inlineStr">
        <x:is>
          <x:t xml:space="preserve">10.1038/s41591-023-02327-2</x:t>
        </x:is>
      </x:c>
      <x:c r="K15" s="50" t="inlineStr">
        <x:is>
          <x:t xml:space="preserve">37291214</x:t>
        </x:is>
      </x:c>
      <x:c r="L15" s="50" t="inlineStr">
        <x:is>
          <x:t xml:space="preserve">Homo sapiens</x:t>
        </x:is>
      </x:c>
      <x:c r="M15" s="51" t="inlineStr">
        <x:is>
          <x:t xml:space="preserve">L4:Pulmonary neuroendocrine cell</x:t>
        </x:is>
      </x:c>
      <x:c r="N15" s="46" t="inlineStr">
        <x:is>
          <x:t xml:space="preserve">lung</x:t>
        </x:is>
      </x:c>
      <x:c r="O15" s="46" t="inlineStr">
        <x:is>
          <x:t xml:space="preserve">10x 3' v1|10x 3' v2|10x 3' v3|10x 5' transcription profiling|10x 5' v1|10x 5' v2|Drop-seq|Seq-Well</x:t>
        </x:is>
      </x:c>
      <x:c r="P15" s="51" t="inlineStr">
        <x:is>
          <x:t xml:space="preserve">已核验</x:t>
        </x:is>
      </x:c>
      <x:c r="Q15" s="46" t="inlineStr">
        <x:is>
          <x:t xml:space="preserve">D:/OneDrive/Desktop/组/db/cellxgene/cellxgene_filtered/downloads/PMID_37291214_An integrated cell atlas of the lung in health and disease..pdf</x:t>
        </x:is>
      </x:c>
      <x:c r="R15" s="45" t="inlineStr">
        <x:is>
          <x:t xml:space="preserve">DOI_10.1038_s41591-023-02327-2</x:t>
        </x:is>
      </x:c>
      <x:c r="S15" s="51" t="inlineStr">
        <x:is>
          <x:t xml:space="preserve">快速复核已录入</x:t>
        </x:is>
      </x:c>
      <x:c r="T15" s="46" t="inlineStr">
        <x:is>
          <x:t xml:space="preserve">快速复核录入1条：复用旧提取并抽样核对作者直接marker/注释语境</x:t>
        </x:is>
      </x:c>
      <x:c r="U15" s="61" t="n">
        <x:v>49</x:v>
      </x:c>
    </x:row>
    <x:row r="16" s="41" customFormat="1" ht="36" customHeight="1">
      <x:c r="A16" s="60" t="n">
        <x:v>15</x:v>
      </x:c>
      <x:c r="B16" s="50" t="inlineStr">
        <x:is>
          <x:t xml:space="preserve">是</x:t>
        </x:is>
      </x:c>
      <x:c r="C16" s="50" t="inlineStr">
        <x:is>
          <x:t xml:space="preserve">CellxGene当前任务</x:t>
        </x:is>
      </x:c>
      <x:c r="D16" s="50" t="inlineStr">
        <x:is>
          <x:t xml:space="preserve">CellxGene</x:t>
        </x:is>
      </x:c>
      <x:c r="E16" s="47" t="inlineStr">
        <x:is>
          <x:t xml:space="preserve">CELLxGENE:eb499fd8-7000-419f-8854-926b9b61b11f</x:t>
        </x:is>
      </x:c>
      <x:c r="F16" s="47" t="inlineStr">
        <x:is>
          <x:t xml:space="preserve">f86d6317-7215-409e-bfda-3f4ded3dadaa</x:t>
        </x:is>
      </x:c>
      <x:c r="G16" s="46" t="inlineStr">
        <x:is>
          <x:t xml:space="preserve">Guided construction of single cell reference for human and mouse lung.</x:t>
        </x:is>
      </x:c>
      <x:c r="H16" s="46" t="inlineStr">
        <x:is>
          <x:t xml:space="preserve">Human CellCards 多研究 CellRef 1.0 图谱</x:t>
        </x:is>
      </x:c>
      <x:c r="I16" s="50" t="inlineStr">
        <x:is>
          <x:t xml:space="preserve">2024</x:t>
        </x:is>
      </x:c>
      <x:c r="J16" s="47" t="inlineStr">
        <x:is>
          <x:t xml:space="preserve">10.1038/s41467-023-40173-5</x:t>
        </x:is>
      </x:c>
      <x:c r="K16" s="50" t="inlineStr">
        <x:is>
          <x:t xml:space="preserve">37516747</x:t>
        </x:is>
      </x:c>
      <x:c r="L16" s="50" t="inlineStr">
        <x:is>
          <x:t xml:space="preserve">Homo sapiens</x:t>
        </x:is>
      </x:c>
      <x:c r="M16" s="51" t="inlineStr">
        <x:is>
          <x:t xml:space="preserve">L4:Pulmonary neuroendocrine cell</x:t>
        </x:is>
      </x:c>
      <x:c r="N16" s="46" t="inlineStr">
        <x:is>
          <x:t xml:space="preserve">lung</x:t>
        </x:is>
      </x:c>
      <x:c r="O16" s="46" t="inlineStr">
        <x:is>
          <x:t xml:space="preserve">10x 3' v2|10x 3' v3|10x 5' v1</x:t>
        </x:is>
      </x:c>
      <x:c r="P16" s="51" t="inlineStr">
        <x:is>
          <x:t xml:space="preserve">已核验</x:t>
        </x:is>
      </x:c>
      <x:c r="Q16" s="46" t="inlineStr">
        <x:is>
          <x:t xml:space="preserve">D:/OneDrive/Desktop/组/db/cellxgene/cellxgene_filtered/downloads/PMID_37516747_Guided construction of single cell reference for human and mouse lung..pdf</x:t>
        </x:is>
      </x:c>
      <x:c r="R16" s="45" t="inlineStr">
        <x:is>
          <x:t xml:space="preserve">DOI_10.1038_s41467-023-40173-5</x:t>
        </x:is>
      </x:c>
      <x:c r="S16" s="51" t="str">
        <x:v>新版机器提取完成，待人工复核</x:v>
      </x:c>
      <x:c r="T16" s="46" t="str">
        <x:v>v2 JSON 50 条候选（12 条形式候选），无 PNS marker；待人工复核。</x:v>
      </x:c>
      <x:c r="U16" s="61" t="n">
        <x:v>50</x:v>
      </x:c>
    </x:row>
    <x:row r="17" s="41" customFormat="1" ht="36" customHeight="1">
      <x:c r="A17" s="60" t="n">
        <x:v>16</x:v>
      </x:c>
      <x:c r="B17" s="50" t="inlineStr">
        <x:is>
          <x:t xml:space="preserve">是</x:t>
        </x:is>
      </x:c>
      <x:c r="C17" s="50" t="inlineStr">
        <x:is>
          <x:t xml:space="preserve">CellxGene当前任务</x:t>
        </x:is>
      </x:c>
      <x:c r="D17" s="50" t="inlineStr">
        <x:is>
          <x:t xml:space="preserve">CellxGene</x:t>
        </x:is>
      </x:c>
      <x:c r="E17" s="47" t="inlineStr">
        <x:is>
          <x:t xml:space="preserve">CELLxGENE:f14bc322-1322-4184-8d16-409557525ea5</x:t>
        </x:is>
      </x:c>
      <x:c r="F17" s="47" t="inlineStr">
        <x:is>
          <x:t xml:space="preserve">07e12576-b41b-4350-adfc-059bfc4328ea</x:t>
        </x:is>
      </x:c>
      <x:c r="G17" s="46" t="inlineStr">
        <x:is>
          <x:t xml:space="preserve">Cell-type-specific and disease-associated expression quantitative trait loci in the human lung.</x:t>
        </x:is>
      </x:c>
      <x:c r="H17" s="46" t="inlineStr">
        <x:is>
          <x:t xml:space="preserve">间质性肺病(ILD)亚型的单细胞RNA-seq分析</x:t>
        </x:is>
      </x:c>
      <x:c r="I17" s="50" t="inlineStr">
        <x:is>
          <x:t xml:space="preserve">2025</x:t>
        </x:is>
      </x:c>
      <x:c r="J17" s="47" t="inlineStr">
        <x:is>
          <x:t xml:space="preserve">10.1038/s41588-024-01702-0</x:t>
        </x:is>
      </x:c>
      <x:c r="K17" s="50" t="inlineStr">
        <x:is>
          <x:t xml:space="preserve">38548990</x:t>
        </x:is>
      </x:c>
      <x:c r="L17" s="50" t="inlineStr">
        <x:is>
          <x:t xml:space="preserve">Homo sapiens</x:t>
        </x:is>
      </x:c>
      <x:c r="M17" s="51" t="inlineStr">
        <x:is>
          <x:t xml:space="preserve">L4:Pulmonary neuroendocrine cell</x:t>
        </x:is>
      </x:c>
      <x:c r="N17" s="46" t="inlineStr">
        <x:is>
          <x:t xml:space="preserve">lung</x:t>
        </x:is>
      </x:c>
      <x:c r="O17" s="46" t="inlineStr">
        <x:is>
          <x:t xml:space="preserve">10x 5' v1|10x 5' v2</x:t>
        </x:is>
      </x:c>
      <x:c r="P17" s="51" t="inlineStr">
        <x:is>
          <x:t xml:space="preserve">已核验</x:t>
        </x:is>
      </x:c>
      <x:c r="Q17" s="46" t="inlineStr">
        <x:is>
          <x:t xml:space="preserve">D:/OneDrive/Desktop/组/db/cellxgene/cellxgene_filtered/downloads/PMID_38548990_Cell-type-specific and disease-associated expression quantitative trait loci in the human lung..pdf</x:t>
        </x:is>
      </x:c>
      <x:c r="R17" s="45" t="inlineStr">
        <x:is>
          <x:t xml:space="preserve">DOI_10.1038_s41588-024-01702-0</x:t>
        </x:is>
      </x:c>
      <x:c r="S17" s="51" t="str">
        <x:v>新版机器提取完成，待人工复核</x:v>
      </x:c>
      <x:c r="T17" s="46" t="str">
        <x:v>v2 JSON 19 条候选（19 条形式候选）；无正式 PNS marker。待人工复核。</x:v>
      </x:c>
      <x:c r="U17" s="61" t="n">
        <x:v>51</x:v>
      </x:c>
    </x:row>
    <x:row r="18" s="41" customFormat="1" ht="36" customHeight="1">
      <x:c r="A18" s="60" t="n">
        <x:v>17</x:v>
      </x:c>
      <x:c r="B18" s="50" t="inlineStr">
        <x:is>
          <x:t xml:space="preserve">是</x:t>
        </x:is>
      </x:c>
      <x:c r="C18" s="50" t="inlineStr">
        <x:is>
          <x:t xml:space="preserve">CellxGene当前任务</x:t>
        </x:is>
      </x:c>
      <x:c r="D18" s="50" t="inlineStr">
        <x:is>
          <x:t xml:space="preserve">CellxGene</x:t>
        </x:is>
      </x:c>
      <x:c r="E18" s="47" t="inlineStr">
        <x:is>
          <x:t xml:space="preserve">CELLxGENE:d8da613f-e681-4c69-b463-e94f5e66847f</x:t>
        </x:is>
      </x:c>
      <x:c r="F18" s="47" t="inlineStr">
        <x:is>
          <x:t xml:space="preserve">e4c9ed14-e560-4900-a3bf-b0f8d2ce6a10</x:t>
        </x:is>
      </x:c>
      <x:c r="G18" s="46" t="inlineStr">
        <x:is>
          <x:t xml:space="preserve">A molecular single-cell lung atlas of lethal COVID-19.</x:t>
        </x:is>
      </x:c>
      <x:c r="H18" s="46" t="inlineStr">
        <x:is>
          <x:t xml:space="preserve">致死性COVID-19的分子单细胞肺图谱</x:t>
        </x:is>
      </x:c>
      <x:c r="I18" s="50" t="inlineStr">
        <x:is>
          <x:t xml:space="preserve">2023</x:t>
        </x:is>
      </x:c>
      <x:c r="J18" s="47" t="inlineStr">
        <x:is>
          <x:t xml:space="preserve">10.1038/s41586-021-03569-1</x:t>
        </x:is>
      </x:c>
      <x:c r="K18" s="50" t="inlineStr">
        <x:is>
          <x:t xml:space="preserve">33915568</x:t>
        </x:is>
      </x:c>
      <x:c r="L18" s="50" t="inlineStr">
        <x:is>
          <x:t xml:space="preserve">Homo sapiens</x:t>
        </x:is>
      </x:c>
      <x:c r="M18" s="51" t="inlineStr">
        <x:is>
          <x:t xml:space="preserve">—</x:t>
        </x:is>
      </x:c>
      <x:c r="N18" s="46" t="inlineStr">
        <x:is>
          <x:t xml:space="preserve">lung</x:t>
        </x:is>
      </x:c>
      <x:c r="O18" s="46" t="inlineStr">
        <x:is>
          <x:t xml:space="preserve">10x 3' v3</x:t>
        </x:is>
      </x:c>
      <x:c r="P18" s="51" t="inlineStr">
        <x:is>
          <x:t xml:space="preserve">已核验</x:t>
        </x:is>
      </x:c>
      <x:c r="Q18" s="46" t="inlineStr">
        <x:is>
          <x:t xml:space="preserve">D:/OneDrive/Desktop/组/db/cellxgene/cellxgene_filtered/downloads/PMID_33915568_A molecular single-cell lung atlas of lethal COVID-19..pdf</x:t>
        </x:is>
      </x:c>
      <x:c r="R18" s="45" t="inlineStr">
        <x:is>
          <x:t xml:space="preserve">DOI_10.1038_s41586-021-03569-1</x:t>
        </x:is>
      </x:c>
      <x:c r="S18" s="51" t="str">
        <x:v>需补证据/重提取</x:v>
      </x:c>
      <x:c r="T18" s="46" t="str">
        <x:v>Markdown审核：未发现PNS、PNEC、Schwann或可追溯PNS marker证据；旧结果不采信，需新版重提取或确认无正式PNS marker。</x:v>
      </x:c>
      <x:c r="U18" s="61" t="n">
        <x:v>52</x:v>
      </x:c>
    </x:row>
    <x:row r="19" s="41" customFormat="1" ht="36" customHeight="1">
      <x:c r="A19" s="60" t="n">
        <x:v>18</x:v>
      </x:c>
      <x:c r="B19" s="50" t="inlineStr">
        <x:is>
          <x:t xml:space="preserve">是</x:t>
        </x:is>
      </x:c>
      <x:c r="C19" s="50" t="inlineStr">
        <x:is>
          <x:t xml:space="preserve">CellxGene当前任务</x:t>
        </x:is>
      </x:c>
      <x:c r="D19" s="50" t="inlineStr">
        <x:is>
          <x:t xml:space="preserve">CellxGene</x:t>
        </x:is>
      </x:c>
      <x:c r="E19" s="47" t="inlineStr">
        <x:is>
          <x:t xml:space="preserve">CELLxGENE:43a1506b-aa9e-46a3-b288-d210f4595ddf</x:t>
        </x:is>
      </x:c>
      <x:c r="F19" s="47" t="inlineStr">
        <x:is>
          <x:t xml:space="preserve">2d42fb2f-e635-466e-a2f4-9ea34f2e0feb</x:t>
        </x:is>
      </x:c>
      <x:c r="G19" s="46" t="inlineStr">
        <x:is>
          <x:t xml:space="preserve">Organoid modeling of human fetal lung alveolar development reveals mechanisms of cell fate patterning and neonatal respiratory disease.</x:t>
        </x:is>
      </x:c>
      <x:c r="H19" s="46" t="inlineStr">
        <x:is>
          <x:t xml:space="preserve">人胎肺肺泡发育的类器官模型揭示细胞命运模式化及新生儿呼吸疾病的机制</x:t>
        </x:is>
      </x:c>
      <x:c r="I19" s="50" t="inlineStr">
        <x:is>
          <x:t xml:space="preserve">2025</x:t>
        </x:is>
      </x:c>
      <x:c r="J19" s="47" t="inlineStr">
        <x:is>
          <x:t xml:space="preserve">10.1016/j.stem.2022.11.013</x:t>
        </x:is>
      </x:c>
      <x:c r="K19" s="50" t="inlineStr">
        <x:is>
          <x:t xml:space="preserve">36493780</x:t>
        </x:is>
      </x:c>
      <x:c r="L19" s="50" t="inlineStr">
        <x:is>
          <x:t xml:space="preserve">Homo sapiens</x:t>
        </x:is>
      </x:c>
      <x:c r="M19" s="51" t="inlineStr">
        <x:is>
          <x:t xml:space="preserve">L4:Pulmonary neuroendocrine cell</x:t>
        </x:is>
      </x:c>
      <x:c r="N19" s="46" t="inlineStr">
        <x:is>
          <x:t xml:space="preserve">lung epithelium</x:t>
        </x:is>
      </x:c>
      <x:c r="O19" s="46" t="inlineStr">
        <x:is>
          <x:t xml:space="preserve">10x 5' v1</x:t>
        </x:is>
      </x:c>
      <x:c r="P19" s="51" t="inlineStr">
        <x:is>
          <x:t xml:space="preserve">已核验</x:t>
        </x:is>
      </x:c>
      <x:c r="Q19" s="46" t="inlineStr">
        <x:is>
          <x:t xml:space="preserve">D:/OneDrive/Desktop/组/db/cellxgene/cellxgene_filtered/downloads/PMID_36493780_Organoid modeling of human fetal lung alveolar development reveals mechanisms of cell fate patternin.pdf</x:t>
        </x:is>
      </x:c>
      <x:c r="R19" s="45" t="inlineStr">
        <x:is>
          <x:t xml:space="preserve">DOI_10.1016_j.stem.2022.11.013</x:t>
        </x:is>
      </x:c>
      <x:c r="S19" s="51" t="str">
        <x:v>新版机器提取完成，待人工复核</x:v>
      </x:c>
      <x:c r="T19" s="46" t="str">
        <x:v>v2 JSON 88 条候选（32 条形式候选）；无正式 PNS marker。待人工复核。</x:v>
      </x:c>
      <x:c r="U19" s="61" t="n">
        <x:v>53</x:v>
      </x:c>
    </x:row>
    <x:row r="20" s="41" customFormat="1" ht="36" customHeight="1">
      <x:c r="A20" s="60" t="n">
        <x:v>19</x:v>
      </x:c>
      <x:c r="B20" s="50" t="inlineStr">
        <x:is>
          <x:t xml:space="preserve">是</x:t>
        </x:is>
      </x:c>
      <x:c r="C20" s="50" t="inlineStr">
        <x:is>
          <x:t xml:space="preserve">CellxGene当前任务</x:t>
        </x:is>
      </x:c>
      <x:c r="D20" s="50" t="inlineStr">
        <x:is>
          <x:t xml:space="preserve">CellxGene</x:t>
        </x:is>
      </x:c>
      <x:c r="E20" s="47" t="inlineStr">
        <x:is>
          <x:t xml:space="preserve">CELLxGENE:d68a8b48-abf0-4bd5-8834-155d34ec448a</x:t>
        </x:is>
      </x:c>
      <x:c r="F20" s="47" t="inlineStr">
        <x:is>
          <x:t xml:space="preserve">3a5dbf8a-9b3e-4309-b4c5-d8a024f83734</x:t>
        </x:is>
      </x:c>
      <x:c r="G20" s="46" t="inlineStr">
        <x:is>
          <x:t xml:space="preserve">Bronchopulmonary Dysplasia</x:t>
        </x:is>
      </x:c>
      <x:c r="H20" s="46" t="inlineStr">
        <x:is>
          <x:t xml:space="preserve">支气管肺发育不良</x:t>
        </x:is>
      </x:c>
      <x:c r="I20" s="50" t="inlineStr">
        <x:is>
          <x:t xml:space="preserve">2025</x:t>
        </x:is>
      </x:c>
      <x:c r="J20" s="47" t="str"/>
      <x:c r="K20" s="50" t="str"/>
      <x:c r="L20" s="50" t="inlineStr">
        <x:is>
          <x:t xml:space="preserve">Homo sapiens</x:t>
        </x:is>
      </x:c>
      <x:c r="M20" s="51" t="inlineStr">
        <x:is>
          <x:t xml:space="preserve">L4:Pulmonary neuroendocrine cell</x:t>
        </x:is>
      </x:c>
      <x:c r="N20" s="46" t="inlineStr">
        <x:is>
          <x:t xml:space="preserve">middle lobe of right lung</x:t>
        </x:is>
      </x:c>
      <x:c r="O20" s="46" t="inlineStr">
        <x:is>
          <x:t xml:space="preserve">10x 3' v3</x:t>
        </x:is>
      </x:c>
      <x:c r="P20" s="51" t="inlineStr">
        <x:is>
          <x:t xml:space="preserve">缺有效PDF</x:t>
        </x:is>
      </x:c>
      <x:c r="Q20" s="46" t="str"/>
      <x:c r="R20" s="45" t="inlineStr">
        <x:is>
          <x:t xml:space="preserve">TITLE_bronchopulmonary_dysplasia</x:t>
        </x:is>
      </x:c>
      <x:c r="S20" s="51" t="inlineStr">
        <x:is>
          <x:t xml:space="preserve">阻塞：缺有效PDF</x:t>
        </x:is>
      </x:c>
      <x:c r="T20" s="46" t="inlineStr">
        <x:is>
          <x:t xml:space="preserve">登记未提供 DOI/PMID，需先锁定论文身份</x:t>
        </x:is>
      </x:c>
      <x:c r="U20" s="61" t="n">
        <x:v>54</x:v>
      </x:c>
    </x:row>
    <x:row r="21" s="41" customFormat="1" ht="36" customHeight="1">
      <x:c r="A21" s="60" t="n">
        <x:v>20</x:v>
      </x:c>
      <x:c r="B21" s="50" t="inlineStr">
        <x:is>
          <x:t xml:space="preserve">是</x:t>
        </x:is>
      </x:c>
      <x:c r="C21" s="50" t="inlineStr">
        <x:is>
          <x:t xml:space="preserve">CellxGene当前任务</x:t>
        </x:is>
      </x:c>
      <x:c r="D21" s="50" t="inlineStr">
        <x:is>
          <x:t xml:space="preserve">CellxGene</x:t>
        </x:is>
      </x:c>
      <x:c r="E21" s="47" t="inlineStr">
        <x:is>
          <x:t xml:space="preserve">CELLxGENE:13b61a7d-5605-4948-ba48-02c588960143</x:t>
        </x:is>
      </x:c>
      <x:c r="F21" s="47" t="inlineStr">
        <x:is>
          <x:t xml:space="preserve">35d0b748-3eed-43a5-a1c4-1dade5ec5ca0</x:t>
        </x:is>
      </x:c>
      <x:c r="G21" s="46" t="inlineStr">
        <x:is>
          <x:t xml:space="preserve">Impaired local intrinsic immunity to SARS-CoV-2 infection in severe COVID-19.</x:t>
        </x:is>
      </x:c>
      <x:c r="H21" s="46" t="inlineStr">
        <x:is>
          <x:t xml:space="preserve">重症COVID-19中SARS-CoV-2感染时局部固有免疫受损</x:t>
        </x:is>
      </x:c>
      <x:c r="I21" s="50" t="inlineStr">
        <x:is>
          <x:t xml:space="preserve">2022</x:t>
        </x:is>
      </x:c>
      <x:c r="J21" s="47" t="inlineStr">
        <x:is>
          <x:t xml:space="preserve">10.1016/j.cell.2021.07.023</x:t>
        </x:is>
      </x:c>
      <x:c r="K21" s="50" t="inlineStr">
        <x:is>
          <x:t xml:space="preserve">34352228</x:t>
        </x:is>
      </x:c>
      <x:c r="L21" s="50" t="inlineStr">
        <x:is>
          <x:t xml:space="preserve">Homo sapiens</x:t>
        </x:is>
      </x:c>
      <x:c r="M21" s="51" t="inlineStr">
        <x:is>
          <x:t xml:space="preserve">L4:Enteroendocrine cell</x:t>
        </x:is>
      </x:c>
      <x:c r="N21" s="46" t="inlineStr">
        <x:is>
          <x:t xml:space="preserve">nasopharynx</x:t>
        </x:is>
      </x:c>
      <x:c r="O21" s="46" t="inlineStr">
        <x:is>
          <x:t xml:space="preserve">Seq-Well S3</x:t>
        </x:is>
      </x:c>
      <x:c r="P21" s="51" t="inlineStr">
        <x:is>
          <x:t xml:space="preserve">已核验</x:t>
        </x:is>
      </x:c>
      <x:c r="Q21" s="46" t="inlineStr">
        <x:is>
          <x:t xml:space="preserve">D:/OneDrive/Desktop/组/db/cellxgene/cellxgene_filtered/downloads/PMID_34352228_Impaired local intrinsic immunity to SARS-CoV-2 infection in severe COVID-19..pdf</x:t>
        </x:is>
      </x:c>
      <x:c r="R21" s="45" t="inlineStr">
        <x:is>
          <x:t xml:space="preserve">DOI_10.1016_j.cell.2021.07.023</x:t>
        </x:is>
      </x:c>
      <x:c r="S21" s="51" t="str">
        <x:v>需补证据/重提取</x:v>
      </x:c>
      <x:c r="T21" s="46" t="str">
        <x:v>Markdown审核：未发现可追溯PNS marker证据；旧review CSV的候选全部is_pns_cell=false，不录入正式PNS marker。</x:v>
      </x:c>
      <x:c r="U21" s="61" t="n">
        <x:v>55</x:v>
      </x:c>
    </x:row>
    <x:row r="22" s="41" customFormat="1" ht="36" customHeight="1">
      <x:c r="A22" s="60" t="n">
        <x:v>21</x:v>
      </x:c>
      <x:c r="B22" s="50" t="inlineStr">
        <x:is>
          <x:t xml:space="preserve">是</x:t>
        </x:is>
      </x:c>
      <x:c r="C22" s="50" t="inlineStr">
        <x:is>
          <x:t xml:space="preserve">CellxGene当前任务</x:t>
        </x:is>
      </x:c>
      <x:c r="D22" s="50" t="inlineStr">
        <x:is>
          <x:t xml:space="preserve">CellxGene</x:t>
        </x:is>
      </x:c>
      <x:c r="E22" s="47" t="inlineStr">
        <x:is>
          <x:t xml:space="preserve">CELLxGENE:fb5eeccf-3c2a-473c-b6e3-7a1dda18d42d</x:t>
        </x:is>
      </x:c>
      <x:c r="F22" s="47" t="inlineStr">
        <x:is>
          <x:t xml:space="preserve">afd343f4-bb60-4632-9902-73a4a1ff1557</x:t>
        </x:is>
      </x:c>
      <x:c r="G22" s="46" t="inlineStr">
        <x:is>
          <x:t xml:space="preserve">A poly(A) isoform–aware single-cell and spatial atlas defines fibroblast niches in the human bladder</x:t>
        </x:is>
      </x:c>
      <x:c r="H22" s="46" t="inlineStr">
        <x:is>
          <x:t xml:space="preserve">一种多聚腺苷酸异构体感知的单细胞与空间图谱定义了人类膀胱中的成纤维细胞微环境</x:t>
        </x:is>
      </x:c>
      <x:c r="I22" s="50" t="inlineStr">
        <x:is>
          <x:t xml:space="preserve">2026</x:t>
        </x:is>
      </x:c>
      <x:c r="J22" s="47" t="inlineStr">
        <x:is>
          <x:t xml:space="preserve">10.64898/2025.12.18.695268</x:t>
        </x:is>
      </x:c>
      <x:c r="K22" s="50" t="str"/>
      <x:c r="L22" s="50" t="inlineStr">
        <x:is>
          <x:t xml:space="preserve">Homo sapiens</x:t>
        </x:is>
      </x:c>
      <x:c r="M22" s="51" t="inlineStr">
        <x:is>
          <x:t xml:space="preserve">L2:Schwann cell</x:t>
        </x:is>
      </x:c>
      <x:c r="N22" s="46" t="inlineStr">
        <x:is>
          <x:t xml:space="preserve">dome of urinary bladder</x:t>
        </x:is>
      </x:c>
      <x:c r="O22" s="46" t="inlineStr">
        <x:is>
          <x:t xml:space="preserve">10x 3' v3</x:t>
        </x:is>
      </x:c>
      <x:c r="P22" s="51" t="inlineStr">
        <x:is>
          <x:t xml:space="preserve">已核验</x:t>
        </x:is>
      </x:c>
      <x:c r="Q22" s="46" t="inlineStr">
        <x:is>
          <x:t xml:space="preserve">D:/OneDrive/Desktop/组/db/cellxgene/cellxgene_filtered/downloads/DOI_10.64898_2025.12.18.695268_A poly(A) isoform–aware single-cell and spatial atlas defines fibroblast niches in the human bladder.pdf</x:t>
        </x:is>
      </x:c>
      <x:c r="R22" s="45" t="inlineStr">
        <x:is>
          <x:t xml:space="preserve">DOI_10.64898_2025.12.18.695268</x:t>
        </x:is>
      </x:c>
      <x:c r="S22" s="51" t="inlineStr">
        <x:is>
          <x:t xml:space="preserve">快速复核已录入</x:t>
        </x:is>
      </x:c>
      <x:c r="T22" s="46" t="inlineStr">
        <x:is>
          <x:t xml:space="preserve">旧结果不可复用：未找到可复用的旧复核 CSV；GLM预筛+Markdown定向复核录入2条；已剔除窗口误配</x:t>
        </x:is>
      </x:c>
      <x:c r="U22" s="61" t="n">
        <x:v>56</x:v>
      </x:c>
    </x:row>
    <x:row r="23" s="41" customFormat="1" ht="36" customHeight="1">
      <x:c r="A23" s="60" t="n">
        <x:v>22</x:v>
      </x:c>
      <x:c r="B23" s="50" t="inlineStr">
        <x:is>
          <x:t xml:space="preserve">是</x:t>
        </x:is>
      </x:c>
      <x:c r="C23" s="50" t="inlineStr">
        <x:is>
          <x:t xml:space="preserve">CellxGene当前任务</x:t>
        </x:is>
      </x:c>
      <x:c r="D23" s="50" t="inlineStr">
        <x:is>
          <x:t xml:space="preserve">CellxGene</x:t>
        </x:is>
      </x:c>
      <x:c r="E23" s="47" t="inlineStr">
        <x:is>
          <x:t xml:space="preserve">CELLxGENE:d7dcfd8f-2ee7-4385-b9ac-e074c23ed190</x:t>
        </x:is>
      </x:c>
      <x:c r="F23" s="47" t="inlineStr">
        <x:is>
          <x:t xml:space="preserve">120e86b4-1195-48c5-845b-b98054105eec</x:t>
        </x:is>
      </x:c>
      <x:c r="G23" s="46" t="inlineStr">
        <x:is>
          <x:t xml:space="preserve">Spatiotemporal immune zonation of the human kidney.</x:t>
        </x:is>
      </x:c>
      <x:c r="H23" s="46" t="inlineStr">
        <x:is>
          <x:t xml:space="preserve">人肾脏的时空免疫分区</x:t>
        </x:is>
      </x:c>
      <x:c r="I23" s="50" t="inlineStr">
        <x:is>
          <x:t xml:space="preserve">2022</x:t>
        </x:is>
      </x:c>
      <x:c r="J23" s="47" t="inlineStr">
        <x:is>
          <x:t xml:space="preserve">10.1126/science.aat5031</x:t>
        </x:is>
      </x:c>
      <x:c r="K23" s="50" t="inlineStr">
        <x:is>
          <x:t xml:space="preserve">31604275</x:t>
        </x:is>
      </x:c>
      <x:c r="L23" s="50" t="inlineStr">
        <x:is>
          <x:t xml:space="preserve">Homo sapiens</x:t>
        </x:is>
      </x:c>
      <x:c r="M23" s="51" t="inlineStr">
        <x:is>
          <x:t xml:space="preserve">—</x:t>
        </x:is>
      </x:c>
      <x:c r="N23" s="46" t="inlineStr">
        <x:is>
          <x:t xml:space="preserve">kidney</x:t>
        </x:is>
      </x:c>
      <x:c r="O23" s="46" t="inlineStr">
        <x:is>
          <x:t xml:space="preserve">10x 3' v2</x:t>
        </x:is>
      </x:c>
      <x:c r="P23" s="51" t="inlineStr">
        <x:is>
          <x:t xml:space="preserve">已核验</x:t>
        </x:is>
      </x:c>
      <x:c r="Q23" s="46" t="inlineStr">
        <x:is>
          <x:t xml:space="preserve">D:/OneDrive/Desktop/组/db/cellxgene/cellxgene_filtered/downloads/PMID_31604275_Spatiotemporal immune zonation of the human kidney.pdf</x:t>
        </x:is>
      </x:c>
      <x:c r="R23" s="45" t="inlineStr">
        <x:is>
          <x:t xml:space="preserve">DOI_10.1126_science.aat5031</x:t>
        </x:is>
      </x:c>
      <x:c r="S23" s="51" t="str">
        <x:v>新版机器提取完成，待人工复核</x:v>
      </x:c>
      <x:c r="T23" s="46" t="str">
        <x:v>v2 JSON 43 条候选（4 条形式候选）；无正式 PNS marker。待人工复核。</x:v>
      </x:c>
      <x:c r="U23" s="61" t="n">
        <x:v>57</x:v>
      </x:c>
    </x:row>
    <x:row r="24" s="41" customFormat="1" ht="36" customHeight="1">
      <x:c r="A24" s="60" t="n">
        <x:v>23</x:v>
      </x:c>
      <x:c r="B24" s="50" t="inlineStr">
        <x:is>
          <x:t xml:space="preserve">是</x:t>
        </x:is>
      </x:c>
      <x:c r="C24" s="50" t="inlineStr">
        <x:is>
          <x:t xml:space="preserve">CellxGene当前任务</x:t>
        </x:is>
      </x:c>
      <x:c r="D24" s="50" t="inlineStr">
        <x:is>
          <x:t xml:space="preserve">CellxGene</x:t>
        </x:is>
      </x:c>
      <x:c r="E24" s="47" t="inlineStr">
        <x:is>
          <x:t xml:space="preserve">CELLxGENE:2dd9d7a2-4bee-4c3f-a1f5-89bc3271c4f0</x:t>
        </x:is>
      </x:c>
      <x:c r="F24" s="47" t="inlineStr">
        <x:is>
          <x:t xml:space="preserve">0e54d4de-44f0-4d50-8649-b5c2bbe8f5d1</x:t>
        </x:is>
      </x:c>
      <x:c r="G24" s="46" t="inlineStr">
        <x:is>
          <x:t xml:space="preserve">Exploring the utility of snRNA-seq in profiling human bladder tissue: A comprehensive comparison with scRNA-seq.</x:t>
        </x:is>
      </x:c>
      <x:c r="H24" s="46" t="inlineStr">
        <x:is>
          <x:t xml:space="preserve">探索snRNA-seq在人类膀胱组织分析中的效用：与scRNA-seq的全面比较</x:t>
        </x:is>
      </x:c>
      <x:c r="I24" s="50" t="inlineStr">
        <x:is>
          <x:t xml:space="preserve">2024</x:t>
        </x:is>
      </x:c>
      <x:c r="J24" s="47" t="inlineStr">
        <x:is>
          <x:t xml:space="preserve">10.1016/j.isci.2024.111628</x:t>
        </x:is>
      </x:c>
      <x:c r="K24" s="50" t="inlineStr">
        <x:is>
          <x:t xml:space="preserve">39850354</x:t>
        </x:is>
      </x:c>
      <x:c r="L24" s="50" t="inlineStr">
        <x:is>
          <x:t xml:space="preserve">Homo sapiens</x:t>
        </x:is>
      </x:c>
      <x:c r="M24" s="51" t="inlineStr">
        <x:is>
          <x:t xml:space="preserve">L2:Schwann cell</x:t>
        </x:is>
      </x:c>
      <x:c r="N24" s="46" t="inlineStr">
        <x:is>
          <x:t xml:space="preserve">urinary bladder</x:t>
        </x:is>
      </x:c>
      <x:c r="O24" s="46" t="inlineStr">
        <x:is>
          <x:t xml:space="preserve">10x 3' v3</x:t>
        </x:is>
      </x:c>
      <x:c r="P24" s="51" t="inlineStr">
        <x:is>
          <x:t xml:space="preserve">已核验</x:t>
        </x:is>
      </x:c>
      <x:c r="Q24" s="46" t="inlineStr">
        <x:is>
          <x:t xml:space="preserve">D:/OneDrive/Desktop/组/db/cellxgene/cellxgene_filtered/downloads/PMID_39850354_Exploring the utility of snRNA-seq in profiling human bladder tissue_ A comprehensive comparison wit.pdf</x:t>
        </x:is>
      </x:c>
      <x:c r="R24" s="45" t="inlineStr">
        <x:is>
          <x:t xml:space="preserve">DOI_10.1016_j.isci.2024.111628</x:t>
        </x:is>
      </x:c>
      <x:c r="S24" s="51" t="inlineStr">
        <x:is>
          <x:t xml:space="preserve">快速复核已录入</x:t>
        </x:is>
      </x:c>
      <x:c r="T24" s="46" t="inlineStr">
        <x:is>
          <x:t xml:space="preserve">快速复核录入2条：复用旧提取并抽样核对作者直接marker/注释语境</x:t>
        </x:is>
      </x:c>
      <x:c r="U24" s="61" t="n">
        <x:v>58</x:v>
      </x:c>
    </x:row>
    <x:row r="25" s="41" customFormat="1" ht="36" customHeight="1">
      <x:c r="A25" s="60" t="n">
        <x:v>24</x:v>
      </x:c>
      <x:c r="B25" s="50" t="inlineStr">
        <x:is>
          <x:t xml:space="preserve">是</x:t>
        </x:is>
      </x:c>
      <x:c r="C25" s="50" t="inlineStr">
        <x:is>
          <x:t xml:space="preserve">CellxGene当前任务</x:t>
        </x:is>
      </x:c>
      <x:c r="D25" s="50" t="inlineStr">
        <x:is>
          <x:t xml:space="preserve">CellxGene</x:t>
        </x:is>
      </x:c>
      <x:c r="E25" s="47" t="inlineStr">
        <x:is>
          <x:t xml:space="preserve">CELLxGENE:8b2e5453-faf7-46ea-9073-aea69b283cb7</x:t>
        </x:is>
      </x:c>
      <x:c r="F25" s="47" t="inlineStr">
        <x:is>
          <x:t xml:space="preserve">fbc5881f-1ee3-4ffe-8095-35e15e1a08fc</x:t>
        </x:is>
      </x:c>
      <x:c r="G25" s="46" t="inlineStr">
        <x:is>
          <x:t xml:space="preserve">Urethral luminal epithelia are castration-insensitive cells of the proximal prostate.</x:t>
        </x:is>
      </x:c>
      <x:c r="H25" s="46" t="inlineStr">
        <x:is>
          <x:t xml:space="preserve">尿道腔上皮是前列腺近端的不受去势影响的细胞</x:t>
        </x:is>
      </x:c>
      <x:c r="I25" s="50" t="inlineStr">
        <x:is>
          <x:t xml:space="preserve">2021</x:t>
        </x:is>
      </x:c>
      <x:c r="J25" s="47" t="inlineStr">
        <x:is>
          <x:t xml:space="preserve">10.1002/pros.24020</x:t>
        </x:is>
      </x:c>
      <x:c r="K25" s="50" t="inlineStr">
        <x:is>
          <x:t xml:space="preserve">32497356</x:t>
        </x:is>
      </x:c>
      <x:c r="L25" s="50" t="inlineStr">
        <x:is>
          <x:t xml:space="preserve">Homo sapiens</x:t>
        </x:is>
      </x:c>
      <x:c r="M25" s="51" t="inlineStr">
        <x:is>
          <x:t xml:space="preserve">L4:Neuroendocrine cell</x:t>
        </x:is>
      </x:c>
      <x:c r="N25" s="46" t="inlineStr">
        <x:is>
          <x:t xml:space="preserve">peripheral zone of prostate</x:t>
        </x:is>
      </x:c>
      <x:c r="O25" s="46" t="inlineStr">
        <x:is>
          <x:t xml:space="preserve">10x 3' v2</x:t>
        </x:is>
      </x:c>
      <x:c r="P25" s="51" t="inlineStr">
        <x:is>
          <x:t xml:space="preserve">已核验</x:t>
        </x:is>
      </x:c>
      <x:c r="Q25" s="46" t="inlineStr">
        <x:is>
          <x:t xml:space="preserve">D:/OneDrive/Desktop/组/db/cellxgene/cellxgene_filtered/downloads/PMID_32497356_Urethral luminal epithelia are castration-insensitive cells of the proximal prostate.pdf</x:t>
        </x:is>
      </x:c>
      <x:c r="R25" s="45" t="inlineStr">
        <x:is>
          <x:t xml:space="preserve">DOI_10.1002_pros.24020</x:t>
        </x:is>
      </x:c>
      <x:c r="S25" s="51" t="inlineStr">
        <x:is>
          <x:t xml:space="preserve">快速复核已录入</x:t>
        </x:is>
      </x:c>
      <x:c r="T25" s="46" t="inlineStr">
        <x:is>
          <x:t xml:space="preserve">旧结果不可复用：未找到可复用的旧复核 CSV；GLM预筛+Markdown定向复核录入2条；已剔除窗口误配</x:t>
        </x:is>
      </x:c>
      <x:c r="U25" s="61" t="n">
        <x:v>59</x:v>
      </x:c>
    </x:row>
    <x:row r="26" s="41" customFormat="1" ht="36" customHeight="1">
      <x:c r="A26" s="60" t="n">
        <x:v>25</x:v>
      </x:c>
      <x:c r="B26" s="50" t="inlineStr">
        <x:is>
          <x:t xml:space="preserve">是</x:t>
        </x:is>
      </x:c>
      <x:c r="C26" s="50" t="inlineStr">
        <x:is>
          <x:t xml:space="preserve">CellxGene当前任务</x:t>
        </x:is>
      </x:c>
      <x:c r="D26" s="50" t="inlineStr">
        <x:is>
          <x:t xml:space="preserve">CellxGene</x:t>
        </x:is>
      </x:c>
      <x:c r="E26" s="47" t="inlineStr">
        <x:is>
          <x:t xml:space="preserve">CELLxGENE:c3fe3c1e-5bf8-4678-b74a-79899243ad41</x:t>
        </x:is>
      </x:c>
      <x:c r="F26" s="47" t="inlineStr">
        <x:is>
          <x:t xml:space="preserve">e2a4a67f-6a18-431a-ab9c-6e77dd31cc80</x:t>
        </x:is>
      </x:c>
      <x:c r="G26" s="46" t="inlineStr">
        <x:is>
          <x:t xml:space="preserve">A Cellular Anatomy of the Normal Adult Human Prostate and Prostatic Urethra.</x:t>
        </x:is>
      </x:c>
      <x:c r="H26" s="46" t="inlineStr">
        <x:is>
          <x:t xml:space="preserve">正常成人前列腺和前列腺尿道的细胞解剖学</x:t>
        </x:is>
      </x:c>
      <x:c r="I26" s="50" t="inlineStr">
        <x:is>
          <x:t xml:space="preserve">2021</x:t>
        </x:is>
      </x:c>
      <x:c r="J26" s="47" t="inlineStr">
        <x:is>
          <x:t xml:space="preserve">10.1016/j.celrep.2018.11.086</x:t>
        </x:is>
      </x:c>
      <x:c r="K26" s="50" t="inlineStr">
        <x:is>
          <x:t xml:space="preserve">30566875</x:t>
        </x:is>
      </x:c>
      <x:c r="L26" s="50" t="inlineStr">
        <x:is>
          <x:t xml:space="preserve">Homo sapiens</x:t>
        </x:is>
      </x:c>
      <x:c r="M26" s="51" t="inlineStr">
        <x:is>
          <x:t xml:space="preserve">L4:Neuroendocrine cell</x:t>
        </x:is>
      </x:c>
      <x:c r="N26" s="46" t="inlineStr">
        <x:is>
          <x:t xml:space="preserve">peripheral zone of prostate</x:t>
        </x:is>
      </x:c>
      <x:c r="O26" s="46" t="inlineStr">
        <x:is>
          <x:t xml:space="preserve">10x 3' v2</x:t>
        </x:is>
      </x:c>
      <x:c r="P26" s="51" t="inlineStr">
        <x:is>
          <x:t xml:space="preserve">已核验</x:t>
        </x:is>
      </x:c>
      <x:c r="Q26" s="46" t="inlineStr">
        <x:is>
          <x:t xml:space="preserve">D:/OneDrive/Desktop/组/db/cellxgene/cellxgene_filtered/downloads/PMID_30566875_A Cellular Anatomy of the Normal Adult Human Prostate and Prostatic Urethra..pdf</x:t>
        </x:is>
      </x:c>
      <x:c r="R26" s="45" t="inlineStr">
        <x:is>
          <x:t xml:space="preserve">DOI_10.1016_j.celrep.2018.11.086</x:t>
        </x:is>
      </x:c>
      <x:c r="S26" s="51" t="inlineStr">
        <x:is>
          <x:t xml:space="preserve">快速复核已录入</x:t>
        </x:is>
      </x:c>
      <x:c r="T26" s="46" t="inlineStr">
        <x:is>
          <x:t xml:space="preserve">快速复核录入2条：复用旧提取并抽样核对作者直接marker/注释语境</x:t>
        </x:is>
      </x:c>
      <x:c r="U26" s="61" t="n">
        <x:v>60</x:v>
      </x:c>
    </x:row>
    <x:row r="27" s="41" customFormat="1" ht="36" customHeight="1">
      <x:c r="A27" s="60" t="n">
        <x:v>26</x:v>
      </x:c>
      <x:c r="B27" s="50" t="inlineStr">
        <x:is>
          <x:t xml:space="preserve">是</x:t>
        </x:is>
      </x:c>
      <x:c r="C27" s="50" t="inlineStr">
        <x:is>
          <x:t xml:space="preserve">CellxGene当前任务</x:t>
        </x:is>
      </x:c>
      <x:c r="D27" s="50" t="inlineStr">
        <x:is>
          <x:t xml:space="preserve">CellxGene</x:t>
        </x:is>
      </x:c>
      <x:c r="E27" s="47" t="inlineStr">
        <x:is>
          <x:t xml:space="preserve">CELLxGENE:881e0e6b-a185-45f1-9b56-81606e91e7ff</x:t>
        </x:is>
      </x:c>
      <x:c r="F27" s="47" t="inlineStr">
        <x:is>
          <x:t xml:space="preserve">bdac7a53-fe34-4f04-8c46-f9bd5297c099</x:t>
        </x:is>
      </x:c>
      <x:c r="G27" s="46" t="inlineStr">
        <x:is>
          <x:t xml:space="preserve">Profiling of epithelial functional states and fibroblast phenotypes in hormone therapy-naïve localised prostate cancer</x:t>
        </x:is>
      </x:c>
      <x:c r="H27" s="46" t="inlineStr">
        <x:is>
          <x:t xml:space="preserve">激素治疗初治局限性前列腺癌中上皮功能状态与成纤维细胞表型的分析</x:t>
        </x:is>
      </x:c>
      <x:c r="I27" s="50" t="inlineStr">
        <x:is>
          <x:t xml:space="preserve">2025</x:t>
        </x:is>
      </x:c>
      <x:c r="J27" s="47" t="inlineStr">
        <x:is>
          <x:t xml:space="preserve">10.1101/2024.10.23.619925</x:t>
        </x:is>
      </x:c>
      <x:c r="K27" s="50" t="str"/>
      <x:c r="L27" s="50" t="inlineStr">
        <x:is>
          <x:t xml:space="preserve">Homo sapiens</x:t>
        </x:is>
      </x:c>
      <x:c r="M27" s="51" t="inlineStr">
        <x:is>
          <x:t xml:space="preserve">L2:Myelinating Schwann cell</x:t>
        </x:is>
      </x:c>
      <x:c r="N27" s="46" t="inlineStr">
        <x:is>
          <x:t xml:space="preserve">prostate gland</x:t>
        </x:is>
      </x:c>
      <x:c r="O27" s="46" t="inlineStr">
        <x:is>
          <x:t xml:space="preserve">10x 3' v3</x:t>
        </x:is>
      </x:c>
      <x:c r="P27" s="51" t="inlineStr">
        <x:is>
          <x:t xml:space="preserve">已核验</x:t>
        </x:is>
      </x:c>
      <x:c r="Q27" s="46" t="inlineStr">
        <x:is>
          <x:t xml:space="preserve">D:/OneDrive/Desktop/组/db/cellxgene/cellxgene_filtered/downloads/DOI_10.1101_2024.10.23.619925_Profiling of epithelial functional states and fibroblast phenotypes in hormone therapy-naïve localis.pdf</x:t>
        </x:is>
      </x:c>
      <x:c r="R27" s="45" t="inlineStr">
        <x:is>
          <x:t xml:space="preserve">DOI_10.1101_2024.10.23.619925</x:t>
        </x:is>
      </x:c>
      <x:c r="S27" s="51" t="inlineStr">
        <x:is>
          <x:t xml:space="preserve">快速复核已录入</x:t>
        </x:is>
      </x:c>
      <x:c r="T27" s="46" t="inlineStr">
        <x:is>
          <x:t xml:space="preserve">快速复核录入2条：复用旧提取并抽样核对作者直接marker/注释语境</x:t>
        </x:is>
      </x:c>
      <x:c r="U27" s="61" t="n">
        <x:v>61</x:v>
      </x:c>
    </x:row>
    <x:row r="28" s="41" customFormat="1" ht="36" customHeight="1">
      <x:c r="A28" s="60" t="n">
        <x:v>27</x:v>
      </x:c>
      <x:c r="B28" s="50" t="inlineStr">
        <x:is>
          <x:t xml:space="preserve">是</x:t>
        </x:is>
      </x:c>
      <x:c r="C28" s="50" t="inlineStr">
        <x:is>
          <x:t xml:space="preserve">CellxGene当前任务</x:t>
        </x:is>
      </x:c>
      <x:c r="D28" s="50" t="inlineStr">
        <x:is>
          <x:t xml:space="preserve">CellxGene</x:t>
        </x:is>
      </x:c>
      <x:c r="E28" s="47" t="inlineStr">
        <x:is>
          <x:t xml:space="preserve">CELLxGENE:e51bae9a-c747-4b64-904a-4da7cda218ab</x:t>
        </x:is>
      </x:c>
      <x:c r="F28" s="47" t="inlineStr">
        <x:is>
          <x:t xml:space="preserve">58e85c2f-d52e-4c19-8393-b854b84d516e</x:t>
        </x:is>
      </x:c>
      <x:c r="G28" s="46" t="inlineStr">
        <x:is>
          <x:t xml:space="preserve">Single-cell decoding of human islet cell type-specific alterations in type 2 diabetes reveals converging genetic- and state-driven β-cell gene expression defects</x:t>
        </x:is>
      </x:c>
      <x:c r="H28" s="46" t="inlineStr">
        <x:is>
          <x:t xml:space="preserve">来自48名非糖尿病、前驱糖尿病和2型糖尿病个体（具有匹配的人口统计学和种族背景）的胰岛scRNA-seq图谱</x:t>
        </x:is>
      </x:c>
      <x:c r="I28" s="50" t="inlineStr">
        <x:is>
          <x:t xml:space="preserve">2025</x:t>
        </x:is>
      </x:c>
      <x:c r="J28" s="47" t="inlineStr">
        <x:is>
          <x:t xml:space="preserve">10.1101/2025.01.17.633590</x:t>
        </x:is>
      </x:c>
      <x:c r="K28" s="50" t="str"/>
      <x:c r="L28" s="50" t="inlineStr">
        <x:is>
          <x:t xml:space="preserve">Homo sapiens</x:t>
        </x:is>
      </x:c>
      <x:c r="M28" s="51" t="inlineStr">
        <x:is>
          <x:t xml:space="preserve">L2:Schwann cell</x:t>
        </x:is>
      </x:c>
      <x:c r="N28" s="46" t="inlineStr">
        <x:is>
          <x:t xml:space="preserve">islet of Langerhans</x:t>
        </x:is>
      </x:c>
      <x:c r="O28" s="46" t="inlineStr">
        <x:is>
          <x:t xml:space="preserve">10x 3' v2|10x 3' v3</x:t>
        </x:is>
      </x:c>
      <x:c r="P28" s="51" t="inlineStr">
        <x:is>
          <x:t xml:space="preserve">已核验</x:t>
        </x:is>
      </x:c>
      <x:c r="Q28" s="46" t="inlineStr">
        <x:is>
          <x:t xml:space="preserve">D:/OneDrive/Desktop/组/db/cellxgene/cellxgene_filtered/downloads/DOI_10.1101_2025.01.17.633590_A pancreatic islet scRNA-seq atlas from 48 non-diabetic, prediabetic and type 2 diabetic individuals.pdf</x:t>
        </x:is>
      </x:c>
      <x:c r="R28" s="45" t="inlineStr">
        <x:is>
          <x:t xml:space="preserve">DOI_10.1101_2025.01.17.633590</x:t>
        </x:is>
      </x:c>
      <x:c r="S28" s="51" t="inlineStr">
        <x:is>
          <x:t xml:space="preserve">快速复核已录入</x:t>
        </x:is>
      </x:c>
      <x:c r="T28" s="46" t="inlineStr">
        <x:is>
          <x:t xml:space="preserve">快速复核录入1条：复用旧提取并抽样核对作者直接marker/注释语境</x:t>
        </x:is>
      </x:c>
      <x:c r="U28" s="61" t="n">
        <x:v>62</x:v>
      </x:c>
    </x:row>
    <x:row r="29" s="41" customFormat="1" ht="36" customHeight="1">
      <x:c r="A29" s="60" t="n">
        <x:v>28</x:v>
      </x:c>
      <x:c r="B29" s="50" t="inlineStr">
        <x:is>
          <x:t xml:space="preserve">是</x:t>
        </x:is>
      </x:c>
      <x:c r="C29" s="50" t="inlineStr">
        <x:is>
          <x:t xml:space="preserve">CellxGene当前任务</x:t>
        </x:is>
      </x:c>
      <x:c r="D29" s="50" t="inlineStr">
        <x:is>
          <x:t xml:space="preserve">CellxGene</x:t>
        </x:is>
      </x:c>
      <x:c r="E29" s="47" t="inlineStr">
        <x:is>
          <x:t xml:space="preserve">CELLxGENE:66d15835-5dc8-4e96-b0eb-f48971cb65e8</x:t>
        </x:is>
      </x:c>
      <x:c r="F29" s="47" t="inlineStr">
        <x:is>
          <x:t xml:space="preserve">a238e9fa-2bdf-41df-8522-69046f99baff</x:t>
        </x:is>
      </x:c>
      <x:c r="G29" s="46" t="inlineStr">
        <x:is>
          <x:t xml:space="preserve">Single-Cell Analysis of Human Pancreas Reveals Transcriptional Signatures of Aging and Somatic Mutation Patterns.</x:t>
        </x:is>
      </x:c>
      <x:c r="H29" s="46" t="inlineStr">
        <x:is>
          <x:t xml:space="preserve">人类胰腺单细胞分析揭示衰老的转录特征与体细胞突变模式</x:t>
        </x:is>
      </x:c>
      <x:c r="I29" s="50" t="inlineStr">
        <x:is>
          <x:t xml:space="preserve">2021</x:t>
        </x:is>
      </x:c>
      <x:c r="J29" s="47" t="inlineStr">
        <x:is>
          <x:t xml:space="preserve">10.1016/j.cell.2017.09.004</x:t>
        </x:is>
      </x:c>
      <x:c r="K29" s="50" t="inlineStr">
        <x:is>
          <x:t xml:space="preserve">28965763</x:t>
        </x:is>
      </x:c>
      <x:c r="L29" s="50" t="inlineStr">
        <x:is>
          <x:t xml:space="preserve">Homo sapiens</x:t>
        </x:is>
      </x:c>
      <x:c r="M29" s="51" t="inlineStr">
        <x:is>
          <x:t xml:space="preserve">L4:Type D enteroendocrine cell</x:t>
        </x:is>
      </x:c>
      <x:c r="N29" s="46" t="inlineStr">
        <x:is>
          <x:t xml:space="preserve">islet of Langerhans</x:t>
        </x:is>
      </x:c>
      <x:c r="O29" s="46" t="inlineStr">
        <x:is>
          <x:t xml:space="preserve">Smart-seq2</x:t>
        </x:is>
      </x:c>
      <x:c r="P29" s="51" t="inlineStr">
        <x:is>
          <x:t xml:space="preserve">已核验</x:t>
        </x:is>
      </x:c>
      <x:c r="Q29" s="46" t="inlineStr">
        <x:is>
          <x:t xml:space="preserve">D:/OneDrive/Desktop/组/db/cellxgene/cellxgene_filtered/downloads/PMID_28965763_Single-Cell Analysis of Human Pancreas Reveals Transcriptional Signatures of Aging and Somatic Mutat.pdf</x:t>
        </x:is>
      </x:c>
      <x:c r="R29" s="45" t="inlineStr">
        <x:is>
          <x:t xml:space="preserve">DOI_10.1016_j.cell.2017.09.004</x:t>
        </x:is>
      </x:c>
      <x:c r="S29" s="51" t="str">
        <x:v>新版机器提取完成，待人工复核</x:v>
      </x:c>
      <x:c r="T29" s="46" t="str">
        <x:v>v2 JSON 2 条候选（2 条形式候选）；无正式 PNS marker。待人工复核。</x:v>
      </x:c>
      <x:c r="U29" s="61" t="n">
        <x:v>63</x:v>
      </x:c>
    </x:row>
    <x:row r="30" s="41" customFormat="1" ht="36" customHeight="1">
      <x:c r="A30" s="60" t="n">
        <x:v>29</x:v>
      </x:c>
      <x:c r="B30" s="50" t="inlineStr">
        <x:is>
          <x:t xml:space="preserve">是</x:t>
        </x:is>
      </x:c>
      <x:c r="C30" s="50" t="inlineStr">
        <x:is>
          <x:t xml:space="preserve">CellxGene当前任务</x:t>
        </x:is>
      </x:c>
      <x:c r="D30" s="50" t="inlineStr">
        <x:is>
          <x:t xml:space="preserve">CellxGene</x:t>
        </x:is>
      </x:c>
      <x:c r="E30" s="47" t="inlineStr">
        <x:is>
          <x:t xml:space="preserve">CELLxGENE:71513028-e4a0-4c62-a435-16598791690a</x:t>
        </x:is>
      </x:c>
      <x:c r="F30" s="47" t="inlineStr">
        <x:is>
          <x:t xml:space="preserve">a96133de-e951-4e2d-ace6-59db8b3bfb1d</x:t>
        </x:is>
      </x:c>
      <x:c r="G30" s="46" t="inlineStr">
        <x:is>
          <x:t xml:space="preserve">A multi-modal single-cell and spatial expression map of metastatic breast cancer biopsies across clinicopathological features.</x:t>
        </x:is>
      </x:c>
      <x:c r="H30" s="46" t="inlineStr">
        <x:is>
          <x:t xml:space="preserve">HTAN/HTAPP Broad - 乳腺癌转移微环境的时空分子解析</x:t>
        </x:is>
      </x:c>
      <x:c r="I30" s="50" t="inlineStr">
        <x:is>
          <x:t xml:space="preserve">2024</x:t>
        </x:is>
      </x:c>
      <x:c r="J30" s="47" t="inlineStr">
        <x:is>
          <x:t xml:space="preserve">10.1038/s41591-024-03215-z</x:t>
        </x:is>
      </x:c>
      <x:c r="K30" s="50" t="inlineStr">
        <x:is>
          <x:t xml:space="preserve">39478111</x:t>
        </x:is>
      </x:c>
      <x:c r="L30" s="50" t="inlineStr">
        <x:is>
          <x:t xml:space="preserve">Homo sapiens</x:t>
        </x:is>
      </x:c>
      <x:c r="M30" s="51" t="inlineStr">
        <x:is>
          <x:t xml:space="preserve">—</x:t>
        </x:is>
      </x:c>
      <x:c r="N30" s="46" t="inlineStr">
        <x:is>
          <x:t xml:space="preserve">liver</x:t>
        </x:is>
      </x:c>
      <x:c r="O30" s="46" t="inlineStr">
        <x:is>
          <x:t xml:space="preserve">10x 3' v3</x:t>
        </x:is>
      </x:c>
      <x:c r="P30" s="51" t="inlineStr">
        <x:is>
          <x:t xml:space="preserve">已核验</x:t>
        </x:is>
      </x:c>
      <x:c r="Q30" s="46" t="inlineStr">
        <x:is>
          <x:t xml:space="preserve">D:/OneDrive/Desktop/组/db/cellxgene/cellxgene_filtered/downloads/PMID_39478111_A multi-modal single-cell and spatial expression map of metastatic breast cancer biopsies across cli.pdf</x:t>
        </x:is>
      </x:c>
      <x:c r="R30" s="45" t="inlineStr">
        <x:is>
          <x:t xml:space="preserve">DOI_10.1038_s41591-024-03215-z</x:t>
        </x:is>
      </x:c>
      <x:c r="S30" s="51" t="str">
        <x:v>新版机器提取完成，待人工复核</x:v>
      </x:c>
      <x:c r="T30" s="46" t="str">
        <x:v>v2 JSON 47 条候选（12 条形式候选）；无正式 PNS marker。待人工复核。</x:v>
      </x:c>
      <x:c r="U30" s="61" t="n">
        <x:v>66</x:v>
      </x:c>
    </x:row>
    <x:row r="31" s="41" customFormat="1" ht="36" customHeight="1">
      <x:c r="A31" s="60" t="n">
        <x:v>30</x:v>
      </x:c>
      <x:c r="B31" s="50" t="inlineStr">
        <x:is>
          <x:t xml:space="preserve">是</x:t>
        </x:is>
      </x:c>
      <x:c r="C31" s="50" t="inlineStr">
        <x:is>
          <x:t xml:space="preserve">CellxGene当前任务</x:t>
        </x:is>
      </x:c>
      <x:c r="D31" s="50" t="inlineStr">
        <x:is>
          <x:t xml:space="preserve">CellxGene</x:t>
        </x:is>
      </x:c>
      <x:c r="E31" s="47" t="inlineStr">
        <x:is>
          <x:t xml:space="preserve">CELLxGENE:ec6ceff8-c8bc-488d-b6bf-30df2fa92169</x:t>
        </x:is>
      </x:c>
      <x:c r="F31" s="47" t="inlineStr">
        <x:is>
          <x:t xml:space="preserve">a261413d-835b-4f1e-ab0c-dada55ea6afd</x:t>
        </x:is>
      </x:c>
      <x:c r="G31" s="46" t="inlineStr">
        <x:is>
          <x:t xml:space="preserve">Identification of distinct tumor cell populations and key genetic mechanisms through single cell sequencing in hepatoblastoma.</x:t>
        </x:is>
      </x:c>
      <x:c r="H31" s="46" t="inlineStr">
        <x:is>
          <x:t xml:space="preserve">通过单细胞测序鉴定肝母细胞瘤中不同的肿瘤细胞群体及关键遗传机制</x:t>
        </x:is>
      </x:c>
      <x:c r="I31" s="50" t="inlineStr">
        <x:is>
          <x:t xml:space="preserve">2022</x:t>
        </x:is>
      </x:c>
      <x:c r="J31" s="47" t="inlineStr">
        <x:is>
          <x:t xml:space="preserve">10.1038/s42003-021-02562-8</x:t>
        </x:is>
      </x:c>
      <x:c r="K31" s="50" t="inlineStr">
        <x:is>
          <x:t xml:space="preserve">34497364</x:t>
        </x:is>
      </x:c>
      <x:c r="L31" s="50" t="inlineStr">
        <x:is>
          <x:t xml:space="preserve">Homo sapiens</x:t>
        </x:is>
      </x:c>
      <x:c r="M31" s="51" t="inlineStr">
        <x:is>
          <x:t xml:space="preserve">—</x:t>
        </x:is>
      </x:c>
      <x:c r="N31" s="46" t="inlineStr">
        <x:is>
          <x:t xml:space="preserve">liver</x:t>
        </x:is>
      </x:c>
      <x:c r="O31" s="46" t="inlineStr">
        <x:is>
          <x:t xml:space="preserve">10x 3' v3</x:t>
        </x:is>
      </x:c>
      <x:c r="P31" s="51" t="inlineStr">
        <x:is>
          <x:t xml:space="preserve">已核验</x:t>
        </x:is>
      </x:c>
      <x:c r="Q31" s="46" t="inlineStr">
        <x:is>
          <x:t xml:space="preserve">D:/OneDrive/Desktop/组/db/cellxgene/cellxgene_filtered/downloads/PMID_34497364_Identification of distinct tumor cell populations and key genetic mechanisms through single cell seq.pdf</x:t>
        </x:is>
      </x:c>
      <x:c r="R31" s="45" t="inlineStr">
        <x:is>
          <x:t xml:space="preserve">DOI_10.1038_s42003-021-02562-8</x:t>
        </x:is>
      </x:c>
      <x:c r="S31" s="51" t="str">
        <x:v>新版机器提取完成，待人工复核</x:v>
      </x:c>
      <x:c r="T31" s="46" t="str">
        <x:v>v2 JSON 44 条候选（11 条形式候选）；无正式 PNS marker。待人工复核。</x:v>
      </x:c>
      <x:c r="U31" s="61" t="n">
        <x:v>67</x:v>
      </x:c>
    </x:row>
    <x:row r="32" s="41" customFormat="1" ht="36" customHeight="1">
      <x:c r="A32" s="60" t="n">
        <x:v>31</x:v>
      </x:c>
      <x:c r="B32" s="50" t="inlineStr">
        <x:is>
          <x:t xml:space="preserve">是</x:t>
        </x:is>
      </x:c>
      <x:c r="C32" s="50" t="inlineStr">
        <x:is>
          <x:t xml:space="preserve">CellxGene当前任务</x:t>
        </x:is>
      </x:c>
      <x:c r="D32" s="50" t="inlineStr">
        <x:is>
          <x:t xml:space="preserve">CellxGene</x:t>
        </x:is>
      </x:c>
      <x:c r="E32" s="47" t="inlineStr">
        <x:is>
          <x:t xml:space="preserve">CELLxGENE:afae4675-434d-4e89-b5ce-2854c9dc38a3</x:t>
        </x:is>
      </x:c>
      <x:c r="F32" s="47" t="inlineStr">
        <x:is>
          <x:t xml:space="preserve">cee845e3-ec04-4781-9e2a-28734bb4f7ba</x:t>
        </x:is>
      </x:c>
      <x:c r="G32" s="46" t="inlineStr">
        <x:is>
          <x:t xml:space="preserve">Longitudinal single-cell multiomic atlas of high-risk neuroblastoma reveals chemotherapy-induced tumor microenvironment rewiring.</x:t>
        </x:is>
      </x:c>
      <x:c r="H32" s="46" t="inlineStr">
        <x:is>
          <x:t xml:space="preserve">HTAN CHOP - 高风险神经母细胞瘤的纵向单细胞多组学图谱揭示化疗诱导的肿瘤微环境重塑</x:t>
        </x:is>
      </x:c>
      <x:c r="I32" s="50" t="inlineStr">
        <x:is>
          <x:t xml:space="preserve">2025</x:t>
        </x:is>
      </x:c>
      <x:c r="J32" s="47" t="inlineStr">
        <x:is>
          <x:t xml:space="preserve">10.1038/s41588-025-02158-6</x:t>
        </x:is>
      </x:c>
      <x:c r="K32" s="50" t="inlineStr">
        <x:is>
          <x:t xml:space="preserve">40229600</x:t>
        </x:is>
      </x:c>
      <x:c r="L32" s="50" t="inlineStr">
        <x:is>
          <x:t xml:space="preserve">Homo sapiens</x:t>
        </x:is>
      </x:c>
      <x:c r="M32" s="51" t="inlineStr">
        <x:is>
          <x:t xml:space="preserve">L2:Schwann cell</x:t>
        </x:is>
      </x:c>
      <x:c r="N32" s="46" t="inlineStr">
        <x:is>
          <x:t xml:space="preserve">abdomen</x:t>
        </x:is>
      </x:c>
      <x:c r="O32" s="46" t="inlineStr">
        <x:is>
          <x:t xml:space="preserve">10x 3' v3</x:t>
        </x:is>
      </x:c>
      <x:c r="P32" s="51" t="inlineStr">
        <x:is>
          <x:t xml:space="preserve">已核验</x:t>
        </x:is>
      </x:c>
      <x:c r="Q32" s="46" t="inlineStr">
        <x:is>
          <x:t xml:space="preserve">D:/OneDrive/Desktop/组/db/cellxgene/cellxgene_filtered/downloads/PMID_40229600_Longitudinal single-cell multiomic atlas of high-risk neuroblastoma reveals chemotherapy-induced tum.pdf</x:t>
        </x:is>
      </x:c>
      <x:c r="R32" s="45" t="inlineStr">
        <x:is>
          <x:t xml:space="preserve">DOI_10.1038_s41588-025-02158-6</x:t>
        </x:is>
      </x:c>
      <x:c r="S32" s="51" t="inlineStr">
        <x:is>
          <x:t xml:space="preserve">快速复核已录入</x:t>
        </x:is>
      </x:c>
      <x:c r="T32" s="46" t="inlineStr">
        <x:is>
          <x:t xml:space="preserve">快速复核录入2条：复用旧提取并抽样核对作者直接marker/注释语境</x:t>
        </x:is>
      </x:c>
      <x:c r="U32" s="61" t="n">
        <x:v>68</x:v>
      </x:c>
    </x:row>
    <x:row r="33" s="41" customFormat="1" ht="36" customHeight="1">
      <x:c r="A33" s="60" t="n">
        <x:v>32</x:v>
      </x:c>
      <x:c r="B33" s="50" t="inlineStr">
        <x:is>
          <x:t xml:space="preserve">是</x:t>
        </x:is>
      </x:c>
      <x:c r="C33" s="50" t="inlineStr">
        <x:is>
          <x:t xml:space="preserve">CellxGene当前任务</x:t>
        </x:is>
      </x:c>
      <x:c r="D33" s="50" t="inlineStr">
        <x:is>
          <x:t xml:space="preserve">CellxGene</x:t>
        </x:is>
      </x:c>
      <x:c r="E33" s="47" t="inlineStr">
        <x:is>
          <x:t xml:space="preserve">CELLxGENE:1a2e3350-28a8-4f49-b33c-5b67ceb001f6</x:t>
        </x:is>
      </x:c>
      <x:c r="F33" s="47" t="inlineStr">
        <x:is>
          <x:t xml:space="preserve">793fdaec-5067-428a-a9db-ecefe135c945</x:t>
        </x:is>
      </x:c>
      <x:c r="G33" s="46" t="inlineStr">
        <x:is>
          <x:t xml:space="preserve">Blood and immune development in human fetal bone marrow and Down syndrome.</x:t>
        </x:is>
      </x:c>
      <x:c r="H33" s="46" t="inlineStr">
        <x:is>
          <x:t xml:space="preserve">人类胎儿骨髓及唐氏综合征中的血液与免疫发育</x:t>
        </x:is>
      </x:c>
      <x:c r="I33" s="50" t="inlineStr">
        <x:is>
          <x:t xml:space="preserve">2022</x:t>
        </x:is>
      </x:c>
      <x:c r="J33" s="47" t="inlineStr">
        <x:is>
          <x:t xml:space="preserve">10.1038/s41586-021-03929-x</x:t>
        </x:is>
      </x:c>
      <x:c r="K33" s="50" t="inlineStr">
        <x:is>
          <x:t xml:space="preserve">34588693</x:t>
        </x:is>
      </x:c>
      <x:c r="L33" s="50" t="inlineStr">
        <x:is>
          <x:t xml:space="preserve">Homo sapiens</x:t>
        </x:is>
      </x:c>
      <x:c r="M33" s="51" t="inlineStr">
        <x:is>
          <x:t xml:space="preserve">L2:Schwann cell</x:t>
        </x:is>
      </x:c>
      <x:c r="N33" s="46" t="inlineStr">
        <x:is>
          <x:t xml:space="preserve">bone marrow</x:t>
        </x:is>
      </x:c>
      <x:c r="O33" s="46" t="inlineStr">
        <x:is>
          <x:t xml:space="preserve">10x 3' v2|10x 5' v1</x:t>
        </x:is>
      </x:c>
      <x:c r="P33" s="51" t="inlineStr">
        <x:is>
          <x:t xml:space="preserve">已核验</x:t>
        </x:is>
      </x:c>
      <x:c r="Q33" s="46" t="inlineStr">
        <x:is>
          <x:t xml:space="preserve">D:/OneDrive/Desktop/组/db/cellxgene/cellxgene_filtered/downloads/PMID_34588693_Blood and immune development in human fetal bone marrow and Down syndrome.pdf</x:t>
        </x:is>
      </x:c>
      <x:c r="R33" s="45" t="inlineStr">
        <x:is>
          <x:t xml:space="preserve">DOI_10.1038_s41586-021-03929-x</x:t>
        </x:is>
      </x:c>
      <x:c r="S33" s="51" t="str">
        <x:v>新版机器提取完成，待人工复核</x:v>
      </x:c>
      <x:c r="T33" s="46" t="str">
        <x:v>v2 JSON 48 条候选（3 条形式候选）；无正式 PNS marker。待人工复核。</x:v>
      </x:c>
      <x:c r="U33" s="61" t="n">
        <x:v>69</x:v>
      </x:c>
    </x:row>
    <x:row r="34" s="41" customFormat="1" ht="36" customHeight="1">
      <x:c r="A34" s="60" t="n">
        <x:v>33</x:v>
      </x:c>
      <x:c r="B34" s="50" t="inlineStr">
        <x:is>
          <x:t xml:space="preserve">是</x:t>
        </x:is>
      </x:c>
      <x:c r="C34" s="50" t="inlineStr">
        <x:is>
          <x:t xml:space="preserve">CellxGene当前任务</x:t>
        </x:is>
      </x:c>
      <x:c r="D34" s="50" t="inlineStr">
        <x:is>
          <x:t xml:space="preserve">CellxGene</x:t>
        </x:is>
      </x:c>
      <x:c r="E34" s="47" t="inlineStr">
        <x:is>
          <x:t xml:space="preserve">CELLxGENE:6725ee8e-ef5b-4e68-8901-61bd14a1fe73</x:t>
        </x:is>
      </x:c>
      <x:c r="F34" s="47" t="inlineStr">
        <x:is>
          <x:t xml:space="preserve">6282a908-f162-44a2-99a3-8a942e4271b2</x:t>
        </x:is>
      </x:c>
      <x:c r="G34" s="46" t="inlineStr">
        <x:is>
          <x:t xml:space="preserve">An integrated transcriptomic cell atlas of human endoderm-derived organoids.</x:t>
        </x:is>
      </x:c>
      <x:c r="H34" s="46" t="inlineStr">
        <x:is>
          <x:t xml:space="preserve">整合人内胚层来源类器官细胞图谱（HEOCA）</x:t>
        </x:is>
      </x:c>
      <x:c r="I34" s="50" t="inlineStr">
        <x:is>
          <x:t xml:space="preserve">2024</x:t>
        </x:is>
      </x:c>
      <x:c r="J34" s="47" t="inlineStr">
        <x:is>
          <x:t xml:space="preserve">10.1038/s41588-025-02182-6</x:t>
        </x:is>
      </x:c>
      <x:c r="K34" s="50" t="inlineStr">
        <x:is>
          <x:t xml:space="preserve">40355592</x:t>
        </x:is>
      </x:c>
      <x:c r="L34" s="50" t="inlineStr">
        <x:is>
          <x:t xml:space="preserve">Homo sapiens</x:t>
        </x:is>
      </x:c>
      <x:c r="M34" s="51" t="inlineStr">
        <x:is>
          <x:t xml:space="preserve">L2:Schwann cell | L4:Enteroendocrine cell/Neuroendocrine cell</x:t>
        </x:is>
      </x:c>
      <x:c r="N34" s="46" t="inlineStr">
        <x:is>
          <x:t xml:space="preserve">alveolar sac</x:t>
        </x:is>
      </x:c>
      <x:c r="O34" s="46" t="inlineStr">
        <x:is>
          <x:t xml:space="preserve">10x 3' v2|10x 3' v3|10x 5' v1|10x multiome|CEL-seq2|SORT-seq|Seq-Well S3|Smart-seq</x:t>
        </x:is>
      </x:c>
      <x:c r="P34" s="51" t="inlineStr">
        <x:is>
          <x:t xml:space="preserve">已核验</x:t>
        </x:is>
      </x:c>
      <x:c r="Q34" s="46" t="inlineStr">
        <x:is>
          <x:t xml:space="preserve">D:/OneDrive/Desktop/组/db/cellxgene/cellxgene_filtered/downloads/PMID_40355592_An integrated transcriptomic cell atlas of human endoderm-derived organoids..pdf</x:t>
        </x:is>
      </x:c>
      <x:c r="R34" s="45" t="inlineStr">
        <x:is>
          <x:t xml:space="preserve">DOI_10.1038_s41588-025-02182-6</x:t>
        </x:is>
      </x:c>
      <x:c r="S34" s="51" t="str">
        <x:v>新版机器提取完成，待人工复核</x:v>
      </x:c>
      <x:c r="T34" s="46" t="str">
        <x:v>v2 JSON 19 条候选（13 条形式候选），无 PNS marker；待人工复核。</x:v>
      </x:c>
      <x:c r="U34" s="61" t="n">
        <x:v>70</x:v>
      </x:c>
    </x:row>
    <x:row r="35" s="41" customFormat="1" ht="36" customHeight="1">
      <x:c r="A35" s="60" t="n">
        <x:v>34</x:v>
      </x:c>
      <x:c r="B35" s="50" t="inlineStr">
        <x:is>
          <x:t xml:space="preserve">是</x:t>
        </x:is>
      </x:c>
      <x:c r="C35" s="50" t="inlineStr">
        <x:is>
          <x:t xml:space="preserve">CellxGene当前任务</x:t>
        </x:is>
      </x:c>
      <x:c r="D35" s="50" t="inlineStr">
        <x:is>
          <x:t xml:space="preserve">CellxGene</x:t>
        </x:is>
      </x:c>
      <x:c r="E35" s="47" t="inlineStr">
        <x:is>
          <x:t xml:space="preserve">CELLxGENE:4ed927e9-c099-49af-b8ce-a2652d069333</x:t>
        </x:is>
      </x:c>
      <x:c r="F35" s="47" t="inlineStr">
        <x:is>
          <x:t xml:space="preserve">a3ffde6c-7ad2-498a-903c-d58e732f7470</x:t>
        </x:is>
      </x:c>
      <x:c r="G35" s="46" t="inlineStr">
        <x:is>
          <x:t xml:space="preserve">Single-nucleus cross-tissue molecular reference maps toward understanding disease gene function.</x:t>
        </x:is>
      </x:c>
      <x:c r="H35" s="46" t="inlineStr">
        <x:is>
          <x:t xml:space="preserve">单细胞核跨组织分子参考图谱解析疾病基因功能</x:t>
        </x:is>
      </x:c>
      <x:c r="I35" s="50" t="inlineStr">
        <x:is>
          <x:t xml:space="preserve">2022</x:t>
        </x:is>
      </x:c>
      <x:c r="J35" s="47" t="inlineStr">
        <x:is>
          <x:t xml:space="preserve">10.1126/science.abl4290</x:t>
        </x:is>
      </x:c>
      <x:c r="K35" s="50" t="inlineStr">
        <x:is>
          <x:t xml:space="preserve">35549429</x:t>
        </x:is>
      </x:c>
      <x:c r="L35" s="50" t="inlineStr">
        <x:is>
          <x:t xml:space="preserve">Homo sapiens</x:t>
        </x:is>
      </x:c>
      <x:c r="M35" s="51" t="inlineStr">
        <x:is>
          <x:t xml:space="preserve">L2:Schwann cell | L4:Neuroendocrine cell</x:t>
        </x:is>
      </x:c>
      <x:c r="N35" s="46" t="inlineStr">
        <x:is>
          <x:t xml:space="preserve">anterior wall of left ventricle</x:t>
        </x:is>
      </x:c>
      <x:c r="O35" s="46" t="inlineStr">
        <x:is>
          <x:t xml:space="preserve">10x 3' v2</x:t>
        </x:is>
      </x:c>
      <x:c r="P35" s="51" t="inlineStr">
        <x:is>
          <x:t xml:space="preserve">已核验</x:t>
        </x:is>
      </x:c>
      <x:c r="Q35" s="46" t="inlineStr">
        <x:is>
          <x:t xml:space="preserve">D:/OneDrive/Desktop/组/db/cellxgene/cellxgene_filtered/downloads/PMID_35549429_Single-nucleus cross-tissue molecular reference maps toward understanding disease gene function..pdf</x:t>
        </x:is>
      </x:c>
      <x:c r="R35" s="45" t="inlineStr">
        <x:is>
          <x:t xml:space="preserve">DOI_10.1126_science.abl4290</x:t>
        </x:is>
      </x:c>
      <x:c r="S35" s="51" t="str">
        <x:v>新版机器提取完成，待人工复核</x:v>
      </x:c>
      <x:c r="T35" s="46" t="str">
        <x:v>v2 JSON 57 条候选（3 条形式候选）；sensory neurons/Piezo2 为 reference_imported 上下文项，排除；无正式 PNS marker。</x:v>
      </x:c>
      <x:c r="U35" s="61" t="n">
        <x:v>71</x:v>
      </x:c>
    </x:row>
    <x:row r="36" s="41" customFormat="1" ht="36" customHeight="1">
      <x:c r="A36" s="60" t="n">
        <x:v>35</x:v>
      </x:c>
      <x:c r="B36" s="50" t="inlineStr">
        <x:is>
          <x:t xml:space="preserve">是</x:t>
        </x:is>
      </x:c>
      <x:c r="C36" s="50" t="inlineStr">
        <x:is>
          <x:t xml:space="preserve">CellxGene当前任务</x:t>
        </x:is>
      </x:c>
      <x:c r="D36" s="50" t="inlineStr">
        <x:is>
          <x:t xml:space="preserve">CellxGene</x:t>
        </x:is>
      </x:c>
      <x:c r="E36" s="47" t="inlineStr">
        <x:is>
          <x:t xml:space="preserve">CELLxGENE:fd072bc3-2dfb-46f8-b4e3-467cb3223182</x:t>
        </x:is>
      </x:c>
      <x:c r="F36" s="47" t="inlineStr">
        <x:is>
          <x:t xml:space="preserve">b1a879f6-5638-48d3-8f64-f6592c1b1561</x:t>
        </x:is>
      </x:c>
      <x:c r="G36" s="46" t="inlineStr">
        <x:is>
          <x:t xml:space="preserve">Mapping the developing human immune system across organs.</x:t>
        </x:is>
      </x:c>
      <x:c r="H36" s="46" t="inlineStr">
        <x:is>
          <x:t xml:space="preserve">跨器官绘制发育中的人类免疫系统图谱</x:t>
        </x:is>
      </x:c>
      <x:c r="I36" s="50" t="inlineStr">
        <x:is>
          <x:t xml:space="preserve">2022</x:t>
        </x:is>
      </x:c>
      <x:c r="J36" s="47" t="inlineStr">
        <x:is>
          <x:t xml:space="preserve">10.1126/science.abo0510</x:t>
        </x:is>
      </x:c>
      <x:c r="K36" s="50" t="inlineStr">
        <x:is>
          <x:t xml:space="preserve">35549310</x:t>
        </x:is>
      </x:c>
      <x:c r="L36" s="50" t="inlineStr">
        <x:is>
          <x:t xml:space="preserve">Homo sapiens</x:t>
        </x:is>
      </x:c>
      <x:c r="M36" s="51" t="inlineStr">
        <x:is>
          <x:t xml:space="preserve">L4:Enteroendocrine cell</x:t>
        </x:is>
      </x:c>
      <x:c r="N36" s="46" t="inlineStr">
        <x:is>
          <x:t xml:space="preserve">bone marrow</x:t>
        </x:is>
      </x:c>
      <x:c r="O36" s="46" t="inlineStr">
        <x:is>
          <x:t xml:space="preserve">10x 3' v2|10x 5' v1</x:t>
        </x:is>
      </x:c>
      <x:c r="P36" s="51" t="inlineStr">
        <x:is>
          <x:t xml:space="preserve">已核验</x:t>
        </x:is>
      </x:c>
      <x:c r="Q36" s="46" t="inlineStr">
        <x:is>
          <x:t xml:space="preserve">D:/OneDrive/Desktop/组/db/cellxgene/cellxgene_filtered/downloads/PMID_35549310_Mapping the developing human immune system across organs..pdf</x:t>
        </x:is>
      </x:c>
      <x:c r="R36" s="45" t="inlineStr">
        <x:is>
          <x:t xml:space="preserve">DOI_10.1126_science.abo0510</x:t>
        </x:is>
      </x:c>
      <x:c r="S36" s="51" t="str">
        <x:v>新版机器提取完成，待人工复核</x:v>
      </x:c>
      <x:c r="T36" s="46" t="str">
        <x:v>v2 JSON 60 条候选（22 条形式候选）；无正式 PNS marker。待人工复核。</x:v>
      </x:c>
      <x:c r="U36" s="61" t="n">
        <x:v>72</x:v>
      </x:c>
    </x:row>
    <x:row r="37" s="41" customFormat="1" ht="36" customHeight="1">
      <x:c r="A37" s="60" t="n">
        <x:v>36</x:v>
      </x:c>
      <x:c r="B37" s="50" t="inlineStr">
        <x:is>
          <x:t xml:space="preserve">是</x:t>
        </x:is>
      </x:c>
      <x:c r="C37" s="50" t="inlineStr">
        <x:is>
          <x:t xml:space="preserve">CellxGene当前任务</x:t>
        </x:is>
      </x:c>
      <x:c r="D37" s="50" t="inlineStr">
        <x:is>
          <x:t xml:space="preserve">CellxGene</x:t>
        </x:is>
      </x:c>
      <x:c r="E37" s="47" t="inlineStr">
        <x:is>
          <x:t xml:space="preserve">CELLxGENE:b6f472f1-a58d-43a7-a898-2d6822a0b2b2</x:t>
        </x:is>
      </x:c>
      <x:c r="F37" s="47" t="inlineStr">
        <x:is>
          <x:t xml:space="preserve">03608e22-227a-4492-910b-3cb3f16f952e</x:t>
        </x:is>
      </x:c>
      <x:c r="G37" s="46" t="inlineStr">
        <x:is>
          <x:t xml:space="preserve">The single-cell transcriptomic atlas iPain identifies senescence of nociceptors as a therapeutical target for chronic pain treatment.</x:t>
        </x:is>
      </x:c>
      <x:c r="H37" s="46" t="inlineStr">
        <x:is>
          <x:t xml:space="preserve">iPain图谱</x:t>
        </x:is>
      </x:c>
      <x:c r="I37" s="50" t="inlineStr">
        <x:is>
          <x:t xml:space="preserve">2024</x:t>
        </x:is>
      </x:c>
      <x:c r="J37" s="47" t="inlineStr">
        <x:is>
          <x:t xml:space="preserve">10.1038/s41467-024-52052-8</x:t>
        </x:is>
      </x:c>
      <x:c r="K37" s="50" t="inlineStr">
        <x:is>
          <x:t xml:space="preserve">39362841</x:t>
        </x:is>
      </x:c>
      <x:c r="L37" s="50" t="inlineStr">
        <x:is>
          <x:t xml:space="preserve">Mus musculus</x:t>
        </x:is>
      </x:c>
      <x:c r="M37" s="51" t="inlineStr">
        <x:is>
          <x:t xml:space="preserve">L1:Sensory neuron (DRG)</x:t>
        </x:is>
      </x:c>
      <x:c r="N37" s="46" t="inlineStr">
        <x:is>
          <x:t xml:space="preserve">dorsal root ganglion</x:t>
        </x:is>
      </x:c>
      <x:c r="O37" s="46" t="inlineStr">
        <x:is>
          <x:t xml:space="preserve">10x 3' v2|10x 3' v3|10x multiome|Smart-seq2|Smart-seq3|inDrop</x:t>
        </x:is>
      </x:c>
      <x:c r="P37" s="51" t="inlineStr">
        <x:is>
          <x:t xml:space="preserve">已核验</x:t>
        </x:is>
      </x:c>
      <x:c r="Q37" s="46" t="inlineStr">
        <x:is>
          <x:t xml:space="preserve">D:/OneDrive/Desktop/组/db/cellxgene/cellxgene_filtered/downloads/PMID_39362841_The single-cell transcriptomic atlas iPain identifies senescence of nociceptors as a therapeutical t.pdf</x:t>
        </x:is>
      </x:c>
      <x:c r="R37" s="45" t="inlineStr">
        <x:is>
          <x:t xml:space="preserve">DOI_10.1038_s41467-024-52052-8</x:t>
        </x:is>
      </x:c>
      <x:c r="S37" s="51" t="inlineStr">
        <x:is>
          <x:t xml:space="preserve">快速复核已录入</x:t>
        </x:is>
      </x:c>
      <x:c r="T37" s="46" t="inlineStr">
        <x:is>
          <x:t xml:space="preserve">快速复核录入1条：复用旧提取并抽样核对作者直接marker/注释语境</x:t>
        </x:is>
      </x:c>
      <x:c r="U37" s="61" t="n">
        <x:v>73</x:v>
      </x:c>
    </x:row>
    <x:row r="38" s="41" customFormat="1" ht="36" customHeight="1">
      <x:c r="A38" s="60" t="n">
        <x:v>37</x:v>
      </x:c>
      <x:c r="B38" s="50" t="inlineStr">
        <x:is>
          <x:t xml:space="preserve">是</x:t>
        </x:is>
      </x:c>
      <x:c r="C38" s="50" t="inlineStr">
        <x:is>
          <x:t xml:space="preserve">GEO补充任务</x:t>
        </x:is>
      </x:c>
      <x:c r="D38" s="50" t="inlineStr">
        <x:is>
          <x:t xml:space="preserve">GEO</x:t>
        </x:is>
      </x:c>
      <x:c r="E38" s="47" t="inlineStr">
        <x:is>
          <x:t xml:space="preserve">GSE198485</x:t>
        </x:is>
      </x:c>
      <x:c r="F38" s="47" t="str"/>
      <x:c r="G38" s="46" t="inlineStr">
        <x:is>
          <x:t xml:space="preserve">Single cell RNAseq Adult Mouse Lumbar Dorsal Root Ganglia (DRG)</x:t>
        </x:is>
      </x:c>
      <x:c r="H38" s="46" t="inlineStr">
        <x:is>
          <x:t xml:space="preserve">单细胞RNA测序成年小鼠腰椎背根神经节(DRG)</x:t>
        </x:is>
      </x:c>
      <x:c r="I38" s="50" t="inlineStr">
        <x:is>
          <x:t xml:space="preserve">2023</x:t>
        </x:is>
      </x:c>
      <x:c r="J38" s="47" t="str"/>
      <x:c r="K38" s="50" t="inlineStr">
        <x:is>
          <x:t xml:space="preserve">37120427; 37664243</x:t>
        </x:is>
      </x:c>
      <x:c r="L38" s="50" t="inlineStr">
        <x:is>
          <x:t xml:space="preserve">Mus musculus</x:t>
        </x:is>
      </x:c>
      <x:c r="M38" s="51" t="inlineStr">
        <x:is>
          <x:t xml:space="preserve">GEO补充(未规范化)</x:t>
        </x:is>
      </x:c>
      <x:c r="N38" s="46" t="inlineStr">
        <x:is>
          <x:t xml:space="preserve">lumbar dorsal root ganglia L3-L5</x:t>
        </x:is>
      </x:c>
      <x:c r="O38" s="46" t="inlineStr">
        <x:is>
          <x:t xml:space="preserve">scRNA-seq</x:t>
        </x:is>
      </x:c>
      <x:c r="P38" s="51" t="inlineStr">
        <x:is>
          <x:t xml:space="preserve">未接入当前PDF库</x:t>
        </x:is>
      </x:c>
      <x:c r="Q38" s="46" t="str"/>
      <x:c r="R38" s="45" t="inlineStr">
        <x:is>
          <x:t xml:space="preserve">PMID_37120427</x:t>
        </x:is>
      </x:c>
      <x:c r="S38" s="51" t="inlineStr">
        <x:is>
          <x:t xml:space="preserve">阻塞：需补PDF/接入</x:t>
        </x:is>
      </x:c>
      <x:c r="T38" s="46" t="inlineStr">
        <x:is>
          <x:t xml:space="preserve">一个任务条目关联两个 PMID；需按论文分别核对后再提取</x:t>
        </x:is>
      </x:c>
      <x:c r="U38" s="61" t="n">
        <x:v>74</x:v>
      </x:c>
    </x:row>
    <x:row r="39" s="41" customFormat="1" ht="36" customHeight="1">
      <x:c r="A39" s="60" t="n">
        <x:v>38</x:v>
      </x:c>
      <x:c r="B39" s="50" t="inlineStr">
        <x:is>
          <x:t xml:space="preserve">是</x:t>
        </x:is>
      </x:c>
      <x:c r="C39" s="50" t="inlineStr">
        <x:is>
          <x:t xml:space="preserve">GEO补充任务</x:t>
        </x:is>
      </x:c>
      <x:c r="D39" s="50" t="inlineStr">
        <x:is>
          <x:t xml:space="preserve">GEO</x:t>
        </x:is>
      </x:c>
      <x:c r="E39" s="47" t="inlineStr">
        <x:is>
          <x:t xml:space="preserve">GSE182098</x:t>
        </x:is>
      </x:c>
      <x:c r="F39" s="47" t="str"/>
      <x:c r="G39" s="46" t="inlineStr">
        <x:is>
          <x:t xml:space="preserve">Disentangling glial diversity in peripheral nerves at single-nuclei resolution</x:t>
        </x:is>
      </x:c>
      <x:c r="H39" s="46" t="inlineStr">
        <x:is>
          <x:t xml:space="preserve">单核分辨率下解析外周神经胶质细胞多样性</x:t>
        </x:is>
      </x:c>
      <x:c r="I39" s="50" t="inlineStr">
        <x:is>
          <x:t xml:space="preserve">2022</x:t>
        </x:is>
      </x:c>
      <x:c r="J39" s="47" t="str"/>
      <x:c r="K39" s="50" t="inlineStr">
        <x:is>
          <x:t xml:space="preserve">35115729</x:t>
        </x:is>
      </x:c>
      <x:c r="L39" s="50" t="inlineStr">
        <x:is>
          <x:t xml:space="preserve">Mus musculus</x:t>
        </x:is>
      </x:c>
      <x:c r="M39" s="51" t="inlineStr">
        <x:is>
          <x:t xml:space="preserve">GEO补充(未规范化)</x:t>
        </x:is>
      </x:c>
      <x:c r="N39" s="46" t="inlineStr">
        <x:is>
          <x:t xml:space="preserve">sciatic nerve</x:t>
        </x:is>
      </x:c>
      <x:c r="O39" s="46" t="inlineStr">
        <x:is>
          <x:t xml:space="preserve">snRNA-seq; scRNA-seq</x:t>
        </x:is>
      </x:c>
      <x:c r="P39" s="51" t="inlineStr">
        <x:is>
          <x:t xml:space="preserve">未接入当前PDF库</x:t>
        </x:is>
      </x:c>
      <x:c r="Q39" s="46" t="str"/>
      <x:c r="R39" s="45" t="inlineStr">
        <x:is>
          <x:t xml:space="preserve">PMID_35115729</x:t>
        </x:is>
      </x:c>
      <x:c r="S39" s="51" t="inlineStr">
        <x:is>
          <x:t xml:space="preserve">阻塞：需补PDF/接入</x:t>
        </x:is>
      </x:c>
      <x:c r="T39" s="46" t="inlineStr">
        <x:is>
          <x:t xml:space="preserve">GEO补充任务，尚未接入当前 CellxGene PDF 审计</x:t>
        </x:is>
      </x:c>
      <x:c r="U39" s="61" t="n">
        <x:v>75</x:v>
      </x:c>
    </x:row>
    <x:row r="40" s="41" customFormat="1" ht="36" customHeight="1">
      <x:c r="A40" s="60" t="n">
        <x:v>39</x:v>
      </x:c>
      <x:c r="B40" s="50" t="inlineStr">
        <x:is>
          <x:t xml:space="preserve">是</x:t>
        </x:is>
      </x:c>
      <x:c r="C40" s="50" t="inlineStr">
        <x:is>
          <x:t xml:space="preserve">CellxGene当前任务</x:t>
        </x:is>
      </x:c>
      <x:c r="D40" s="50" t="inlineStr">
        <x:is>
          <x:t xml:space="preserve">CellxGene</x:t>
        </x:is>
      </x:c>
      <x:c r="E40" s="47" t="inlineStr">
        <x:is>
          <x:t xml:space="preserve">CELLxGENE:9ac3d74d-1d94-4ff9-abf9-fe5abe4bd2a6</x:t>
        </x:is>
      </x:c>
      <x:c r="F40" s="47" t="inlineStr">
        <x:is>
          <x:t xml:space="preserve">9c9d04c4-8899-417f-bb6f-6107dcadf14f</x:t>
        </x:is>
      </x:c>
      <x:c r="G40" s="46" t="inlineStr">
        <x:is>
          <x:t xml:space="preserve">Cellular and Spatial Drivers of Unresolved Injury and Functional Decline in the Human Kidney</x:t>
        </x:is>
      </x:c>
      <x:c r="H40" s="46" t="inlineStr">
        <x:is>
          <x:t xml:space="preserve">人类肾脏中未消退损伤与功能衰退的细胞及空间驱动因素</x:t>
        </x:is>
      </x:c>
      <x:c r="I40" s="50" t="inlineStr">
        <x:is>
          <x:t xml:space="preserve">2025</x:t>
        </x:is>
      </x:c>
      <x:c r="J40" s="47" t="inlineStr">
        <x:is>
          <x:t xml:space="preserve">10.1101/2025.09.26.678707</x:t>
        </x:is>
      </x:c>
      <x:c r="K40" s="50" t="str"/>
      <x:c r="L40" s="50" t="inlineStr">
        <x:is>
          <x:t xml:space="preserve">Mus musculus</x:t>
        </x:is>
      </x:c>
      <x:c r="M40" s="51" t="inlineStr">
        <x:is>
          <x:t xml:space="preserve">L2:Schwann cell</x:t>
        </x:is>
      </x:c>
      <x:c r="N40" s="46" t="inlineStr">
        <x:is>
          <x:t xml:space="preserve">kidney</x:t>
        </x:is>
      </x:c>
      <x:c r="O40" s="46" t="inlineStr">
        <x:is>
          <x:t xml:space="preserve">10x 3' v2|10x multiome</x:t>
        </x:is>
      </x:c>
      <x:c r="P40" s="51" t="inlineStr">
        <x:is>
          <x:t xml:space="preserve">已核验</x:t>
        </x:is>
      </x:c>
      <x:c r="Q40" s="46" t="inlineStr">
        <x:is>
          <x:t xml:space="preserve">D:/OneDrive/Desktop/组/db/cellxgene/cellxgene_filtered/downloads/DOI_10.1101_2025.09.26.678707_Cellular and Spatial Drivers of Unresolved Injury and Functional Decline in the Human Kidney.pdf</x:t>
        </x:is>
      </x:c>
      <x:c r="R40" s="45" t="inlineStr">
        <x:is>
          <x:t xml:space="preserve">DOI_10.1101_2025.09.26.678707</x:t>
        </x:is>
      </x:c>
      <x:c r="S40" s="51" t="str">
        <x:v>新版机器提取完成，待人工复核</x:v>
      </x:c>
      <x:c r="T40" s="46" t="str">
        <x:v>v2 JSON 76 条候选（9 条形式候选）；识别到 PNS 细胞类型但无 marker，待人工复核。</x:v>
      </x:c>
      <x:c r="U40" s="61" t="n">
        <x:v>82</x:v>
      </x:c>
    </x:row>
    <x:row r="41" s="41" customFormat="1" ht="36" customHeight="1">
      <x:c r="A41" s="60" t="n">
        <x:v>40</x:v>
      </x:c>
      <x:c r="B41" s="50" t="inlineStr">
        <x:is>
          <x:t xml:space="preserve">是</x:t>
        </x:is>
      </x:c>
      <x:c r="C41" s="50" t="inlineStr">
        <x:is>
          <x:t xml:space="preserve">CellxGene当前任务</x:t>
        </x:is>
      </x:c>
      <x:c r="D41" s="50" t="inlineStr">
        <x:is>
          <x:t xml:space="preserve">CellxGene</x:t>
        </x:is>
      </x:c>
      <x:c r="E41" s="47" t="inlineStr">
        <x:is>
          <x:t xml:space="preserve">CELLxGENE:6c6b4c47-096d-4084-97e7-714ee10c556c</x:t>
        </x:is>
      </x:c>
      <x:c r="F41" s="47" t="inlineStr">
        <x:is>
          <x:t xml:space="preserve">bae2ee8c-b49c-41d0-9097-960d18a39e20</x:t>
        </x:is>
      </x:c>
      <x:c r="G41" s="46" t="inlineStr">
        <x:is>
          <x:t xml:space="preserve">Time-resolved single-cell analysis of Brca1 associated mammary tumourigenesis reveals aberrant differentiation of luminal progenitors.</x:t>
        </x:is>
      </x:c>
      <x:c r="H41" s="46" t="inlineStr">
        <x:is>
          <x:t xml:space="preserve">时间分辨单细胞分析揭示Brca1相关乳腺肿瘤发生中腔祖细胞的异常分化</x:t>
        </x:is>
      </x:c>
      <x:c r="I41" s="50" t="inlineStr">
        <x:is>
          <x:t xml:space="preserve">2025</x:t>
        </x:is>
      </x:c>
      <x:c r="J41" s="47" t="inlineStr">
        <x:is>
          <x:t xml:space="preserve">10.1038/s41467-021-21783-3</x:t>
        </x:is>
      </x:c>
      <x:c r="K41" s="50" t="inlineStr">
        <x:is>
          <x:t xml:space="preserve">33686070</x:t>
        </x:is>
      </x:c>
      <x:c r="L41" s="50" t="inlineStr">
        <x:is>
          <x:t xml:space="preserve">Mus musculus</x:t>
        </x:is>
      </x:c>
      <x:c r="M41" s="51" t="inlineStr">
        <x:is>
          <x:t xml:space="preserve">L2:Schwann cell</x:t>
        </x:is>
      </x:c>
      <x:c r="N41" s="46" t="inlineStr">
        <x:is>
          <x:t xml:space="preserve">mammary gland</x:t>
        </x:is>
      </x:c>
      <x:c r="O41" s="46" t="inlineStr">
        <x:is>
          <x:t xml:space="preserve">10x 3' v2|10x 3' v3</x:t>
        </x:is>
      </x:c>
      <x:c r="P41" s="51" t="inlineStr">
        <x:is>
          <x:t xml:space="preserve">已核验</x:t>
        </x:is>
      </x:c>
      <x:c r="Q41" s="46" t="inlineStr">
        <x:is>
          <x:t xml:space="preserve">D:/OneDrive/Desktop/组/db/cellxgene/cellxgene_filtered/downloads/PMID_33686070_Time-resolved single-cell analysis of Brca1 associated mammary tumourigenesis reveals aberrant diffe.pdf</x:t>
        </x:is>
      </x:c>
      <x:c r="R41" s="45" t="inlineStr">
        <x:is>
          <x:t xml:space="preserve">DOI_10.1038_s41467-021-21783-3</x:t>
        </x:is>
      </x:c>
      <x:c r="S41" s="51" t="str">
        <x:v>新版机器提取完成，待人工复核</x:v>
      </x:c>
      <x:c r="T41" s="46" t="str">
        <x:v>v2 JSON 16 条候选（6 条形式候选）；无正式 PNS marker。待人工复核。</x:v>
      </x:c>
      <x:c r="U41" s="61" t="n">
        <x:v>83</x:v>
      </x:c>
    </x:row>
    <x:row r="42" s="41" customFormat="1" ht="36" customHeight="1">
      <x:c r="A42" s="60" t="n">
        <x:v>41</x:v>
      </x:c>
      <x:c r="B42" s="50" t="inlineStr">
        <x:is>
          <x:t xml:space="preserve">是</x:t>
        </x:is>
      </x:c>
      <x:c r="C42" s="50" t="inlineStr">
        <x:is>
          <x:t xml:space="preserve">CellxGene当前任务</x:t>
        </x:is>
      </x:c>
      <x:c r="D42" s="50" t="inlineStr">
        <x:is>
          <x:t xml:space="preserve">CellxGene</x:t>
        </x:is>
      </x:c>
      <x:c r="E42" s="47" t="inlineStr">
        <x:is>
          <x:t xml:space="preserve">CELLxGENE:49e4ffcc-5444-406d-bdee-577127404ba8</x:t>
        </x:is>
      </x:c>
      <x:c r="F42" s="47" t="inlineStr">
        <x:is>
          <x:t xml:space="preserve">296237e2-393d-4e31-b590-b03f74ac5070</x:t>
        </x:is>
      </x:c>
      <x:c r="G42" s="46" t="inlineStr">
        <x:is>
          <x:t xml:space="preserve">Delineating mouse β-cell identity during lifetime and in diabetes with a single cell atlas.</x:t>
        </x:is>
      </x:c>
      <x:c r="H42" s="46" t="inlineStr">
        <x:is>
          <x:t xml:space="preserve">小鼠胰岛scRNA-seq图谱：涵盖性别、年龄及包括糖尿病在内的应激条件</x:t>
        </x:is>
      </x:c>
      <x:c r="I42" s="50" t="inlineStr">
        <x:is>
          <x:t xml:space="preserve">2023</x:t>
        </x:is>
      </x:c>
      <x:c r="J42" s="47" t="inlineStr">
        <x:is>
          <x:t xml:space="preserve">10.1038/s42255-023-00876-x</x:t>
        </x:is>
      </x:c>
      <x:c r="K42" s="50" t="inlineStr">
        <x:is>
          <x:t xml:space="preserve">37697055</x:t>
        </x:is>
      </x:c>
      <x:c r="L42" s="50" t="inlineStr">
        <x:is>
          <x:t xml:space="preserve">Mus musculus</x:t>
        </x:is>
      </x:c>
      <x:c r="M42" s="51" t="inlineStr">
        <x:is>
          <x:t xml:space="preserve">L2:Schwann cell</x:t>
        </x:is>
      </x:c>
      <x:c r="N42" s="46" t="inlineStr">
        <x:is>
          <x:t xml:space="preserve">islet of Langerhans</x:t>
        </x:is>
      </x:c>
      <x:c r="O42" s="46" t="inlineStr">
        <x:is>
          <x:t xml:space="preserve">10x 3' v2|10x 3' v3</x:t>
        </x:is>
      </x:c>
      <x:c r="P42" s="51" t="inlineStr">
        <x:is>
          <x:t xml:space="preserve">已核验</x:t>
        </x:is>
      </x:c>
      <x:c r="Q42" s="46" t="inlineStr">
        <x:is>
          <x:t xml:space="preserve">D:/OneDrive/Desktop/组/db/cellxgene/cellxgene_filtered/downloads/PMID_37697055_Delineating mouse β-cell identity during lifetime and in diabetes with a single cell atlas..pdf</x:t>
        </x:is>
      </x:c>
      <x:c r="R42" s="45" t="inlineStr">
        <x:is>
          <x:t xml:space="preserve">DOI_10.1038_s42255-023-00876-x</x:t>
        </x:is>
      </x:c>
      <x:c r="S42" s="51" t="inlineStr">
        <x:is>
          <x:t xml:space="preserve">快速复核已录入</x:t>
        </x:is>
      </x:c>
      <x:c r="T42" s="46" t="inlineStr">
        <x:is>
          <x:t xml:space="preserve">快速复核录入3条：复用旧提取并抽样核对作者直接marker/注释语境</x:t>
        </x:is>
      </x:c>
      <x:c r="U42" s="61" t="n">
        <x:v>84</x:v>
      </x:c>
    </x:row>
    <x:row r="43" s="41" customFormat="1" ht="36" customHeight="1">
      <x:c r="A43" s="60" t="n">
        <x:v>42</x:v>
      </x:c>
      <x:c r="B43" s="50" t="inlineStr">
        <x:is>
          <x:t xml:space="preserve">是</x:t>
        </x:is>
      </x:c>
      <x:c r="C43" s="50" t="inlineStr">
        <x:is>
          <x:t xml:space="preserve">CellxGene当前任务</x:t>
        </x:is>
      </x:c>
      <x:c r="D43" s="50" t="inlineStr">
        <x:is>
          <x:t xml:space="preserve">CellxGene</x:t>
        </x:is>
      </x:c>
      <x:c r="E43" s="47" t="inlineStr">
        <x:is>
          <x:t xml:space="preserve">CELLxGENE:dcfd4feb-18a3-4b30-81d7-1b0c544a8ab3</x:t>
        </x:is>
      </x:c>
      <x:c r="F43" s="47" t="inlineStr">
        <x:is>
          <x:t xml:space="preserve">45d5d2c3-bc28-4814-aed6-0bb6f0e11c82</x:t>
        </x:is>
      </x:c>
      <x:c r="G43" s="46" t="inlineStr">
        <x:is>
          <x:t xml:space="preserve">A single-cell time-lapse of mouse prenatal development from gastrula to birth.</x:t>
        </x:is>
      </x:c>
      <x:c r="H43" s="46" t="inlineStr">
        <x:is>
          <x:t xml:space="preserve">NA</x:t>
        </x:is>
      </x:c>
      <x:c r="I43" s="50" t="inlineStr">
        <x:is>
          <x:t xml:space="preserve">NA</x:t>
        </x:is>
      </x:c>
      <x:c r="J43" s="47" t="inlineStr">
        <x:is>
          <x:t xml:space="preserve">10.1038/s41586-024-07069-w</x:t>
        </x:is>
      </x:c>
      <x:c r="K43" s="50" t="inlineStr">
        <x:is>
          <x:t xml:space="preserve">38355799</x:t>
        </x:is>
      </x:c>
      <x:c r="L43" s="50" t="inlineStr">
        <x:is>
          <x:t xml:space="preserve">Mus musculus</x:t>
        </x:is>
      </x:c>
      <x:c r="M43" s="51" t="inlineStr">
        <x:is>
          <x:t xml:space="preserve">L1:Efferent neuron/Enteric neuron/Parasympathetic neuron/Peripheral nervous system neuron/Sensory neuron (DRG)/Sympathetic neuron | L2:Schwann cell precursor/Myelinating Schwann cell/Satellite glial cell | L4:Intestinal enteroendocrine cell</x:t>
        </x:is>
      </x:c>
      <x:c r="N43" s="46" t="inlineStr">
        <x:is>
          <x:t xml:space="preserve">embryo</x:t>
        </x:is>
      </x:c>
      <x:c r="O43" s="46" t="inlineStr">
        <x:is>
          <x:t xml:space="preserve">sci-RNA-seq3</x:t>
        </x:is>
      </x:c>
      <x:c r="P43" s="51" t="inlineStr">
        <x:is>
          <x:t xml:space="preserve">已核验</x:t>
        </x:is>
      </x:c>
      <x:c r="Q43" s="46" t="inlineStr">
        <x:is>
          <x:t xml:space="preserve">D:/OneDrive/Desktop/组/db/cellxgene/cellxgene_filtered/downloads/PMID_38355799_A single-cell time-lapse of mouse prenatal development from gastrula to birth..pdf</x:t>
        </x:is>
      </x:c>
      <x:c r="R43" s="45" t="inlineStr">
        <x:is>
          <x:t xml:space="preserve">DOI_10.1038_s41586-024-07069-w</x:t>
        </x:is>
      </x:c>
      <x:c r="S43" s="51" t="inlineStr">
        <x:is>
          <x:t xml:space="preserve">快速复核已录入</x:t>
        </x:is>
      </x:c>
      <x:c r="T43" s="46" t="inlineStr">
        <x:is>
          <x:t xml:space="preserve">快速复核录入1条：复用旧提取并抽样核对作者直接marker/注释语境</x:t>
        </x:is>
      </x:c>
      <x:c r="U43" s="61" t="n">
        <x:v>86</x:v>
      </x:c>
    </x:row>
    <x:row r="44" s="41" customFormat="1" ht="36" customHeight="1">
      <x:c r="A44" s="60" t="n">
        <x:v>43</x:v>
      </x:c>
      <x:c r="B44" s="50" t="inlineStr">
        <x:is>
          <x:t xml:space="preserve">是</x:t>
        </x:is>
      </x:c>
      <x:c r="C44" s="50" t="inlineStr">
        <x:is>
          <x:t xml:space="preserve">CellxGene当前任务</x:t>
        </x:is>
      </x:c>
      <x:c r="D44" s="50" t="inlineStr">
        <x:is>
          <x:t xml:space="preserve">CellxGene</x:t>
        </x:is>
      </x:c>
      <x:c r="E44" s="47" t="inlineStr">
        <x:is>
          <x:t xml:space="preserve">CELLxGENE:48b37086-25f7-4ecd-be66-f5bb378e3aea</x:t>
        </x:is>
      </x:c>
      <x:c r="F44" s="47" t="inlineStr">
        <x:is>
          <x:t xml:space="preserve">0b9d8a04-bb9d-44da-aa27-705bb65b54eb</x:t>
        </x:is>
      </x:c>
      <x:c r="G44" s="46" t="inlineStr">
        <x:is>
          <x:t xml:space="preserve">A single-cell transcriptomic atlas characterizes ageing tissues in the mouse.</x:t>
        </x:is>
      </x:c>
      <x:c r="H44" s="46" t="inlineStr">
        <x:is>
          <x:t xml:space="preserve">Tabula Muris Senis</x:t>
        </x:is>
      </x:c>
      <x:c r="I44" s="50" t="inlineStr">
        <x:is>
          <x:t xml:space="preserve">2021</x:t>
        </x:is>
      </x:c>
      <x:c r="J44" s="47" t="inlineStr">
        <x:is>
          <x:t xml:space="preserve">10.1038/s41586-020-2496-1</x:t>
        </x:is>
      </x:c>
      <x:c r="K44" s="50" t="inlineStr">
        <x:is>
          <x:t xml:space="preserve">32669714</x:t>
        </x:is>
      </x:c>
      <x:c r="L44" s="50" t="inlineStr">
        <x:is>
          <x:t xml:space="preserve">Mus musculus</x:t>
        </x:is>
      </x:c>
      <x:c r="M44" s="51" t="inlineStr">
        <x:is>
          <x:t xml:space="preserve">L1:Cardiac neuron | L2:Schwann cell | L4:Neuroendocrine cell/Pulmonary neuroendocrine cell</x:t>
        </x:is>
      </x:c>
      <x:c r="N44" s="46" t="inlineStr">
        <x:is>
          <x:t xml:space="preserve">adipose tissue</x:t>
        </x:is>
      </x:c>
      <x:c r="O44" s="46" t="inlineStr">
        <x:is>
          <x:t xml:space="preserve">10x 3' v2</x:t>
        </x:is>
      </x:c>
      <x:c r="P44" s="51" t="inlineStr">
        <x:is>
          <x:t xml:space="preserve">已核验</x:t>
        </x:is>
      </x:c>
      <x:c r="Q44" s="46" t="inlineStr">
        <x:is>
          <x:t xml:space="preserve">D:/OneDrive/Desktop/组/db/cellxgene/cellxgene_filtered/downloads/PMID_32669714_A single-cell transcriptomic atlas characterizes ageing tissues in the mouse..pdf</x:t>
        </x:is>
      </x:c>
      <x:c r="R44" s="45" t="inlineStr">
        <x:is>
          <x:t xml:space="preserve">DOI_10.1038_s41586-020-2496-1</x:t>
        </x:is>
      </x:c>
      <x:c r="S44" s="51" t="str">
        <x:v>新版机器提取完成，待人工复核</x:v>
      </x:c>
      <x:c r="T44" s="46" t="str">
        <x:v>v2 JSON 39 条候选（4 条形式候选）；无正式 PNS marker。待人工复核。</x:v>
      </x:c>
      <x:c r="U44" s="61" t="n">
        <x:v>87</x:v>
      </x:c>
    </x:row>
    <x:row r="45" s="41" customFormat="1" ht="36" customHeight="1">
      <x:c r="A45" s="60" t="n">
        <x:v>44</x:v>
      </x:c>
      <x:c r="B45" s="50" t="inlineStr">
        <x:is>
          <x:t xml:space="preserve">是</x:t>
        </x:is>
      </x:c>
      <x:c r="C45" s="50" t="inlineStr">
        <x:is>
          <x:t xml:space="preserve">CellxGene当前任务</x:t>
        </x:is>
      </x:c>
      <x:c r="D45" s="50" t="inlineStr">
        <x:is>
          <x:t xml:space="preserve">CellxGene</x:t>
        </x:is>
      </x:c>
      <x:c r="E45" s="47" t="inlineStr">
        <x:is>
          <x:t xml:space="preserve">CELLxGENE:7b6bab5a-f9c4-4a56-9ed4-3b9079b14867</x:t>
        </x:is>
      </x:c>
      <x:c r="F45" s="47" t="inlineStr">
        <x:is>
          <x:t xml:space="preserve">24e324a1-b42d-4438-9bb5-cf5233fa90b0</x:t>
        </x:is>
      </x:c>
      <x:c r="G45" s="46" t="inlineStr">
        <x:is>
          <x:t xml:space="preserve">Cross-species single-cell RNA-seq analysis reveals disparate and conserved cardiac and extracardiac inflammatory responses upon heart injury.</x:t>
        </x:is>
      </x:c>
      <x:c r="H45" s="46" t="inlineStr">
        <x:is>
          <x:t xml:space="preserve">小鼠和斑马鱼心脏损伤后动态局部及全身反应的单细胞转录组分析</x:t>
        </x:is>
      </x:c>
      <x:c r="I45" s="50" t="inlineStr">
        <x:is>
          <x:t xml:space="preserve">2024</x:t>
        </x:is>
      </x:c>
      <x:c r="J45" s="47" t="inlineStr">
        <x:is>
          <x:t xml:space="preserve">10.1038/s42003-024-07315-x</x:t>
        </x:is>
      </x:c>
      <x:c r="K45" s="50" t="inlineStr">
        <x:is>
          <x:t xml:space="preserve">39627536</x:t>
        </x:is>
      </x:c>
      <x:c r="L45" s="50" t="inlineStr">
        <x:is>
          <x:t xml:space="preserve">Mus musculus</x:t>
        </x:is>
      </x:c>
      <x:c r="M45" s="51" t="inlineStr">
        <x:is>
          <x:t xml:space="preserve">L2:Schwann cell</x:t>
        </x:is>
      </x:c>
      <x:c r="N45" s="46" t="inlineStr">
        <x:is>
          <x:t xml:space="preserve">blood</x:t>
        </x:is>
      </x:c>
      <x:c r="O45" s="46" t="inlineStr">
        <x:is>
          <x:t xml:space="preserve">10x 3' v3</x:t>
        </x:is>
      </x:c>
      <x:c r="P45" s="51" t="inlineStr">
        <x:is>
          <x:t xml:space="preserve">已核验</x:t>
        </x:is>
      </x:c>
      <x:c r="Q45" s="46" t="inlineStr">
        <x:is>
          <x:t xml:space="preserve">D:/OneDrive/Desktop/组/db/cellxgene/cellxgene_filtered/downloads/PMID_39627536_Cross-species single-cell RNA-seq analysis reveals disparate and conserved cardiac and extracardiac .pdf</x:t>
        </x:is>
      </x:c>
      <x:c r="R45" s="45" t="inlineStr">
        <x:is>
          <x:t xml:space="preserve">DOI_10.1038_s42003-024-07315-x</x:t>
        </x:is>
      </x:c>
      <x:c r="S45" s="51" t="str">
        <x:v>新版机器提取完成，待人工复核</x:v>
      </x:c>
      <x:c r="T45" s="46" t="str">
        <x:v>v2 JSON 103 条候选（37 条形式候选）；无正式 PNS marker。待人工复核。</x:v>
      </x:c>
      <x:c r="U45" s="61" t="n">
        <x:v>88</x:v>
      </x:c>
    </x:row>
  </x:sheetData>
  <x:conditionalFormatting sqref="P2:P45">
    <x:cfRule type="containsText" dxfId="0" priority="1" operator="containsText" text="已核验"/>
    <x:cfRule type="containsText" dxfId="1" priority="2" operator="containsText" text="缺有效PDF"/>
    <x:cfRule type="containsText" dxfId="2" priority="3" operator="containsText" text="未接入"/>
  </x:conditionalFormatting>
  <x:conditionalFormatting sqref="S2:S45">
    <x:cfRule type="containsText" dxfId="3" priority="4" operator="containsText" text="新版机器提取完成"/>
    <x:cfRule type="beginsWith" dxfId="4" priority="5" operator="beginsWith" text="阻塞"/>
  </x:conditionalFormatting>
  <x:dataValidations count="2">
    <x:dataValidation type="list" allowBlank="0" showDropDown="0" showInputMessage="0" showErrorMessage="0" sqref="B2:B45">
      <x:formula1>"是,否"</x:formula1>
    </x:dataValidation>
    <x:dataValidation type="list" allowBlank="0" showDropDown="0" showInputMessage="0" showErrorMessage="0" sqref="S2:S45">
      <x:formula1>"待新版提取,新版机器提取完成，待人工复核,快速复核已录入,阻塞：缺有效PDF,阻塞：需补PDF/接入"</x:formula1>
    </x:dataValidation>
  </x:dataValidations>
  <x:pageMargins left="0.7" right="0.7" top="0.75" bottom="0.75" header="0.3" footer="0.3"/>
  <x:tableParts count="1">
    <x:tablePart xmlns:r="http://schemas.openxmlformats.org/officeDocument/2006/relationships" r:id="R8398910d038c46f1"/>
  </x:tableParts>
</x:worksheet>
</file>