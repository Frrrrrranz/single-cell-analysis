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4cd0426f6848c5" /></Relationships>
</file>

<file path=xl/workbook.xml><?xml version="1.0" encoding="utf-8"?>
<x:workbook xmlns:x="http://schemas.openxmlformats.org/spreadsheetml/2006/main">
  <x:sheets>
    <x:sheet xmlns:r="http://schemas.openxmlformats.org/officeDocument/2006/relationships" name="article_summary" sheetId="1" r:id="R6f64da95ecdf4283"/>
    <x:sheet xmlns:r="http://schemas.openxmlformats.org/officeDocument/2006/relationships" name="neural_cells" sheetId="2" r:id="R45a427772c17448f"/>
    <x:sheet xmlns:r="http://schemas.openxmlformats.org/officeDocument/2006/relationships" name="statistics_methods" sheetId="3" r:id="R2e2ae4d71a834501"/>
    <x:sheet xmlns:r="http://schemas.openxmlformats.org/officeDocument/2006/relationships" name="issues" sheetId="4" r:id="Rced7484ccf8c4d3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7365D"/>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EAF2F8"/>
      </x:patternFill>
    </x:fill>
  </x:fills>
  <x:borders count="9">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0"/>
    </x:xf>
    <x:xf numFmtId="0" fontId="0" fillId="0" borderId="0" xfId="0" applyNumberFormat="1" applyFont="1" applyFill="1" applyBorder="1" applyAlignment="1">
      <x:alignment vertical="top" wrapText="0"/>
    </x:xf>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vertical="center" wrapText="0"/>
    </x:xf>
    <x:xf numFmtId="0" fontId="3" fillId="4" borderId="0" xfId="0" applyNumberFormat="1" applyFont="1" applyFill="1" applyBorder="1" applyAlignment="1">
      <x:alignment wrapText="0"/>
    </x:xf>
    <x:xf numFmtId="0" fontId="2" fillId="3" borderId="0" xfId="0" applyNumberFormat="1" applyFont="1" applyFill="1" applyBorder="1" applyAlignment="1">
      <x:alignment horizontal="center" vertical="center" wrapText="0"/>
    </x:xf>
    <x:xf numFmtId="0" fontId="1" fillId="2" borderId="0" xfId="0" applyNumberFormat="1" applyFont="1" applyFill="1" applyBorder="1" applyAlignment="1">
      <x:alignment vertical="top" wrapText="0"/>
    </x:xf>
    <x:xf numFmtId="0" fontId="3" fillId="4" borderId="0" xfId="0" applyNumberFormat="1" applyFont="1" applyFill="1" applyBorder="1" applyAlignment="1">
      <x:alignment vertical="top" wrapText="0"/>
    </x:xf>
    <x:xf numFmtId="0" fontId="2" fillId="3" borderId="0" xfId="0" applyNumberFormat="1" applyFont="1" applyFill="1" applyBorder="1" applyAlignment="1">
      <x:alignment horizontal="center" vertical="top" wrapText="0"/>
    </x:xf>
    <x:xf numFmtId="0" fontId="1" fillId="2" borderId="1" xfId="0" applyNumberFormat="1" applyFont="1" applyFill="1" applyBorder="1" applyAlignment="1">
      <x:alignment vertical="top" wrapText="0"/>
    </x:xf>
    <x:xf numFmtId="0" fontId="0" fillId="0" borderId="2" xfId="0" applyNumberFormat="1" applyFont="1" applyFill="1" applyBorder="1" applyAlignment="1">
      <x:alignment vertical="top" wrapText="0"/>
    </x:xf>
    <x:xf numFmtId="0" fontId="0" fillId="0" borderId="3" xfId="0" applyNumberFormat="1" applyFont="1" applyFill="1" applyBorder="1" applyAlignment="1">
      <x:alignment vertical="top" wrapText="0"/>
    </x:xf>
    <x:xf numFmtId="0" fontId="3" fillId="4" borderId="4" xfId="0" applyNumberFormat="1" applyFont="1" applyFill="1" applyBorder="1" applyAlignment="1">
      <x:alignment vertical="top" wrapText="0"/>
    </x:xf>
    <x:xf numFmtId="0" fontId="0" fillId="0" borderId="5" xfId="0" applyNumberFormat="1" applyFont="1" applyFill="1" applyBorder="1" applyAlignment="1">
      <x:alignment vertical="top" wrapText="0"/>
    </x:xf>
    <x:xf numFmtId="0" fontId="2" fillId="3" borderId="4" xfId="0" applyNumberFormat="1" applyFont="1" applyFill="1" applyBorder="1" applyAlignment="1">
      <x:alignment horizontal="center" vertical="top" wrapText="0"/>
    </x:xf>
    <x:xf numFmtId="0" fontId="2" fillId="3" borderId="5" xfId="0" applyNumberFormat="1" applyFont="1" applyFill="1" applyBorder="1" applyAlignment="1">
      <x:alignment horizontal="center" vertical="top" wrapText="0"/>
    </x:xf>
    <x:xf numFmtId="0" fontId="0" fillId="0" borderId="4" xfId="0" applyNumberFormat="1" applyFont="1" applyFill="1" applyBorder="1" applyAlignment="1">
      <x:alignment vertical="top" wrapText="0"/>
    </x:xf>
    <x:xf numFmtId="0" fontId="0" fillId="0" borderId="6" xfId="0" applyNumberFormat="1" applyFont="1" applyFill="1" applyBorder="1" applyAlignment="1">
      <x:alignment vertical="top" wrapText="0"/>
    </x:xf>
    <x:xf numFmtId="0" fontId="0" fillId="0" borderId="7" xfId="0" applyNumberFormat="1" applyFont="1" applyFill="1" applyBorder="1" applyAlignment="1">
      <x:alignment vertical="top" wrapText="0"/>
    </x:xf>
    <x:xf numFmtId="0" fontId="0" fillId="0" borderId="8" xfId="0" applyNumberFormat="1" applyFont="1" applyFill="1" applyBorder="1" applyAlignment="1">
      <x:alignment vertical="top" wrapText="0"/>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f1f61a13244ca9" /><Relationship Type="http://schemas.openxmlformats.org/officeDocument/2006/relationships/theme" Target="/xl/theme/theme1.xml" Id="R96599eb1bf5e4204" /><Relationship Type="http://schemas.openxmlformats.org/officeDocument/2006/relationships/sharedStrings" Target="/xl/sharedStrings.xml" Id="Rb89465c89ae54e8e" /><Relationship Type="http://schemas.openxmlformats.org/officeDocument/2006/relationships/worksheet" Target="/xl/worksheets/sheet1.xml" Id="R6f64da95ecdf4283" /><Relationship Type="http://schemas.openxmlformats.org/officeDocument/2006/relationships/worksheet" Target="/xl/worksheets/sheet2.xml" Id="R45a427772c17448f" /><Relationship Type="http://schemas.openxmlformats.org/officeDocument/2006/relationships/worksheet" Target="/xl/worksheets/sheet3.xml" Id="R2e2ae4d71a834501" /><Relationship Type="http://schemas.openxmlformats.org/officeDocument/2006/relationships/worksheet" Target="/xl/worksheets/sheet4.xml" Id="Rced7484ccf8c4d32" /></Relationships>
</file>

<file path=xl/tables/table1.xml><?xml version="1.0" encoding="utf-8"?>
<x:table xmlns:x="http://schemas.openxmlformats.org/spreadsheetml/2006/main" id="1" name="ArticleSummary" displayName="ArticleSummary" ref="A3:U47" headerRowCount="1" totalsRowCount="0" totalsRowShown="0">
  <x:tableColumns count="21">
    <x:tableColumn id="1" name="task_no"/>
    <x:tableColumn id="2" name="paper_id"/>
    <x:tableColumn id="3" name="document_id"/>
    <x:tableColumn id="4" name="title_original"/>
    <x:tableColumn id="5" name="doi"/>
    <x:tableColumn id="6" name="pmid"/>
    <x:tableColumn id="7" name="species"/>
    <x:tableColumn id="8" name="tissue_source_original"/>
    <x:tableColumn id="9" name="tissue_source_normalized"/>
    <x:tableColumn id="10" name="sample_context"/>
    <x:tableColumn id="11" name="single_cell_type"/>
    <x:tableColumn id="12" name="neural_cell_count"/>
    <x:tableColumn id="13" name="statistics_method_count"/>
    <x:tableColumn id="14" name="marker_status"/>
    <x:tableColumn id="15" name="formal_candidate_count"/>
    <x:tableColumn id="16" name="context_only_count"/>
    <x:tableColumn id="17" name="source_markdown"/>
    <x:tableColumn id="18" name="processing_status"/>
    <x:tableColumn id="19" name="review_status"/>
    <x:tableColumn id="20" name="issue_count"/>
    <x:tableColumn id="21" name="marker_raw_json"/>
  </x:tableColumns>
  <x:tableStyleInfo name="TableStyleMedium2" showFirstColumn="0" showLastColumn="0" showRowStripes="1" showColumnStripes="0"/>
</x:table>
</file>

<file path=xl/tables/table2.xml><?xml version="1.0" encoding="utf-8"?>
<x:table xmlns:x="http://schemas.openxmlformats.org/spreadsheetml/2006/main" id="2" name="NeuralCells" displayName="NeuralCells" ref="A1:L103" headerRowCount="1" totalsRowCount="0" totalsRowShown="0">
  <x:tableColumns count="12">
    <x:tableColumn id="1" name="task_no"/>
    <x:tableColumn id="2" name="paper_id"/>
    <x:tableColumn id="3" name="title_original"/>
    <x:tableColumn id="4" name="cell_name_original"/>
    <x:tableColumn id="5" name="cell_name_normalized"/>
    <x:tableColumn id="6" name="cell_category"/>
    <x:tableColumn id="7" name="pns_level"/>
    <x:tableColumn id="8" name="tissue"/>
    <x:tableColumn id="9" name="evidence_context"/>
    <x:tableColumn id="10" name="source_locator"/>
    <x:tableColumn id="11" name="evidence_snippet"/>
    <x:tableColumn id="12" name="review_status"/>
  </x:tableColumns>
  <x:tableStyleInfo name="TableStyleMedium2" showFirstColumn="0" showLastColumn="0" showRowStripes="1" showColumnStripes="0"/>
</x:table>
</file>

<file path=xl/tables/table3.xml><?xml version="1.0" encoding="utf-8"?>
<x:table xmlns:x="http://schemas.openxmlformats.org/spreadsheetml/2006/main" id="3" name="StatisticsMethods" displayName="StatisticsMethods" ref="A1:M300" headerRowCount="1" totalsRowCount="0" totalsRowShown="0">
  <x:tableColumns count="13">
    <x:tableColumn id="1" name="task_no"/>
    <x:tableColumn id="2" name="paper_id"/>
    <x:tableColumn id="3" name="title_original"/>
    <x:tableColumn id="4" name="analysis_stage"/>
    <x:tableColumn id="5" name="method_original"/>
    <x:tableColumn id="6" name="method_normalized"/>
    <x:tableColumn id="7" name="software"/>
    <x:tableColumn id="8" name="software_version"/>
    <x:tableColumn id="9" name="threshold"/>
    <x:tableColumn id="10" name="multiple_testing"/>
    <x:tableColumn id="11" name="source_locator"/>
    <x:tableColumn id="12" name="evidence_snippet"/>
    <x:tableColumn id="13" name="review_status"/>
  </x:tableColumns>
  <x:tableStyleInfo name="TableStyleMedium2" showFirstColumn="0" showLastColumn="0" showRowStripes="1" showColumnStripes="0"/>
</x:table>
</file>

<file path=xl/tables/table4.xml><?xml version="1.0" encoding="utf-8"?>
<x:table xmlns:x="http://schemas.openxmlformats.org/spreadsheetml/2006/main" id="4" name="MetadataIssues" displayName="MetadataIssues" ref="A1:I49" headerRowCount="1" totalsRowCount="0" totalsRowShown="0">
  <x:tableColumns count="9">
    <x:tableColumn id="1" name="task_no"/>
    <x:tableColumn id="2" name="paper_id"/>
    <x:tableColumn id="3" name="title_original"/>
    <x:tableColumn id="4" name="issue_type"/>
    <x:tableColumn id="5" name="severity"/>
    <x:tableColumn id="6" name="field"/>
    <x:tableColumn id="7" name="description"/>
    <x:tableColumn id="8" name="source_locator"/>
    <x:tableColumn id="9" name="evidence_snippe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55bb254d374e28" /></Relationships>
</file>

<file path=xl/worksheets/_rels/sheet2.xml.rels>&#65279;<?xml version="1.0" encoding="utf-8"?><Relationships xmlns="http://schemas.openxmlformats.org/package/2006/relationships"><Relationship Type="http://schemas.openxmlformats.org/officeDocument/2006/relationships/table" Target="/xl/tables/table2.xml" Id="Rf1e1b998b9044389" /></Relationships>
</file>

<file path=xl/worksheets/_rels/sheet3.xml.rels>&#65279;<?xml version="1.0" encoding="utf-8"?><Relationships xmlns="http://schemas.openxmlformats.org/package/2006/relationships"><Relationship Type="http://schemas.openxmlformats.org/officeDocument/2006/relationships/table" Target="/xl/tables/table3.xml" Id="R4ddba863474a4f0e" /></Relationships>
</file>

<file path=xl/worksheets/_rels/sheet4.xml.rels>&#65279;<?xml version="1.0" encoding="utf-8"?><Relationships xmlns="http://schemas.openxmlformats.org/package/2006/relationships"><Relationship Type="http://schemas.openxmlformats.org/officeDocument/2006/relationships/table" Target="/xl/tables/table4.xml" Id="R7db0dd16392d406c"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31" hidden="0" customWidth="1"/>
    <x:col min="4" max="4" width="46" hidden="0" customWidth="1"/>
    <x:col min="5" max="5" width="24" hidden="0" customWidth="1"/>
    <x:col min="6" max="6" width="16" hidden="0" customWidth="1"/>
    <x:col min="7" max="7" width="18" hidden="0" customWidth="1"/>
    <x:col min="8" max="8" width="22" hidden="0" customWidth="1"/>
    <x:col min="9" max="9" width="24" hidden="0" customWidth="1"/>
    <x:col min="10" max="10" width="24" hidden="0" customWidth="1"/>
    <x:col min="11" max="11" width="20" hidden="0" customWidth="1"/>
    <x:col min="12" max="12" width="14" hidden="0" customWidth="1"/>
    <x:col min="13" max="13" width="18" hidden="0" customWidth="1"/>
    <x:col min="14" max="14" width="22" hidden="0" customWidth="1"/>
    <x:col min="15" max="15" width="18" hidden="0" customWidth="1"/>
    <x:col min="16" max="16" width="18" hidden="0" customWidth="1"/>
    <x:col min="17" max="17" width="38" hidden="0" customWidth="1"/>
    <x:col min="18" max="18" width="22" hidden="0" customWidth="1"/>
    <x:col min="19" max="19" width="22" hidden="0" customWidth="1"/>
    <x:col min="20" max="20" width="12" hidden="0" customWidth="1"/>
    <x:col min="21" max="21" width="48" hidden="0" customWidth="1"/>
  </x:cols>
  <x:sheetData>
    <x:row r="1">
      <x:c r="A1" s="19" t="str">
        <x:v>文章元数据整理（Markdown 规则提取）</x:v>
      </x:c>
      <x:c r="B1" s="20"/>
      <x:c r="C1" s="20"/>
      <x:c r="D1" s="20"/>
      <x:c r="E1" s="20"/>
      <x:c r="F1" s="20"/>
      <x:c r="G1" s="20"/>
      <x:c r="H1" s="20"/>
      <x:c r="I1" s="20"/>
      <x:c r="J1" s="20"/>
      <x:c r="K1" s="20"/>
      <x:c r="L1" s="20"/>
      <x:c r="M1" s="20"/>
      <x:c r="N1" s="20"/>
      <x:c r="O1" s="20"/>
      <x:c r="P1" s="20"/>
      <x:c r="Q1" s="20"/>
      <x:c r="R1" s="20"/>
      <x:c r="S1" s="20"/>
      <x:c r="T1" s="20"/>
      <x:c r="U1" s="21"/>
    </x:row>
    <x:row r="2">
      <x:c r="A2" s="22" t="str">
        <x:v>任务总数</x:v>
      </x:c>
      <x:c r="B2" s="17" t="n">
        <x:f>COUNTA(A4:A47)</x:f>
        <x:v>44</x:v>
      </x:c>
      <x:c r="C2" s="17" t="str">
        <x:v>已生成元数据</x:v>
      </x:c>
      <x:c r="D2" s="17" t="n">
        <x:f>COUNTIF(R4:R47,"matched")</x:f>
        <x:v>40</x:v>
      </x:c>
      <x:c r="E2" s="17" t="str">
        <x:v>按要求跳过</x:v>
      </x:c>
      <x:c r="F2" s="17" t="n">
        <x:f>COUNTIF(R4:R47,"skipped_missing_markdown")</x:f>
        <x:v>4</x:v>
      </x:c>
      <x:c r="G2" s="17" t="str">
        <x:v>待轻量复核</x:v>
      </x:c>
      <x:c r="H2" s="17" t="n">
        <x:f>COUNTIF(S4:S47,"pending_light_review")</x:f>
        <x:v>40</x:v>
      </x:c>
      <x:c r="I2" s="17" t="str">
        <x:v>Issues总数</x:v>
      </x:c>
      <x:c r="J2" s="17" t="n">
        <x:f>SUM(T4:T47)</x:f>
        <x:v>48</x:v>
      </x:c>
      <x:c r="K2" s="10"/>
      <x:c r="L2" s="10"/>
      <x:c r="M2" s="10"/>
      <x:c r="N2" s="10"/>
      <x:c r="O2" s="10"/>
      <x:c r="P2" s="10"/>
      <x:c r="Q2" s="10"/>
      <x:c r="R2" s="10"/>
      <x:c r="S2" s="10"/>
      <x:c r="T2" s="10"/>
      <x:c r="U2" s="23"/>
    </x:row>
    <x:row r="3">
      <x:c r="A3" s="24" t="str">
        <x:v>task_no</x:v>
      </x:c>
      <x:c r="B3" s="18" t="str">
        <x:v>paper_id</x:v>
      </x:c>
      <x:c r="C3" s="18" t="str">
        <x:v>document_id</x:v>
      </x:c>
      <x:c r="D3" s="18" t="str">
        <x:v>title_original</x:v>
      </x:c>
      <x:c r="E3" s="18" t="str">
        <x:v>doi</x:v>
      </x:c>
      <x:c r="F3" s="18" t="str">
        <x:v>pmid</x:v>
      </x:c>
      <x:c r="G3" s="18" t="str">
        <x:v>species</x:v>
      </x:c>
      <x:c r="H3" s="18" t="str">
        <x:v>tissue_source_original</x:v>
      </x:c>
      <x:c r="I3" s="18" t="str">
        <x:v>tissue_source_normalized</x:v>
      </x:c>
      <x:c r="J3" s="18" t="str">
        <x:v>sample_context</x:v>
      </x:c>
      <x:c r="K3" s="18" t="str">
        <x:v>single_cell_type</x:v>
      </x:c>
      <x:c r="L3" s="18" t="str">
        <x:v>neural_cell_count</x:v>
      </x:c>
      <x:c r="M3" s="18" t="str">
        <x:v>statistics_method_count</x:v>
      </x:c>
      <x:c r="N3" s="18" t="str">
        <x:v>marker_status</x:v>
      </x:c>
      <x:c r="O3" s="18" t="str">
        <x:v>formal_candidate_count</x:v>
      </x:c>
      <x:c r="P3" s="18" t="str">
        <x:v>context_only_count</x:v>
      </x:c>
      <x:c r="Q3" s="18" t="str">
        <x:v>source_markdown</x:v>
      </x:c>
      <x:c r="R3" s="18" t="str">
        <x:v>processing_status</x:v>
      </x:c>
      <x:c r="S3" s="18" t="str">
        <x:v>review_status</x:v>
      </x:c>
      <x:c r="T3" s="18" t="str">
        <x:v>issue_count</x:v>
      </x:c>
      <x:c r="U3" s="25" t="str">
        <x:v>marker_raw_json</x:v>
      </x:c>
    </x:row>
    <x:row r="4">
      <x:c r="A4" s="26" t="n">
        <x:v>1</x:v>
      </x:c>
      <x:c r="B4" s="10" t="str">
        <x:v>DOI_10.1038_s41586-021-03710-0</x:v>
      </x:c>
      <x:c r="C4" s="10" t="str">
        <x:v>DOI_10.1038_s41586-021-03710-0</x:v>
      </x:c>
      <x:c r="D4" s="33" t="str">
        <x:v>Dysregulation of brain and choroid plexus cell types in severe COVID-19.</x:v>
      </x:c>
      <x:c r="E4" s="33" t="str">
        <x:v>10.1038/s41586-021-03710-0</x:v>
      </x:c>
      <x:c r="F4" s="33" t="str">
        <x:v>34153974</x:v>
      </x:c>
      <x:c r="G4" s="33" t="str">
        <x:v>Homo sapiens</x:v>
      </x:c>
      <x:c r="H4" s="33" t="str">
        <x:v>choroid plexus</x:v>
      </x:c>
      <x:c r="I4" s="33" t="str">
        <x:v>choroid plexus</x:v>
      </x:c>
      <x:c r="J4" s="33" t="str">
        <x:v>fetal/developmental; organoid; disease; normal/control</x:v>
      </x:c>
      <x:c r="K4" s="33" t="str">
        <x:v>10x 3' v3</x:v>
      </x:c>
      <x:c r="L4" s="10" t="n">
        <x:v>2</x:v>
      </x:c>
      <x:c r="M4" s="10" t="n">
        <x:v>7</x:v>
      </x:c>
      <x:c r="N4" s="10" t="str">
        <x:v>新版机器提取完成，待人工复核</x:v>
      </x:c>
      <x:c r="O4" s="10" t="n">
        <x:v>11</x:v>
      </x:c>
      <x:c r="P4" s="10" t="n">
        <x:v>5</x:v>
      </x:c>
      <x:c r="Q4" s="33" t="str">
        <x:v>DOI_10.1038_s41586-021-03710-0.md</x:v>
      </x:c>
      <x:c r="R4" s="33" t="str">
        <x:v>matched</x:v>
      </x:c>
      <x:c r="S4" s="33" t="str">
        <x:v>pending_light_review</x:v>
      </x:c>
      <x:c r="T4" s="33" t="n">
        <x:v>0</x:v>
      </x:c>
      <x:c r="U4" s="35" t="str">
        <x:v>scripts/extract_markers/markers_output_v2/DOI_10.1038_s41586-021-03710-0_raw.json</x:v>
      </x:c>
    </x:row>
    <x:row r="5">
      <x:c r="A5" s="26" t="n">
        <x:v>2</x:v>
      </x:c>
      <x:c r="B5" s="10" t="str">
        <x:v>TITLE_single_cell_atlas_of_the_human_optic_nerve</x:v>
      </x:c>
      <x:c r="C5" s="10" t="str">
        <x:v>TITLE_single_cell_atlas_of_the_human_optic_nerve</x:v>
      </x:c>
      <x:c r="D5" s="33" t="str">
        <x:v>Single cell atlas of the human optic nerve</x:v>
      </x:c>
      <x:c r="E5" s="33" t="str"/>
      <x:c r="F5" s="33" t="str"/>
      <x:c r="G5" s="33" t="str">
        <x:v>Homo sapiens</x:v>
      </x:c>
      <x:c r="H5" s="33" t="str">
        <x:v>cranial nerve II</x:v>
      </x:c>
      <x:c r="I5" s="33" t="str"/>
      <x:c r="J5" s="33" t="str"/>
      <x:c r="K5" s="33" t="str">
        <x:v>10x 3' v3</x:v>
      </x:c>
      <x:c r="L5" s="10" t="n">
        <x:v>0</x:v>
      </x:c>
      <x:c r="M5" s="10" t="n">
        <x:v>0</x:v>
      </x:c>
      <x:c r="N5" s="10" t="str">
        <x:v>阻塞：缺有效PDF</x:v>
      </x:c>
      <x:c r="O5" s="10" t="str"/>
      <x:c r="P5" s="10" t="str"/>
      <x:c r="Q5" s="33" t="str"/>
      <x:c r="R5" s="33" t="str">
        <x:v>skipped_missing_markdown</x:v>
      </x:c>
      <x:c r="S5" s="33" t="str">
        <x:v>skipped_missing_markdown</x:v>
      </x:c>
      <x:c r="T5" s="33" t="n">
        <x:v>1</x:v>
      </x:c>
      <x:c r="U5" s="35" t="str"/>
    </x:row>
    <x:row r="6">
      <x:c r="A6" s="26" t="n">
        <x:v>3</x:v>
      </x:c>
      <x:c r="B6" s="10" t="str">
        <x:v>DOI_10.7554_elife.71752</x:v>
      </x:c>
      <x:c r="C6" s="10" t="str">
        <x:v>DOI_10.7554_elife.71752</x:v>
      </x:c>
      <x:c r="D6" s="33" t="str">
        <x:v>Single-nucleus transcriptomic analysis of human dorsal root ganglion neurons.</x:v>
      </x:c>
      <x:c r="E6" s="33" t="str">
        <x:v>10.7554/elife.71752</x:v>
      </x:c>
      <x:c r="F6" s="33" t="str">
        <x:v>34825887</x:v>
      </x:c>
      <x:c r="G6" s="33" t="str">
        <x:v>Homo sapiens</x:v>
      </x:c>
      <x:c r="H6" s="33" t="str">
        <x:v>dorsal root ganglion</x:v>
      </x:c>
      <x:c r="I6" s="33" t="str"/>
      <x:c r="J6" s="33" t="str"/>
      <x:c r="K6" s="33" t="str">
        <x:v>10x 3' v2|10x 3' v3</x:v>
      </x:c>
      <x:c r="L6" s="10" t="n">
        <x:v>0</x:v>
      </x:c>
      <x:c r="M6" s="10" t="n">
        <x:v>0</x:v>
      </x:c>
      <x:c r="N6" s="10" t="str">
        <x:v>快速复核已录入</x:v>
      </x:c>
      <x:c r="O6" s="10" t="str"/>
      <x:c r="P6" s="10" t="str"/>
      <x:c r="Q6" s="33" t="str"/>
      <x:c r="R6" s="33" t="str">
        <x:v>skipped_missing_markdown</x:v>
      </x:c>
      <x:c r="S6" s="33" t="str">
        <x:v>skipped_missing_markdown</x:v>
      </x:c>
      <x:c r="T6" s="33" t="n">
        <x:v>1</x:v>
      </x:c>
      <x:c r="U6" s="35" t="str"/>
    </x:row>
    <x:row r="7">
      <x:c r="A7" s="26" t="n">
        <x:v>4</x:v>
      </x:c>
      <x:c r="B7" s="10" t="str">
        <x:v>DOI_10.1038_s41586-020-2922-4</x:v>
      </x:c>
      <x:c r="C7" s="10" t="str">
        <x:v>DOI_10.1038_s41586-020-2922-4</x:v>
      </x:c>
      <x:c r="D7" s="33" t="str">
        <x:v>A molecular cell atlas of the human lung from single-cell RNA sequencing.</x:v>
      </x:c>
      <x:c r="E7" s="33" t="str">
        <x:v>10.1038/s41586-020-2922-4</x:v>
      </x:c>
      <x:c r="F7" s="33" t="str">
        <x:v>33208946</x:v>
      </x:c>
      <x:c r="G7" s="33" t="str">
        <x:v>Homo sapiens</x:v>
      </x:c>
      <x:c r="H7" s="33" t="str">
        <x:v>blood</x:v>
      </x:c>
      <x:c r="I7" s="33" t="str">
        <x:v>blood</x:v>
      </x:c>
      <x:c r="J7" s="33" t="str">
        <x:v>fetal/developmental; tumor; disease; normal/control</x:v>
      </x:c>
      <x:c r="K7" s="33" t="str">
        <x:v>10x 3' v2</x:v>
      </x:c>
      <x:c r="L7" s="10" t="n">
        <x:v>1</x:v>
      </x:c>
      <x:c r="M7" s="10" t="n">
        <x:v>8</x:v>
      </x:c>
      <x:c r="N7" s="10" t="str">
        <x:v>新版机器提取完成，待人工复核</x:v>
      </x:c>
      <x:c r="O7" s="10" t="n">
        <x:v>19</x:v>
      </x:c>
      <x:c r="P7" s="10" t="n">
        <x:v>108</x:v>
      </x:c>
      <x:c r="Q7" s="33" t="str">
        <x:v>DOI_10.1038_s41586-020-2922-4.md</x:v>
      </x:c>
      <x:c r="R7" s="33" t="str">
        <x:v>matched</x:v>
      </x:c>
      <x:c r="S7" s="33" t="str">
        <x:v>pending_light_review</x:v>
      </x:c>
      <x:c r="T7" s="33" t="n">
        <x:v>1</x:v>
      </x:c>
      <x:c r="U7" s="35" t="str">
        <x:v>scripts/extract_markers/markers_output_v2/DOI_10.1038_s41586-020-2922-4_raw.json</x:v>
      </x:c>
    </x:row>
    <x:row r="8">
      <x:c r="A8" s="26" t="n">
        <x:v>5</x:v>
      </x:c>
      <x:c r="B8" s="10" t="str">
        <x:v>DOI_10.1038_s41588-022-01243-4</x:v>
      </x:c>
      <x:c r="C8" s="10" t="str">
        <x:v>DOI_10.1038_s41588-022-01243-4</x:v>
      </x:c>
      <x:c r="D8" s="33" t="str">
        <x:v>A spatially resolved atlas of the human lung characterizes a gland-associated immune niche.</x:v>
      </x:c>
      <x:c r="E8" s="33" t="str">
        <x:v>10.1038/s41588-022-01243-4</x:v>
      </x:c>
      <x:c r="F8" s="33" t="str">
        <x:v>36543915</x:v>
      </x:c>
      <x:c r="G8" s="33" t="str">
        <x:v>Homo sapiens</x:v>
      </x:c>
      <x:c r="H8" s="33" t="str">
        <x:v>bronchus</x:v>
      </x:c>
      <x:c r="I8" s="33" t="str">
        <x:v>bronchus</x:v>
      </x:c>
      <x:c r="J8" s="33" t="str">
        <x:v>fetal/developmental; tumor; disease; normal/control</x:v>
      </x:c>
      <x:c r="K8" s="33" t="str">
        <x:v>10x 3' v2|10x 3' v3|10x 5' transcription profiling</x:v>
      </x:c>
      <x:c r="L8" s="10" t="n">
        <x:v>7</x:v>
      </x:c>
      <x:c r="M8" s="10" t="n">
        <x:v>8</x:v>
      </x:c>
      <x:c r="N8" s="10" t="str">
        <x:v>快速复核已录入</x:v>
      </x:c>
      <x:c r="O8" s="10" t="n">
        <x:v>46</x:v>
      </x:c>
      <x:c r="P8" s="10" t="n">
        <x:v>43</x:v>
      </x:c>
      <x:c r="Q8" s="33" t="str">
        <x:v>DOI_10.1038_s41588-022-01243-4.md</x:v>
      </x:c>
      <x:c r="R8" s="33" t="str">
        <x:v>matched</x:v>
      </x:c>
      <x:c r="S8" s="33" t="str">
        <x:v>pending_light_review</x:v>
      </x:c>
      <x:c r="T8" s="33" t="n">
        <x:v>0</x:v>
      </x:c>
      <x:c r="U8" s="35" t="str">
        <x:v>scripts/extract_markers/markers_output_v2/DOI_10.1038_s41588-022-01243-4_raw.json</x:v>
      </x:c>
    </x:row>
    <x:row r="9">
      <x:c r="A9" s="26" t="n">
        <x:v>6</x:v>
      </x:c>
      <x:c r="B9" s="10" t="str">
        <x:v>DOI_10.1164_rccm.202207-1384oc</x:v>
      </x:c>
      <x:c r="C9" s="10" t="str">
        <x:v>DOI_10.1164_rccm.202207-1384oc</x:v>
      </x:c>
      <x:c r="D9" s="33" t="str">
        <x:v>A Unique Cellular Organization of Human Distal Airways and Its Disarray in Chronic Obstructive Pulmonary Disease.</x:v>
      </x:c>
      <x:c r="E9" s="33" t="str">
        <x:v>10.1164/rccm.202207-1384oc</x:v>
      </x:c>
      <x:c r="F9" s="33" t="str">
        <x:v>36796082</x:v>
      </x:c>
      <x:c r="G9" s="33" t="str">
        <x:v>Homo sapiens</x:v>
      </x:c>
      <x:c r="H9" s="33" t="str">
        <x:v>bronchus</x:v>
      </x:c>
      <x:c r="I9" s="33" t="str">
        <x:v>bronchus</x:v>
      </x:c>
      <x:c r="J9" s="33" t="str">
        <x:v>fetal/developmental; tumor; disease; normal/control</x:v>
      </x:c>
      <x:c r="K9" s="33" t="str">
        <x:v>10x 3' v2|10x 3' v3</x:v>
      </x:c>
      <x:c r="L9" s="10" t="n">
        <x:v>1</x:v>
      </x:c>
      <x:c r="M9" s="10" t="n">
        <x:v>6</x:v>
      </x:c>
      <x:c r="N9" s="10" t="str">
        <x:v>快速复核已录入</x:v>
      </x:c>
      <x:c r="O9" s="10" t="n">
        <x:v>22</x:v>
      </x:c>
      <x:c r="P9" s="10" t="n">
        <x:v>27</x:v>
      </x:c>
      <x:c r="Q9" s="33" t="str">
        <x:v>DOI_10.1164_rccm.202207-1384oc.md</x:v>
      </x:c>
      <x:c r="R9" s="33" t="str">
        <x:v>matched</x:v>
      </x:c>
      <x:c r="S9" s="33" t="str">
        <x:v>pending_light_review</x:v>
      </x:c>
      <x:c r="T9" s="33" t="n">
        <x:v>2</x:v>
      </x:c>
      <x:c r="U9" s="35" t="str">
        <x:v>scripts/extract_markers/markers_output_v2/DOI_10.1164_rccm.202207-1384oc_raw.json</x:v>
      </x:c>
    </x:row>
    <x:row r="10">
      <x:c r="A10" s="26" t="n">
        <x:v>7</x:v>
      </x:c>
      <x:c r="B10" s="10" t="str">
        <x:v>DOI_10.1038_s41586-021-04345-x</x:v>
      </x:c>
      <x:c r="C10" s="10" t="str">
        <x:v>DOI_10.1038_s41586-021-04345-x</x:v>
      </x:c>
      <x:c r="D10" s="33" t="str">
        <x:v>Local and systemic responses to SARS-CoV-2 infection in children and adults.</x:v>
      </x:c>
      <x:c r="E10" s="33" t="str">
        <x:v>10.1038/s41586-021-04345-x</x:v>
      </x:c>
      <x:c r="F10" s="33" t="str">
        <x:v>34937051</x:v>
      </x:c>
      <x:c r="G10" s="33" t="str">
        <x:v>Homo sapiens</x:v>
      </x:c>
      <x:c r="H10" s="33" t="str">
        <x:v>bronchus</x:v>
      </x:c>
      <x:c r="I10" s="33" t="str">
        <x:v>bronchus</x:v>
      </x:c>
      <x:c r="J10" s="33" t="str">
        <x:v>fetal/developmental; tumor; disease; normal/control</x:v>
      </x:c>
      <x:c r="K10" s="33" t="str">
        <x:v>10x 5' v1|10x 5' v2</x:v>
      </x:c>
      <x:c r="L10" s="10" t="n">
        <x:v>3</x:v>
      </x:c>
      <x:c r="M10" s="10" t="n">
        <x:v>8</x:v>
      </x:c>
      <x:c r="N10" s="10" t="str">
        <x:v>新版机器提取完成，待人工复核</x:v>
      </x:c>
      <x:c r="O10" s="10" t="n">
        <x:v>25</x:v>
      </x:c>
      <x:c r="P10" s="10" t="n">
        <x:v>89</x:v>
      </x:c>
      <x:c r="Q10" s="33" t="str">
        <x:v>DOI_10.1038_s41586-021-04345-x.md</x:v>
      </x:c>
      <x:c r="R10" s="33" t="str">
        <x:v>matched</x:v>
      </x:c>
      <x:c r="S10" s="33" t="str">
        <x:v>pending_light_review</x:v>
      </x:c>
      <x:c r="T10" s="33" t="n">
        <x:v>1</x:v>
      </x:c>
      <x:c r="U10" s="35" t="str">
        <x:v>scripts/extract_markers/markers_output_v2/DOI_10.1038_s41586-021-04345-x_raw.json</x:v>
      </x:c>
    </x:row>
    <x:row r="11">
      <x:c r="A11" s="26" t="n">
        <x:v>8</x:v>
      </x:c>
      <x:c r="B11" s="10" t="str">
        <x:v>DOI_10.1016_j.jcf.2025.01.016</x:v>
      </x:c>
      <x:c r="C11" s="10" t="str">
        <x:v>DOI_10.1016_j.jcf.2025.01.016</x:v>
      </x:c>
      <x:c r="D11" s="33" t="str">
        <x:v>Evidence for altered immune-structural cell crosstalk in cystic fibrosis revealed by single cell transcriptomics.</x:v>
      </x:c>
      <x:c r="E11" s="33" t="str">
        <x:v>10.1016/j.jcf.2025.01.016</x:v>
      </x:c>
      <x:c r="F11" s="33" t="str">
        <x:v>39947933</x:v>
      </x:c>
      <x:c r="G11" s="33" t="str">
        <x:v>Homo sapiens</x:v>
      </x:c>
      <x:c r="H11" s="33" t="str">
        <x:v>carina of trachea</x:v>
      </x:c>
      <x:c r="I11" s="33" t="str">
        <x:v>trachea carina</x:v>
      </x:c>
      <x:c r="J11" s="33" t="str">
        <x:v>fetal/developmental; tumor; disease; normal/control</x:v>
      </x:c>
      <x:c r="K11" s="33" t="str">
        <x:v>10x 3' v2|10x 3' v3</x:v>
      </x:c>
      <x:c r="L11" s="10" t="n">
        <x:v>1</x:v>
      </x:c>
      <x:c r="M11" s="10" t="n">
        <x:v>8</x:v>
      </x:c>
      <x:c r="N11" s="10" t="str">
        <x:v>新版机器提取完成，待人工复核</x:v>
      </x:c>
      <x:c r="O11" s="10" t="n">
        <x:v>2</x:v>
      </x:c>
      <x:c r="P11" s="10" t="n">
        <x:v>3</x:v>
      </x:c>
      <x:c r="Q11" s="33" t="str">
        <x:v>DOI_10.1016_j.jcf.2025.01.016.md</x:v>
      </x:c>
      <x:c r="R11" s="33" t="str">
        <x:v>matched</x:v>
      </x:c>
      <x:c r="S11" s="33" t="str">
        <x:v>pending_light_review</x:v>
      </x:c>
      <x:c r="T11" s="33" t="n">
        <x:v>2</x:v>
      </x:c>
      <x:c r="U11" s="35" t="str">
        <x:v>scripts/extract_markers/markers_output_v2/DOI_10.1016_j.jcf.2025.01.016_raw.json</x:v>
      </x:c>
    </x:row>
    <x:row r="12">
      <x:c r="A12" s="26" t="n">
        <x:v>9</x:v>
      </x:c>
      <x:c r="B12" s="10" t="str">
        <x:v>DOI_10.1016_j.cell.2022.11.005</x:v>
      </x:c>
      <x:c r="C12" s="10" t="str">
        <x:v>DOI_10.1016_j.cell.2022.11.005</x:v>
      </x:c>
      <x:c r="D12" s="33" t="str">
        <x:v>A human fetal lung cell atlas uncovers proximal-distal gradients of differentiation and key regulators of epithelial fates.</x:v>
      </x:c>
      <x:c r="E12" s="33" t="str">
        <x:v>10.1016/j.cell.2022.11.005</x:v>
      </x:c>
      <x:c r="F12" s="33" t="str">
        <x:v>36493756</x:v>
      </x:c>
      <x:c r="G12" s="33" t="str">
        <x:v>Homo sapiens</x:v>
      </x:c>
      <x:c r="H12" s="33" t="str">
        <x:v>lung</x:v>
      </x:c>
      <x:c r="I12" s="33" t="str">
        <x:v>lung</x:v>
      </x:c>
      <x:c r="J12" s="33" t="str">
        <x:v>fetal/developmental; organoid; tumor; disease; normal/control</x:v>
      </x:c>
      <x:c r="K12" s="33" t="str">
        <x:v>10x 5' v1</x:v>
      </x:c>
      <x:c r="L12" s="10" t="n">
        <x:v>4</x:v>
      </x:c>
      <x:c r="M12" s="10" t="n">
        <x:v>8</x:v>
      </x:c>
      <x:c r="N12" s="10" t="str">
        <x:v>快速复核已录入</x:v>
      </x:c>
      <x:c r="O12" s="10" t="n">
        <x:v>26</x:v>
      </x:c>
      <x:c r="P12" s="10" t="n">
        <x:v>207</x:v>
      </x:c>
      <x:c r="Q12" s="33" t="str">
        <x:v>DOI_10.1016_j.cell.2022.11.005.md</x:v>
      </x:c>
      <x:c r="R12" s="33" t="str">
        <x:v>matched</x:v>
      </x:c>
      <x:c r="S12" s="33" t="str">
        <x:v>pending_light_review</x:v>
      </x:c>
      <x:c r="T12" s="33" t="n">
        <x:v>3</x:v>
      </x:c>
      <x:c r="U12" s="35" t="str">
        <x:v>scripts/extract_markers/markers_output_v2/DOI_10.1016_j.cell.2022.11.005_raw.json</x:v>
      </x:c>
    </x:row>
    <x:row r="13">
      <x:c r="A13" s="26" t="n">
        <x:v>10</x:v>
      </x:c>
      <x:c r="B13" s="10" t="str">
        <x:v>DOI_10.1016_j.healun.2026.02.1666</x:v>
      </x:c>
      <x:c r="C13" s="10" t="str">
        <x:v>DOI_10.1016_j.healun.2026.02.1666</x:v>
      </x:c>
      <x:c r="D13" s="33" t="str">
        <x:v>Human lung allografts experience persistent fibrogenic shift following acute cellular rejection.</x:v>
      </x:c>
      <x:c r="E13" s="33" t="str">
        <x:v>10.1016/j.healun.2026.02.1666</x:v>
      </x:c>
      <x:c r="F13" s="33" t="str">
        <x:v>41740941</x:v>
      </x:c>
      <x:c r="G13" s="33" t="str">
        <x:v>Homo sapiens</x:v>
      </x:c>
      <x:c r="H13" s="33" t="str">
        <x:v>lung</x:v>
      </x:c>
      <x:c r="I13" s="33" t="str">
        <x:v>lung</x:v>
      </x:c>
      <x:c r="J13" s="33" t="str">
        <x:v>fetal/developmental; tumor; disease; normal/control</x:v>
      </x:c>
      <x:c r="K13" s="33" t="str">
        <x:v>10x 3' v3|10x 5' v1|10x 5' v2</x:v>
      </x:c>
      <x:c r="L13" s="10" t="n">
        <x:v>2</x:v>
      </x:c>
      <x:c r="M13" s="10" t="n">
        <x:v>7</x:v>
      </x:c>
      <x:c r="N13" s="10" t="str">
        <x:v>阻塞：缺有效PDF</x:v>
      </x:c>
      <x:c r="O13" s="10" t="n">
        <x:v>4</x:v>
      </x:c>
      <x:c r="P13" s="10" t="n">
        <x:v>1</x:v>
      </x:c>
      <x:c r="Q13" s="33" t="str">
        <x:v>DOI_10.1016_j.healun.2026.02.1666.md</x:v>
      </x:c>
      <x:c r="R13" s="33" t="str">
        <x:v>matched</x:v>
      </x:c>
      <x:c r="S13" s="33" t="str">
        <x:v>pending_light_review</x:v>
      </x:c>
      <x:c r="T13" s="33" t="n">
        <x:v>1</x:v>
      </x:c>
      <x:c r="U13" s="35" t="str">
        <x:v>scripts/extract_markers/markers_output_v2/DOI_10.1016_j.healun.2026.02.1666_raw.json</x:v>
      </x:c>
    </x:row>
    <x:row r="14">
      <x:c r="A14" s="26" t="n">
        <x:v>11</x:v>
      </x:c>
      <x:c r="B14" s="10" t="str">
        <x:v>DOI_10.7554_elife.62522</x:v>
      </x:c>
      <x:c r="C14" s="10" t="str">
        <x:v>DOI_10.7554_elife.62522</x:v>
      </x:c>
      <x:c r="D14" s="33" t="str">
        <x:v>Single-cell multiomic profiling of human lungs reveals cell-type-specific and age-dynamic control of SARS-CoV2 host genes.</x:v>
      </x:c>
      <x:c r="E14" s="33" t="str">
        <x:v>10.7554/elife.62522</x:v>
      </x:c>
      <x:c r="F14" s="33" t="str">
        <x:v>33164753</x:v>
      </x:c>
      <x:c r="G14" s="33" t="str">
        <x:v>Homo sapiens</x:v>
      </x:c>
      <x:c r="H14" s="33" t="str">
        <x:v>lung</x:v>
      </x:c>
      <x:c r="I14" s="33" t="str">
        <x:v>lung</x:v>
      </x:c>
      <x:c r="J14" s="33" t="str">
        <x:v>fetal/developmental; organoid; tumor; disease; normal/control</x:v>
      </x:c>
      <x:c r="K14" s="33" t="str">
        <x:v>10x 3' v3</x:v>
      </x:c>
      <x:c r="L14" s="10" t="n">
        <x:v>3</x:v>
      </x:c>
      <x:c r="M14" s="10" t="n">
        <x:v>8</x:v>
      </x:c>
      <x:c r="N14" s="10" t="str">
        <x:v>新版机器提取完成，待人工复核</x:v>
      </x:c>
      <x:c r="O14" s="10" t="n">
        <x:v>0</x:v>
      </x:c>
      <x:c r="P14" s="10" t="n">
        <x:v>4</x:v>
      </x:c>
      <x:c r="Q14" s="33" t="str">
        <x:v>DOI_10.7554_elife.62522.md</x:v>
      </x:c>
      <x:c r="R14" s="33" t="str">
        <x:v>matched</x:v>
      </x:c>
      <x:c r="S14" s="33" t="str">
        <x:v>pending_light_review</x:v>
      </x:c>
      <x:c r="T14" s="33" t="n">
        <x:v>0</x:v>
      </x:c>
      <x:c r="U14" s="35" t="str">
        <x:v>scripts/extract_markers/markers_output_v2/DOI_10.7554_elife.62522_raw.json</x:v>
      </x:c>
    </x:row>
    <x:row r="15">
      <x:c r="A15" s="26" t="n">
        <x:v>12</x:v>
      </x:c>
      <x:c r="B15" s="10" t="str">
        <x:v>DOI_10.1038_s44318-024-00328-6</x:v>
      </x:c>
      <x:c r="C15" s="10" t="str">
        <x:v>DOI_10.1038_s44318-024-00328-6</x:v>
      </x:c>
      <x:c r="D15" s="33" t="str">
        <x:v>A novel human fetal lung-derived alveolar organoid model reveals mechanisms of surfactant protein C maturation relevant to interstitial lung disease.</x:v>
      </x:c>
      <x:c r="E15" s="33" t="str">
        <x:v>10.1038/s44318-024-00328-6</x:v>
      </x:c>
      <x:c r="F15" s="33" t="str">
        <x:v>39815007</x:v>
      </x:c>
      <x:c r="G15" s="33" t="str">
        <x:v>Homo sapiens</x:v>
      </x:c>
      <x:c r="H15" s="33" t="str">
        <x:v>lung</x:v>
      </x:c>
      <x:c r="I15" s="33" t="str">
        <x:v>lung</x:v>
      </x:c>
      <x:c r="J15" s="33" t="str">
        <x:v>fetal/developmental; organoid; tumor; disease; normal/control</x:v>
      </x:c>
      <x:c r="K15" s="33" t="str">
        <x:v>10x 5' v1</x:v>
      </x:c>
      <x:c r="L15" s="10" t="n">
        <x:v>1</x:v>
      </x:c>
      <x:c r="M15" s="10" t="n">
        <x:v>7</x:v>
      </x:c>
      <x:c r="N15" s="10" t="str">
        <x:v>快速复核已录入</x:v>
      </x:c>
      <x:c r="O15" s="10" t="n">
        <x:v>26</x:v>
      </x:c>
      <x:c r="P15" s="10" t="n">
        <x:v>7</x:v>
      </x:c>
      <x:c r="Q15" s="33" t="str">
        <x:v>DOI_10.1038_s44318-024-00328-6.md</x:v>
      </x:c>
      <x:c r="R15" s="33" t="str">
        <x:v>matched</x:v>
      </x:c>
      <x:c r="S15" s="33" t="str">
        <x:v>pending_light_review</x:v>
      </x:c>
      <x:c r="T15" s="33" t="n">
        <x:v>2</x:v>
      </x:c>
      <x:c r="U15" s="35" t="str">
        <x:v>scripts/extract_markers/markers_output_v2/DOI_10.1038_s44318-024-00328-6_raw.json</x:v>
      </x:c>
    </x:row>
    <x:row r="16">
      <x:c r="A16" s="26" t="n">
        <x:v>13</x:v>
      </x:c>
      <x:c r="B16" s="10" t="str">
        <x:v>DOI_10.1126_sciimmunol.adf9988</x:v>
      </x:c>
      <x:c r="C16" s="10" t="str">
        <x:v>DOI_10.1126_sciimmunol.adf9988</x:v>
      </x:c>
      <x:c r="D16" s="33" t="str">
        <x:v>Early human lung immune cell development and its role in epithelial cell fate.</x:v>
      </x:c>
      <x:c r="E16" s="33" t="str">
        <x:v>10.1126/sciimmunol.adf9988</x:v>
      </x:c>
      <x:c r="F16" s="33" t="str">
        <x:v>38100545</x:v>
      </x:c>
      <x:c r="G16" s="33" t="str">
        <x:v>Homo sapiens</x:v>
      </x:c>
      <x:c r="H16" s="33" t="str">
        <x:v>lung</x:v>
      </x:c>
      <x:c r="I16" s="33" t="str">
        <x:v>lung</x:v>
      </x:c>
      <x:c r="J16" s="33" t="str">
        <x:v>fetal/developmental; organoid; tumor; disease; normal/control</x:v>
      </x:c>
      <x:c r="K16" s="33" t="str">
        <x:v>10x 5' transcription profiling</x:v>
      </x:c>
      <x:c r="L16" s="10" t="n">
        <x:v>1</x:v>
      </x:c>
      <x:c r="M16" s="10" t="n">
        <x:v>7</x:v>
      </x:c>
      <x:c r="N16" s="10" t="str">
        <x:v>新版机器提取完成，待人工复核</x:v>
      </x:c>
      <x:c r="O16" s="10" t="n">
        <x:v>21</x:v>
      </x:c>
      <x:c r="P16" s="10" t="n">
        <x:v>73</x:v>
      </x:c>
      <x:c r="Q16" s="33" t="str">
        <x:v>DOI_10.1126_sciimmunol.adf9988.md</x:v>
      </x:c>
      <x:c r="R16" s="33" t="str">
        <x:v>matched</x:v>
      </x:c>
      <x:c r="S16" s="33" t="str">
        <x:v>pending_light_review</x:v>
      </x:c>
      <x:c r="T16" s="33" t="n">
        <x:v>2</x:v>
      </x:c>
      <x:c r="U16" s="35" t="str">
        <x:v>scripts/extract_markers/markers_output_v2/DOI_10.1126_sciimmunol.adf9988_raw.json</x:v>
      </x:c>
    </x:row>
    <x:row r="17">
      <x:c r="A17" s="26" t="n">
        <x:v>14</x:v>
      </x:c>
      <x:c r="B17" s="10" t="str">
        <x:v>DOI_10.1038_s41591-023-02327-2</x:v>
      </x:c>
      <x:c r="C17" s="10" t="str">
        <x:v>DOI_10.1038_s41591-023-02327-2</x:v>
      </x:c>
      <x:c r="D17" s="33" t="str">
        <x:v>An integrated cell atlas of the lung in health and disease.</x:v>
      </x:c>
      <x:c r="E17" s="33" t="str">
        <x:v>10.1038/s41591-023-02327-2</x:v>
      </x:c>
      <x:c r="F17" s="33" t="str">
        <x:v>37291214</x:v>
      </x:c>
      <x:c r="G17" s="33" t="str">
        <x:v>Homo sapiens</x:v>
      </x:c>
      <x:c r="H17" s="33" t="str">
        <x:v>lung</x:v>
      </x:c>
      <x:c r="I17" s="33" t="str">
        <x:v>lung</x:v>
      </x:c>
      <x:c r="J17" s="33" t="str">
        <x:v>fetal/developmental; organoid; tumor; disease; normal/control</x:v>
      </x:c>
      <x:c r="K17" s="33" t="str">
        <x:v>10x 3' v1|10x 3' v2|10x 3' v3|10x 5' transcription profiling|10x 5' v1|10x 5' v2|Drop-seq|Seq-Well</x:v>
      </x:c>
      <x:c r="L17" s="10" t="n">
        <x:v>2</x:v>
      </x:c>
      <x:c r="M17" s="10" t="n">
        <x:v>8</x:v>
      </x:c>
      <x:c r="N17" s="10" t="str">
        <x:v>快速复核已录入</x:v>
      </x:c>
      <x:c r="O17" s="10" t="n">
        <x:v>20</x:v>
      </x:c>
      <x:c r="P17" s="10" t="n">
        <x:v>36</x:v>
      </x:c>
      <x:c r="Q17" s="33" t="str">
        <x:v>DOI_10.1038_s41591-023-02327-2.md</x:v>
      </x:c>
      <x:c r="R17" s="33" t="str">
        <x:v>matched</x:v>
      </x:c>
      <x:c r="S17" s="33" t="str">
        <x:v>pending_light_review</x:v>
      </x:c>
      <x:c r="T17" s="33" t="n">
        <x:v>1</x:v>
      </x:c>
      <x:c r="U17" s="35" t="str">
        <x:v>scripts/extract_markers/markers_output_v2/DOI_10.1038_s41591-023-02327-2_raw.json</x:v>
      </x:c>
    </x:row>
    <x:row r="18">
      <x:c r="A18" s="26" t="n">
        <x:v>15</x:v>
      </x:c>
      <x:c r="B18" s="10" t="str">
        <x:v>DOI_10.1038_s41467-023-40173-5</x:v>
      </x:c>
      <x:c r="C18" s="10" t="str">
        <x:v>DOI_10.1038_s41467-023-40173-5</x:v>
      </x:c>
      <x:c r="D18" s="33" t="str">
        <x:v>Guided construction of single cell reference for human and mouse lung.</x:v>
      </x:c>
      <x:c r="E18" s="33" t="str">
        <x:v>10.1038/s41467-023-40173-5</x:v>
      </x:c>
      <x:c r="F18" s="33" t="str">
        <x:v>37516747</x:v>
      </x:c>
      <x:c r="G18" s="33" t="str">
        <x:v>Homo sapiens</x:v>
      </x:c>
      <x:c r="H18" s="33" t="str">
        <x:v>lung</x:v>
      </x:c>
      <x:c r="I18" s="33" t="str">
        <x:v>lung</x:v>
      </x:c>
      <x:c r="J18" s="33" t="str">
        <x:v>fetal/developmental; disease; normal/control</x:v>
      </x:c>
      <x:c r="K18" s="33" t="str">
        <x:v>10x 3' v2|10x 3' v3|10x 5' v1</x:v>
      </x:c>
      <x:c r="L18" s="10" t="n">
        <x:v>2</x:v>
      </x:c>
      <x:c r="M18" s="10" t="n">
        <x:v>7</x:v>
      </x:c>
      <x:c r="N18" s="10" t="str">
        <x:v>新版机器提取完成，待人工复核</x:v>
      </x:c>
      <x:c r="O18" s="10" t="n">
        <x:v>12</x:v>
      </x:c>
      <x:c r="P18" s="10" t="n">
        <x:v>38</x:v>
      </x:c>
      <x:c r="Q18" s="33" t="str">
        <x:v>DOI_10.1038_s41467-023-40173-5.md</x:v>
      </x:c>
      <x:c r="R18" s="33" t="str">
        <x:v>matched</x:v>
      </x:c>
      <x:c r="S18" s="33" t="str">
        <x:v>pending_light_review</x:v>
      </x:c>
      <x:c r="T18" s="33" t="n">
        <x:v>0</x:v>
      </x:c>
      <x:c r="U18" s="35" t="str">
        <x:v>scripts/extract_markers/markers_output_v2/DOI_10.1038_s41467-023-40173-5_raw.json</x:v>
      </x:c>
    </x:row>
    <x:row r="19">
      <x:c r="A19" s="26" t="n">
        <x:v>16</x:v>
      </x:c>
      <x:c r="B19" s="10" t="str">
        <x:v>DOI_10.1038_s41588-024-01702-0</x:v>
      </x:c>
      <x:c r="C19" s="10" t="str">
        <x:v>DOI_10.1038_s41588-024-01702-0</x:v>
      </x:c>
      <x:c r="D19" s="33" t="str">
        <x:v>Cell-type-specific and disease-associated expression quantitative trait loci in the human lung.</x:v>
      </x:c>
      <x:c r="E19" s="33" t="str">
        <x:v>10.1038/s41588-024-01702-0</x:v>
      </x:c>
      <x:c r="F19" s="33" t="str">
        <x:v>38548990</x:v>
      </x:c>
      <x:c r="G19" s="33" t="str">
        <x:v>Homo sapiens</x:v>
      </x:c>
      <x:c r="H19" s="33" t="str">
        <x:v>lung</x:v>
      </x:c>
      <x:c r="I19" s="33" t="str">
        <x:v>lung</x:v>
      </x:c>
      <x:c r="J19" s="33" t="str">
        <x:v>fetal/developmental; tumor; disease; normal/control</x:v>
      </x:c>
      <x:c r="K19" s="33" t="str">
        <x:v>10x 5' v1|10x 5' v2</x:v>
      </x:c>
      <x:c r="L19" s="10" t="n">
        <x:v>1</x:v>
      </x:c>
      <x:c r="M19" s="10" t="n">
        <x:v>8</x:v>
      </x:c>
      <x:c r="N19" s="10" t="str">
        <x:v>新版机器提取完成，待人工复核</x:v>
      </x:c>
      <x:c r="O19" s="10" t="n">
        <x:v>19</x:v>
      </x:c>
      <x:c r="P19" s="10" t="n">
        <x:v>0</x:v>
      </x:c>
      <x:c r="Q19" s="33" t="str">
        <x:v>DOI_10.1038_s41588-024-01702-0.md</x:v>
      </x:c>
      <x:c r="R19" s="33" t="str">
        <x:v>matched</x:v>
      </x:c>
      <x:c r="S19" s="33" t="str">
        <x:v>pending_light_review</x:v>
      </x:c>
      <x:c r="T19" s="33" t="n">
        <x:v>1</x:v>
      </x:c>
      <x:c r="U19" s="35" t="str">
        <x:v>scripts/extract_markers/markers_output_v2/DOI_10.1038_s41588-024-01702-0_raw.json</x:v>
      </x:c>
    </x:row>
    <x:row r="20">
      <x:c r="A20" s="26" t="n">
        <x:v>17</x:v>
      </x:c>
      <x:c r="B20" s="10" t="str">
        <x:v>DOI_10.1038_s41586-021-03569-1</x:v>
      </x:c>
      <x:c r="C20" s="10" t="str">
        <x:v>DOI_10.1038_s41586-021-03569-1</x:v>
      </x:c>
      <x:c r="D20" s="33" t="str">
        <x:v>A molecular single-cell lung atlas of lethal COVID-19.</x:v>
      </x:c>
      <x:c r="E20" s="33" t="str">
        <x:v>10.1038/s41586-021-03569-1</x:v>
      </x:c>
      <x:c r="F20" s="33" t="str">
        <x:v>33915568</x:v>
      </x:c>
      <x:c r="G20" s="33" t="str">
        <x:v>Homo sapiens</x:v>
      </x:c>
      <x:c r="H20" s="33" t="str">
        <x:v>lung</x:v>
      </x:c>
      <x:c r="I20" s="33" t="str">
        <x:v>lung</x:v>
      </x:c>
      <x:c r="J20" s="33" t="str">
        <x:v>fetal/developmental; tumor; disease; normal/control</x:v>
      </x:c>
      <x:c r="K20" s="33" t="str">
        <x:v>10x 3' v3</x:v>
      </x:c>
      <x:c r="L20" s="10" t="n">
        <x:v>1</x:v>
      </x:c>
      <x:c r="M20" s="10" t="n">
        <x:v>8</x:v>
      </x:c>
      <x:c r="N20" s="10" t="str">
        <x:v>需补证据/重提取</x:v>
      </x:c>
      <x:c r="O20" s="10" t="n">
        <x:v>13</x:v>
      </x:c>
      <x:c r="P20" s="10" t="n">
        <x:v>23</x:v>
      </x:c>
      <x:c r="Q20" s="33" t="str">
        <x:v>DOI_10.1038_s41586-021-03569-1.md</x:v>
      </x:c>
      <x:c r="R20" s="33" t="str">
        <x:v>matched</x:v>
      </x:c>
      <x:c r="S20" s="33" t="str">
        <x:v>pending_light_review</x:v>
      </x:c>
      <x:c r="T20" s="33" t="n">
        <x:v>0</x:v>
      </x:c>
      <x:c r="U20" s="35" t="str">
        <x:v>scripts/extract_markers/markers_output_v2/DOI_10.1038_s41586-021-03569-1_raw.json</x:v>
      </x:c>
    </x:row>
    <x:row r="21">
      <x:c r="A21" s="26" t="n">
        <x:v>18</x:v>
      </x:c>
      <x:c r="B21" s="10" t="str">
        <x:v>DOI_10.1016_j.stem.2022.11.013</x:v>
      </x:c>
      <x:c r="C21" s="10" t="str">
        <x:v>DOI_10.1016_j.stem.2022.11.013</x:v>
      </x:c>
      <x:c r="D21" s="33" t="str">
        <x:v>Organoid modeling of human fetal lung alveolar development reveals mechanisms of cell fate patterning and neonatal respiratory disease.</x:v>
      </x:c>
      <x:c r="E21" s="33" t="str">
        <x:v>10.1016/j.stem.2022.11.013</x:v>
      </x:c>
      <x:c r="F21" s="33" t="str">
        <x:v>36493780</x:v>
      </x:c>
      <x:c r="G21" s="33" t="str">
        <x:v>Homo sapiens</x:v>
      </x:c>
      <x:c r="H21" s="33" t="str">
        <x:v>lung epithelium</x:v>
      </x:c>
      <x:c r="I21" s="33" t="str">
        <x:v>lung epithelium</x:v>
      </x:c>
      <x:c r="J21" s="33" t="str">
        <x:v>fetal/developmental; organoid; tumor; disease; normal/control</x:v>
      </x:c>
      <x:c r="K21" s="33" t="str">
        <x:v>10x 5' v1</x:v>
      </x:c>
      <x:c r="L21" s="10" t="n">
        <x:v>1</x:v>
      </x:c>
      <x:c r="M21" s="10" t="n">
        <x:v>6</x:v>
      </x:c>
      <x:c r="N21" s="10" t="str">
        <x:v>新版机器提取完成，待人工复核</x:v>
      </x:c>
      <x:c r="O21" s="10" t="n">
        <x:v>32</x:v>
      </x:c>
      <x:c r="P21" s="10" t="n">
        <x:v>56</x:v>
      </x:c>
      <x:c r="Q21" s="33" t="str">
        <x:v>DOI_10.1016_j.stem.2022.11.013.md</x:v>
      </x:c>
      <x:c r="R21" s="33" t="str">
        <x:v>matched</x:v>
      </x:c>
      <x:c r="S21" s="33" t="str">
        <x:v>pending_light_review</x:v>
      </x:c>
      <x:c r="T21" s="33" t="n">
        <x:v>3</x:v>
      </x:c>
      <x:c r="U21" s="35" t="str">
        <x:v>scripts/extract_markers/markers_output_v2/DOI_10.1016_j.stem.2022.11.013_raw.json</x:v>
      </x:c>
    </x:row>
    <x:row r="22">
      <x:c r="A22" s="26" t="n">
        <x:v>19</x:v>
      </x:c>
      <x:c r="B22" s="10" t="str">
        <x:v>TITLE_bronchopulmonary_dysplasia</x:v>
      </x:c>
      <x:c r="C22" s="10" t="str">
        <x:v>TITLE_bronchopulmonary_dysplasia</x:v>
      </x:c>
      <x:c r="D22" s="33" t="str">
        <x:v>Bronchopulmonary Dysplasia</x:v>
      </x:c>
      <x:c r="E22" s="33" t="str"/>
      <x:c r="F22" s="33" t="str"/>
      <x:c r="G22" s="33" t="str">
        <x:v>Homo sapiens</x:v>
      </x:c>
      <x:c r="H22" s="33" t="str">
        <x:v>middle lobe of right lung</x:v>
      </x:c>
      <x:c r="I22" s="33" t="str"/>
      <x:c r="J22" s="33" t="str"/>
      <x:c r="K22" s="33" t="str">
        <x:v>10x 3' v3</x:v>
      </x:c>
      <x:c r="L22" s="10" t="n">
        <x:v>0</x:v>
      </x:c>
      <x:c r="M22" s="10" t="n">
        <x:v>0</x:v>
      </x:c>
      <x:c r="N22" s="10" t="str">
        <x:v>阻塞：缺有效PDF</x:v>
      </x:c>
      <x:c r="O22" s="10" t="str"/>
      <x:c r="P22" s="10" t="str"/>
      <x:c r="Q22" s="33" t="str"/>
      <x:c r="R22" s="33" t="str">
        <x:v>skipped_missing_markdown</x:v>
      </x:c>
      <x:c r="S22" s="33" t="str">
        <x:v>skipped_missing_markdown</x:v>
      </x:c>
      <x:c r="T22" s="33" t="n">
        <x:v>1</x:v>
      </x:c>
      <x:c r="U22" s="35" t="str"/>
    </x:row>
    <x:row r="23">
      <x:c r="A23" s="26" t="n">
        <x:v>20</x:v>
      </x:c>
      <x:c r="B23" s="10" t="str">
        <x:v>DOI_10.1016_j.cell.2021.07.023</x:v>
      </x:c>
      <x:c r="C23" s="10" t="str">
        <x:v>DOI_10.1016_j.cell.2021.07.023</x:v>
      </x:c>
      <x:c r="D23" s="33" t="str">
        <x:v>Impaired local intrinsic immunity to SARS-CoV-2 infection in severe COVID-19.</x:v>
      </x:c>
      <x:c r="E23" s="33" t="str">
        <x:v>10.1016/j.cell.2021.07.023</x:v>
      </x:c>
      <x:c r="F23" s="33" t="str">
        <x:v>34352228</x:v>
      </x:c>
      <x:c r="G23" s="33" t="str">
        <x:v>Homo sapiens</x:v>
      </x:c>
      <x:c r="H23" s="33" t="str">
        <x:v>nasopharynx</x:v>
      </x:c>
      <x:c r="I23" s="33" t="str">
        <x:v>nasopharynx</x:v>
      </x:c>
      <x:c r="J23" s="33" t="str">
        <x:v>fetal/developmental; tumor; disease; normal/control</x:v>
      </x:c>
      <x:c r="K23" s="33" t="str">
        <x:v>Seq-Well S3</x:v>
      </x:c>
      <x:c r="L23" s="10" t="n">
        <x:v>3</x:v>
      </x:c>
      <x:c r="M23" s="10" t="n">
        <x:v>8</x:v>
      </x:c>
      <x:c r="N23" s="10" t="str">
        <x:v>需补证据/重提取</x:v>
      </x:c>
      <x:c r="O23" s="10" t="n">
        <x:v>103</x:v>
      </x:c>
      <x:c r="P23" s="10" t="n">
        <x:v>84</x:v>
      </x:c>
      <x:c r="Q23" s="33" t="str">
        <x:v>DOI_10.1016_j.cell.2021.07.023.md</x:v>
      </x:c>
      <x:c r="R23" s="33" t="str">
        <x:v>matched</x:v>
      </x:c>
      <x:c r="S23" s="33" t="str">
        <x:v>pending_light_review</x:v>
      </x:c>
      <x:c r="T23" s="33" t="n">
        <x:v>0</x:v>
      </x:c>
      <x:c r="U23" s="35" t="str">
        <x:v>scripts/extract_markers/markers_output_v2/DOI_10.1016_j.cell.2021.07.023_raw.json</x:v>
      </x:c>
    </x:row>
    <x:row r="24">
      <x:c r="A24" s="26" t="n">
        <x:v>21</x:v>
      </x:c>
      <x:c r="B24" s="10" t="str">
        <x:v>DOI_10.64898_2025.12.18.695268</x:v>
      </x:c>
      <x:c r="C24" s="10" t="str">
        <x:v>DOI_10.64898_2025.12.18.695268</x:v>
      </x:c>
      <x:c r="D24" s="33" t="str">
        <x:v>A poly(A) isoform–aware single-cell and spatial atlas defines fibroblast niches in the human bladder</x:v>
      </x:c>
      <x:c r="E24" s="33" t="str">
        <x:v>10.64898/2025.12.18.695268</x:v>
      </x:c>
      <x:c r="F24" s="33" t="str"/>
      <x:c r="G24" s="33" t="str">
        <x:v>Homo sapiens</x:v>
      </x:c>
      <x:c r="H24" s="33" t="str">
        <x:v>dome of urinary bladder</x:v>
      </x:c>
      <x:c r="I24" s="33" t="str">
        <x:v>urinary bladder</x:v>
      </x:c>
      <x:c r="J24" s="33" t="str">
        <x:v>fetal/developmental; tumor; disease; normal/control</x:v>
      </x:c>
      <x:c r="K24" s="33" t="str">
        <x:v>10x 3' v3</x:v>
      </x:c>
      <x:c r="L24" s="10" t="n">
        <x:v>4</x:v>
      </x:c>
      <x:c r="M24" s="10" t="n">
        <x:v>8</x:v>
      </x:c>
      <x:c r="N24" s="10" t="str">
        <x:v>快速复核已录入</x:v>
      </x:c>
      <x:c r="O24" s="10" t="n">
        <x:v>23</x:v>
      </x:c>
      <x:c r="P24" s="10" t="n">
        <x:v>57</x:v>
      </x:c>
      <x:c r="Q24" s="33" t="str">
        <x:v>DOI_10.64898_2025.12.18.695268.md</x:v>
      </x:c>
      <x:c r="R24" s="33" t="str">
        <x:v>matched</x:v>
      </x:c>
      <x:c r="S24" s="33" t="str">
        <x:v>pending_light_review</x:v>
      </x:c>
      <x:c r="T24" s="33" t="n">
        <x:v>0</x:v>
      </x:c>
      <x:c r="U24" s="35" t="str">
        <x:v>scripts/extract_markers/markers_output_v2/DOI_10.64898_2025.12.18.695268_raw.json</x:v>
      </x:c>
    </x:row>
    <x:row r="25">
      <x:c r="A25" s="26" t="n">
        <x:v>22</x:v>
      </x:c>
      <x:c r="B25" s="10" t="str">
        <x:v>DOI_10.1126_science.aat5031</x:v>
      </x:c>
      <x:c r="C25" s="10" t="str">
        <x:v>DOI_10.1126_science.aat5031</x:v>
      </x:c>
      <x:c r="D25" s="33" t="str">
        <x:v>Spatiotemporal immune zonation of the human kidney.</x:v>
      </x:c>
      <x:c r="E25" s="33" t="str">
        <x:v>10.1126/science.aat5031</x:v>
      </x:c>
      <x:c r="F25" s="33" t="str">
        <x:v>31604275</x:v>
      </x:c>
      <x:c r="G25" s="33" t="str">
        <x:v>Homo sapiens</x:v>
      </x:c>
      <x:c r="H25" s="33" t="str">
        <x:v>kidney</x:v>
      </x:c>
      <x:c r="I25" s="33" t="str">
        <x:v>kidney</x:v>
      </x:c>
      <x:c r="J25" s="33" t="str">
        <x:v>fetal/developmental; tumor; disease; normal/control</x:v>
      </x:c>
      <x:c r="K25" s="33" t="str">
        <x:v>10x 3' v2</x:v>
      </x:c>
      <x:c r="L25" s="10" t="n">
        <x:v>1</x:v>
      </x:c>
      <x:c r="M25" s="10" t="n">
        <x:v>6</x:v>
      </x:c>
      <x:c r="N25" s="10" t="str">
        <x:v>新版机器提取完成，待人工复核</x:v>
      </x:c>
      <x:c r="O25" s="10" t="n">
        <x:v>4</x:v>
      </x:c>
      <x:c r="P25" s="10" t="n">
        <x:v>39</x:v>
      </x:c>
      <x:c r="Q25" s="33" t="str">
        <x:v>DOI_10.1126_science.aat5031.md</x:v>
      </x:c>
      <x:c r="R25" s="33" t="str">
        <x:v>matched</x:v>
      </x:c>
      <x:c r="S25" s="33" t="str">
        <x:v>pending_light_review</x:v>
      </x:c>
      <x:c r="T25" s="33" t="n">
        <x:v>1</x:v>
      </x:c>
      <x:c r="U25" s="35" t="str">
        <x:v>scripts/extract_markers/markers_output_v2/DOI_10.1126_science.aat5031_raw.json</x:v>
      </x:c>
    </x:row>
    <x:row r="26">
      <x:c r="A26" s="26" t="n">
        <x:v>23</x:v>
      </x:c>
      <x:c r="B26" s="10" t="str">
        <x:v>DOI_10.1016_j.isci.2024.111628</x:v>
      </x:c>
      <x:c r="C26" s="10" t="str">
        <x:v>DOI_10.1016_j.isci.2024.111628</x:v>
      </x:c>
      <x:c r="D26" s="33" t="str">
        <x:v>Exploring the utility of snRNA-seq in profiling human bladder tissue: A comprehensive comparison with scRNA-seq.</x:v>
      </x:c>
      <x:c r="E26" s="33" t="str">
        <x:v>10.1016/j.isci.2024.111628</x:v>
      </x:c>
      <x:c r="F26" s="33" t="str">
        <x:v>39850354</x:v>
      </x:c>
      <x:c r="G26" s="33" t="str">
        <x:v>Homo sapiens</x:v>
      </x:c>
      <x:c r="H26" s="33" t="str">
        <x:v>urinary bladder</x:v>
      </x:c>
      <x:c r="I26" s="33" t="str">
        <x:v>urinary bladder</x:v>
      </x:c>
      <x:c r="J26" s="33" t="str">
        <x:v>fetal/developmental; tumor; disease; normal/control</x:v>
      </x:c>
      <x:c r="K26" s="33" t="str">
        <x:v>10x 3' v3</x:v>
      </x:c>
      <x:c r="L26" s="10" t="n">
        <x:v>1</x:v>
      </x:c>
      <x:c r="M26" s="10" t="n">
        <x:v>8</x:v>
      </x:c>
      <x:c r="N26" s="10" t="str">
        <x:v>快速复核已录入</x:v>
      </x:c>
      <x:c r="O26" s="10" t="n">
        <x:v>84</x:v>
      </x:c>
      <x:c r="P26" s="10" t="n">
        <x:v>8</x:v>
      </x:c>
      <x:c r="Q26" s="33" t="str">
        <x:v>DOI_10.1016_j.isci.2024.111628.md</x:v>
      </x:c>
      <x:c r="R26" s="33" t="str">
        <x:v>matched</x:v>
      </x:c>
      <x:c r="S26" s="33" t="str">
        <x:v>pending_light_review</x:v>
      </x:c>
      <x:c r="T26" s="33" t="n">
        <x:v>2</x:v>
      </x:c>
      <x:c r="U26" s="35" t="str">
        <x:v>scripts/extract_markers/markers_output_v2/DOI_10.1016_j.isci.2024.111628_raw.json</x:v>
      </x:c>
    </x:row>
    <x:row r="27">
      <x:c r="A27" s="26" t="n">
        <x:v>24</x:v>
      </x:c>
      <x:c r="B27" s="10" t="str">
        <x:v>DOI_10.1002_pros.24020</x:v>
      </x:c>
      <x:c r="C27" s="10" t="str">
        <x:v>DOI_10.1002_pros.24020</x:v>
      </x:c>
      <x:c r="D27" s="33" t="str">
        <x:v>Urethral luminal epithelia are castration-insensitive cells of the proximal prostate.</x:v>
      </x:c>
      <x:c r="E27" s="33" t="str">
        <x:v>10.1002/pros.24020</x:v>
      </x:c>
      <x:c r="F27" s="33" t="str">
        <x:v>32497356</x:v>
      </x:c>
      <x:c r="G27" s="33" t="str">
        <x:v>Homo sapiens</x:v>
      </x:c>
      <x:c r="H27" s="33" t="str">
        <x:v>peripheral zone of prostate</x:v>
      </x:c>
      <x:c r="I27" s="33" t="str">
        <x:v>prostate gland</x:v>
      </x:c>
      <x:c r="J27" s="33" t="str">
        <x:v>fetal/developmental; tumor; disease; normal/control</x:v>
      </x:c>
      <x:c r="K27" s="33" t="str">
        <x:v>10x 3' v2</x:v>
      </x:c>
      <x:c r="L27" s="10" t="n">
        <x:v>2</x:v>
      </x:c>
      <x:c r="M27" s="10" t="n">
        <x:v>4</x:v>
      </x:c>
      <x:c r="N27" s="10" t="str">
        <x:v>快速复核已录入</x:v>
      </x:c>
      <x:c r="O27" s="10" t="n">
        <x:v>2</x:v>
      </x:c>
      <x:c r="P27" s="10" t="n">
        <x:v>32</x:v>
      </x:c>
      <x:c r="Q27" s="33" t="str">
        <x:v>DOI_10.1002_pros.24020.md</x:v>
      </x:c>
      <x:c r="R27" s="33" t="str">
        <x:v>matched</x:v>
      </x:c>
      <x:c r="S27" s="33" t="str">
        <x:v>pending_light_review</x:v>
      </x:c>
      <x:c r="T27" s="33" t="n">
        <x:v>3</x:v>
      </x:c>
      <x:c r="U27" s="35" t="str">
        <x:v>scripts/extract_markers/markers_output_v2/DOI_10.1002_pros.24020_raw.json</x:v>
      </x:c>
    </x:row>
    <x:row r="28">
      <x:c r="A28" s="26" t="n">
        <x:v>25</x:v>
      </x:c>
      <x:c r="B28" s="10" t="str">
        <x:v>DOI_10.1016_j.celrep.2018.11.086</x:v>
      </x:c>
      <x:c r="C28" s="10" t="str">
        <x:v>DOI_10.1016_j.celrep.2018.11.086</x:v>
      </x:c>
      <x:c r="D28" s="33" t="str">
        <x:v>A Cellular Anatomy of the Normal Adult Human Prostate and Prostatic Urethra.</x:v>
      </x:c>
      <x:c r="E28" s="33" t="str">
        <x:v>10.1016/j.celrep.2018.11.086</x:v>
      </x:c>
      <x:c r="F28" s="33" t="str">
        <x:v>30566875</x:v>
      </x:c>
      <x:c r="G28" s="33" t="str">
        <x:v>Homo sapiens</x:v>
      </x:c>
      <x:c r="H28" s="33" t="str">
        <x:v>peripheral zone of prostate</x:v>
      </x:c>
      <x:c r="I28" s="33" t="str">
        <x:v>prostate gland</x:v>
      </x:c>
      <x:c r="J28" s="33" t="str">
        <x:v>fetal/developmental; organoid; tumor; disease; normal/control</x:v>
      </x:c>
      <x:c r="K28" s="33" t="str">
        <x:v>10x 3' v2</x:v>
      </x:c>
      <x:c r="L28" s="10" t="n">
        <x:v>2</x:v>
      </x:c>
      <x:c r="M28" s="10" t="n">
        <x:v>7</x:v>
      </x:c>
      <x:c r="N28" s="10" t="str">
        <x:v>快速复核已录入</x:v>
      </x:c>
      <x:c r="O28" s="10" t="n">
        <x:v>11</x:v>
      </x:c>
      <x:c r="P28" s="10" t="n">
        <x:v>49</x:v>
      </x:c>
      <x:c r="Q28" s="33" t="str">
        <x:v>DOI_10.1016_j.celrep.2018.11.086.md</x:v>
      </x:c>
      <x:c r="R28" s="33" t="str">
        <x:v>matched</x:v>
      </x:c>
      <x:c r="S28" s="33" t="str">
        <x:v>pending_light_review</x:v>
      </x:c>
      <x:c r="T28" s="33" t="n">
        <x:v>0</x:v>
      </x:c>
      <x:c r="U28" s="35" t="str">
        <x:v>scripts/extract_markers/markers_output_v2/DOI_10.1016_j.celrep.2018.11.086_raw.json</x:v>
      </x:c>
    </x:row>
    <x:row r="29">
      <x:c r="A29" s="26" t="n">
        <x:v>26</x:v>
      </x:c>
      <x:c r="B29" s="10" t="str">
        <x:v>DOI_10.1101_2024.10.23.619925</x:v>
      </x:c>
      <x:c r="C29" s="10" t="str">
        <x:v>DOI_10.1101_2024.10.23.619925</x:v>
      </x:c>
      <x:c r="D29" s="33" t="str">
        <x:v>Profiling of epithelial functional states and fibroblast phenotypes in hormone therapy-naïve localised prostate cancer</x:v>
      </x:c>
      <x:c r="E29" s="33" t="str">
        <x:v>10.1101/2024.10.23.619925</x:v>
      </x:c>
      <x:c r="F29" s="33" t="str"/>
      <x:c r="G29" s="33" t="str">
        <x:v>Homo sapiens</x:v>
      </x:c>
      <x:c r="H29" s="33" t="str">
        <x:v>prostate gland</x:v>
      </x:c>
      <x:c r="I29" s="33" t="str">
        <x:v>prostate gland</x:v>
      </x:c>
      <x:c r="J29" s="33" t="str">
        <x:v>fetal/developmental; tumor; disease; normal/control</x:v>
      </x:c>
      <x:c r="K29" s="33" t="str">
        <x:v>10x 3' v3</x:v>
      </x:c>
      <x:c r="L29" s="10" t="n">
        <x:v>4</x:v>
      </x:c>
      <x:c r="M29" s="10" t="n">
        <x:v>8</x:v>
      </x:c>
      <x:c r="N29" s="10" t="str">
        <x:v>快速复核已录入</x:v>
      </x:c>
      <x:c r="O29" s="10" t="n">
        <x:v>7</x:v>
      </x:c>
      <x:c r="P29" s="10" t="n">
        <x:v>64</x:v>
      </x:c>
      <x:c r="Q29" s="33" t="str">
        <x:v>DOI_10.1101_2024.10.23.619925.md</x:v>
      </x:c>
      <x:c r="R29" s="33" t="str">
        <x:v>matched</x:v>
      </x:c>
      <x:c r="S29" s="33" t="str">
        <x:v>pending_light_review</x:v>
      </x:c>
      <x:c r="T29" s="33" t="n">
        <x:v>1</x:v>
      </x:c>
      <x:c r="U29" s="35" t="str">
        <x:v>scripts/extract_markers/markers_output_v2/DOI_10.1101_2024.10.23.619925_raw.json</x:v>
      </x:c>
    </x:row>
    <x:row r="30">
      <x:c r="A30" s="26" t="n">
        <x:v>27</x:v>
      </x:c>
      <x:c r="B30" s="10" t="str">
        <x:v>DOI_10.1101_2025.01.17.633590</x:v>
      </x:c>
      <x:c r="C30" s="10" t="str">
        <x:v>DOI_10.1101_2025.01.17.633590</x:v>
      </x:c>
      <x:c r="D30" s="33" t="str">
        <x:v>Single-cell decoding of human islet cell type-specific alterations in type 2 diabetes reveals converging genetic- and state-driven β-cell gene expression defects</x:v>
      </x:c>
      <x:c r="E30" s="33" t="str">
        <x:v>10.1101/2025.01.17.633590</x:v>
      </x:c>
      <x:c r="F30" s="33" t="str"/>
      <x:c r="G30" s="33" t="str">
        <x:v>Homo sapiens</x:v>
      </x:c>
      <x:c r="H30" s="33" t="str">
        <x:v>islet of Langerhans</x:v>
      </x:c>
      <x:c r="I30" s="33" t="str">
        <x:v>pancreatic islet</x:v>
      </x:c>
      <x:c r="J30" s="33" t="str">
        <x:v>fetal/developmental; tumor; disease; normal/control</x:v>
      </x:c>
      <x:c r="K30" s="33" t="str">
        <x:v>10x 3' v2|10x 3' v3</x:v>
      </x:c>
      <x:c r="L30" s="10" t="n">
        <x:v>4</x:v>
      </x:c>
      <x:c r="M30" s="10" t="n">
        <x:v>8</x:v>
      </x:c>
      <x:c r="N30" s="10" t="str">
        <x:v>快速复核已录入</x:v>
      </x:c>
      <x:c r="O30" s="10" t="n">
        <x:v>21</x:v>
      </x:c>
      <x:c r="P30" s="10" t="n">
        <x:v>15</x:v>
      </x:c>
      <x:c r="Q30" s="33" t="str">
        <x:v>DOI_10.1101_2025.01.17.633590.md</x:v>
      </x:c>
      <x:c r="R30" s="33" t="str">
        <x:v>matched</x:v>
      </x:c>
      <x:c r="S30" s="33" t="str">
        <x:v>pending_light_review</x:v>
      </x:c>
      <x:c r="T30" s="33" t="n">
        <x:v>1</x:v>
      </x:c>
      <x:c r="U30" s="35" t="str">
        <x:v>scripts/extract_markers/markers_output_v2/DOI_10.1101_2025.01.17.633590_raw.json</x:v>
      </x:c>
    </x:row>
    <x:row r="31">
      <x:c r="A31" s="26" t="n">
        <x:v>28</x:v>
      </x:c>
      <x:c r="B31" s="10" t="str">
        <x:v>DOI_10.1016_j.cell.2017.09.004</x:v>
      </x:c>
      <x:c r="C31" s="10" t="str">
        <x:v>DOI_10.1016_j.cell.2017.09.004</x:v>
      </x:c>
      <x:c r="D31" s="33" t="str">
        <x:v>Single-Cell Analysis of Human Pancreas Reveals Transcriptional Signatures of Aging and Somatic Mutation Patterns.</x:v>
      </x:c>
      <x:c r="E31" s="33" t="str">
        <x:v>10.1016/j.cell.2017.09.004</x:v>
      </x:c>
      <x:c r="F31" s="33" t="str">
        <x:v>28965763</x:v>
      </x:c>
      <x:c r="G31" s="33" t="str">
        <x:v>Homo sapiens</x:v>
      </x:c>
      <x:c r="H31" s="33" t="str">
        <x:v>islet of Langerhans</x:v>
      </x:c>
      <x:c r="I31" s="33" t="str">
        <x:v>pancreatic islet</x:v>
      </x:c>
      <x:c r="J31" s="33" t="str">
        <x:v>fetal/developmental; organoid; tumor; disease; normal/control</x:v>
      </x:c>
      <x:c r="K31" s="33" t="str">
        <x:v>Smart-seq2</x:v>
      </x:c>
      <x:c r="L31" s="10" t="n">
        <x:v>0</x:v>
      </x:c>
      <x:c r="M31" s="10" t="n">
        <x:v>7</x:v>
      </x:c>
      <x:c r="N31" s="10" t="str">
        <x:v>新版机器提取完成，待人工复核</x:v>
      </x:c>
      <x:c r="O31" s="10" t="n">
        <x:v>2</x:v>
      </x:c>
      <x:c r="P31" s="10" t="n">
        <x:v>0</x:v>
      </x:c>
      <x:c r="Q31" s="33" t="str">
        <x:v>DOI_10.1016_j.cell.2017.09.004.md</x:v>
      </x:c>
      <x:c r="R31" s="33" t="str">
        <x:v>matched</x:v>
      </x:c>
      <x:c r="S31" s="33" t="str">
        <x:v>pending_light_review</x:v>
      </x:c>
      <x:c r="T31" s="33" t="n">
        <x:v>1</x:v>
      </x:c>
      <x:c r="U31" s="35" t="str">
        <x:v>scripts/extract_markers/markers_output_v2/DOI_10.1016_j.cell.2017.09.004_raw.json</x:v>
      </x:c>
    </x:row>
    <x:row r="32">
      <x:c r="A32" s="26" t="n">
        <x:v>29</x:v>
      </x:c>
      <x:c r="B32" s="10" t="str">
        <x:v>DOI_10.1038_s41591-024-03215-z</x:v>
      </x:c>
      <x:c r="C32" s="10" t="str">
        <x:v>DOI_10.1038_s41591-024-03215-z</x:v>
      </x:c>
      <x:c r="D32" s="33" t="str">
        <x:v>A multi-modal single-cell and spatial expression map of metastatic breast cancer biopsies across clinicopathological features.</x:v>
      </x:c>
      <x:c r="E32" s="33" t="str">
        <x:v>10.1038/s41591-024-03215-z</x:v>
      </x:c>
      <x:c r="F32" s="33" t="str">
        <x:v>39478111</x:v>
      </x:c>
      <x:c r="G32" s="33" t="str">
        <x:v>Homo sapiens</x:v>
      </x:c>
      <x:c r="H32" s="33" t="str">
        <x:v>liver</x:v>
      </x:c>
      <x:c r="I32" s="33" t="str">
        <x:v>liver</x:v>
      </x:c>
      <x:c r="J32" s="33" t="str">
        <x:v>fetal/developmental; tumor; disease; normal/control</x:v>
      </x:c>
      <x:c r="K32" s="33" t="str">
        <x:v>10x 3' v3</x:v>
      </x:c>
      <x:c r="L32" s="10" t="n">
        <x:v>2</x:v>
      </x:c>
      <x:c r="M32" s="10" t="n">
        <x:v>8</x:v>
      </x:c>
      <x:c r="N32" s="10" t="str">
        <x:v>新版机器提取完成，待人工复核</x:v>
      </x:c>
      <x:c r="O32" s="10" t="n">
        <x:v>12</x:v>
      </x:c>
      <x:c r="P32" s="10" t="n">
        <x:v>35</x:v>
      </x:c>
      <x:c r="Q32" s="33" t="str">
        <x:v>DOI_10.1038_s41591-024-03215-z.md</x:v>
      </x:c>
      <x:c r="R32" s="33" t="str">
        <x:v>matched</x:v>
      </x:c>
      <x:c r="S32" s="33" t="str">
        <x:v>pending_light_review</x:v>
      </x:c>
      <x:c r="T32" s="33" t="n">
        <x:v>0</x:v>
      </x:c>
      <x:c r="U32" s="35" t="str">
        <x:v>scripts/extract_markers/markers_output_v2/DOI_10.1038_s41591-024-03215-z_raw.json</x:v>
      </x:c>
    </x:row>
    <x:row r="33">
      <x:c r="A33" s="26" t="n">
        <x:v>30</x:v>
      </x:c>
      <x:c r="B33" s="10" t="str">
        <x:v>DOI_10.1038_s42003-021-02562-8</x:v>
      </x:c>
      <x:c r="C33" s="10" t="str">
        <x:v>DOI_10.1038_s42003-021-02562-8</x:v>
      </x:c>
      <x:c r="D33" s="33" t="str">
        <x:v>Identification of distinct tumor cell populations and key genetic mechanisms through single cell sequencing in hepatoblastoma.</x:v>
      </x:c>
      <x:c r="E33" s="33" t="str">
        <x:v>10.1038/s42003-021-02562-8</x:v>
      </x:c>
      <x:c r="F33" s="33" t="str">
        <x:v>34497364</x:v>
      </x:c>
      <x:c r="G33" s="33" t="str">
        <x:v>Homo sapiens</x:v>
      </x:c>
      <x:c r="H33" s="33" t="str">
        <x:v>liver</x:v>
      </x:c>
      <x:c r="I33" s="33" t="str">
        <x:v>liver</x:v>
      </x:c>
      <x:c r="J33" s="33" t="str">
        <x:v>fetal/developmental; organoid; tumor; disease; normal/control</x:v>
      </x:c>
      <x:c r="K33" s="33" t="str">
        <x:v>10x 3' v3</x:v>
      </x:c>
      <x:c r="L33" s="10" t="n">
        <x:v>0</x:v>
      </x:c>
      <x:c r="M33" s="10" t="n">
        <x:v>7</x:v>
      </x:c>
      <x:c r="N33" s="10" t="str">
        <x:v>新版机器提取完成，待人工复核</x:v>
      </x:c>
      <x:c r="O33" s="10" t="n">
        <x:v>11</x:v>
      </x:c>
      <x:c r="P33" s="10" t="n">
        <x:v>33</x:v>
      </x:c>
      <x:c r="Q33" s="33" t="str">
        <x:v>DOI_10.1038_s42003-021-02562-8.md</x:v>
      </x:c>
      <x:c r="R33" s="33" t="str">
        <x:v>matched</x:v>
      </x:c>
      <x:c r="S33" s="33" t="str">
        <x:v>pending_light_review</x:v>
      </x:c>
      <x:c r="T33" s="33" t="n">
        <x:v>0</x:v>
      </x:c>
      <x:c r="U33" s="35" t="str">
        <x:v>scripts/extract_markers/markers_output_v2/DOI_10.1038_s42003-021-02562-8_raw.json</x:v>
      </x:c>
    </x:row>
    <x:row r="34">
      <x:c r="A34" s="26" t="n">
        <x:v>31</x:v>
      </x:c>
      <x:c r="B34" s="10" t="str">
        <x:v>DOI_10.1038_s41588-025-02158-6</x:v>
      </x:c>
      <x:c r="C34" s="10" t="str">
        <x:v>DOI_10.1038_s41588-025-02158-6</x:v>
      </x:c>
      <x:c r="D34" s="33" t="str">
        <x:v>Longitudinal single-cell multiomic atlas of high-risk neuroblastoma reveals chemotherapy-induced tumor microenvironment rewiring.</x:v>
      </x:c>
      <x:c r="E34" s="33" t="str">
        <x:v>10.1038/s41588-025-02158-6</x:v>
      </x:c>
      <x:c r="F34" s="33" t="str">
        <x:v>40229600</x:v>
      </x:c>
      <x:c r="G34" s="33" t="str">
        <x:v>Homo sapiens</x:v>
      </x:c>
      <x:c r="H34" s="33" t="str">
        <x:v>abdomen</x:v>
      </x:c>
      <x:c r="I34" s="33" t="str">
        <x:v>abdomen</x:v>
      </x:c>
      <x:c r="J34" s="33" t="str">
        <x:v>fetal/developmental; tumor; disease; normal/control</x:v>
      </x:c>
      <x:c r="K34" s="33" t="str">
        <x:v>10x 3' v3</x:v>
      </x:c>
      <x:c r="L34" s="10" t="n">
        <x:v>3</x:v>
      </x:c>
      <x:c r="M34" s="10" t="n">
        <x:v>8</x:v>
      </x:c>
      <x:c r="N34" s="10" t="str">
        <x:v>快速复核已录入</x:v>
      </x:c>
      <x:c r="O34" s="10" t="n">
        <x:v>44</x:v>
      </x:c>
      <x:c r="P34" s="10" t="n">
        <x:v>11</x:v>
      </x:c>
      <x:c r="Q34" s="33" t="str">
        <x:v>DOI_10.1038_s41588-025-02158-6.md</x:v>
      </x:c>
      <x:c r="R34" s="33" t="str">
        <x:v>matched</x:v>
      </x:c>
      <x:c r="S34" s="33" t="str">
        <x:v>pending_light_review</x:v>
      </x:c>
      <x:c r="T34" s="33" t="n">
        <x:v>1</x:v>
      </x:c>
      <x:c r="U34" s="35" t="str">
        <x:v>scripts/extract_markers/markers_output_v2/DOI_10.1038_s41588-025-02158-6_raw.json</x:v>
      </x:c>
    </x:row>
    <x:row r="35">
      <x:c r="A35" s="26" t="n">
        <x:v>32</x:v>
      </x:c>
      <x:c r="B35" s="10" t="str">
        <x:v>DOI_10.1038_s41586-021-03929-x</x:v>
      </x:c>
      <x:c r="C35" s="10" t="str">
        <x:v>DOI_10.1038_s41586-021-03929-x</x:v>
      </x:c>
      <x:c r="D35" s="33" t="str">
        <x:v>Blood and immune development in human fetal bone marrow and Down syndrome.</x:v>
      </x:c>
      <x:c r="E35" s="33" t="str">
        <x:v>10.1038/s41586-021-03929-x</x:v>
      </x:c>
      <x:c r="F35" s="33" t="str">
        <x:v>34588693</x:v>
      </x:c>
      <x:c r="G35" s="33" t="str">
        <x:v>Homo sapiens</x:v>
      </x:c>
      <x:c r="H35" s="33" t="str">
        <x:v>bone marrow</x:v>
      </x:c>
      <x:c r="I35" s="33" t="str">
        <x:v>bone marrow</x:v>
      </x:c>
      <x:c r="J35" s="33" t="str">
        <x:v>fetal/developmental; tumor; disease; normal/control</x:v>
      </x:c>
      <x:c r="K35" s="33" t="str">
        <x:v>10x 3' v2|10x 5' v1</x:v>
      </x:c>
      <x:c r="L35" s="10" t="n">
        <x:v>1</x:v>
      </x:c>
      <x:c r="M35" s="10" t="n">
        <x:v>8</x:v>
      </x:c>
      <x:c r="N35" s="10" t="str">
        <x:v>新版机器提取完成，待人工复核</x:v>
      </x:c>
      <x:c r="O35" s="10" t="n">
        <x:v>3</x:v>
      </x:c>
      <x:c r="P35" s="10" t="n">
        <x:v>45</x:v>
      </x:c>
      <x:c r="Q35" s="33" t="str">
        <x:v>DOI_10.1038_s41586-021-03929-x.md</x:v>
      </x:c>
      <x:c r="R35" s="33" t="str">
        <x:v>matched</x:v>
      </x:c>
      <x:c r="S35" s="33" t="str">
        <x:v>pending_light_review</x:v>
      </x:c>
      <x:c r="T35" s="33" t="n">
        <x:v>1</x:v>
      </x:c>
      <x:c r="U35" s="35" t="str">
        <x:v>scripts/extract_markers/markers_output_v2/DOI_10.1038_s41586-021-03929-x_raw.json</x:v>
      </x:c>
    </x:row>
    <x:row r="36">
      <x:c r="A36" s="26" t="n">
        <x:v>33</x:v>
      </x:c>
      <x:c r="B36" s="10" t="str">
        <x:v>DOI_10.1038_s41588-025-02182-6</x:v>
      </x:c>
      <x:c r="C36" s="10" t="str">
        <x:v>DOI_10.1038_s41588-025-02182-6</x:v>
      </x:c>
      <x:c r="D36" s="33" t="str">
        <x:v>An integrated transcriptomic cell atlas of human endoderm-derived organoids.</x:v>
      </x:c>
      <x:c r="E36" s="33" t="str">
        <x:v>10.1038/s41588-025-02182-6</x:v>
      </x:c>
      <x:c r="F36" s="33" t="str">
        <x:v>40355592</x:v>
      </x:c>
      <x:c r="G36" s="33" t="str">
        <x:v>Homo sapiens</x:v>
      </x:c>
      <x:c r="H36" s="33" t="str">
        <x:v>alveolar sac</x:v>
      </x:c>
      <x:c r="I36" s="33" t="str">
        <x:v>alveolar sac</x:v>
      </x:c>
      <x:c r="J36" s="33" t="str">
        <x:v>fetal/developmental; organoid; tumor; disease; normal/control</x:v>
      </x:c>
      <x:c r="K36" s="33" t="str">
        <x:v>10x 3' v2|10x 3' v3|10x 5' v1|10x multiome|CEL-seq2|SORT-seq|Seq-Well S3|Smart-seq</x:v>
      </x:c>
      <x:c r="L36" s="10" t="n">
        <x:v>7</x:v>
      </x:c>
      <x:c r="M36" s="10" t="n">
        <x:v>7</x:v>
      </x:c>
      <x:c r="N36" s="10" t="str">
        <x:v>新版机器提取完成，待人工复核</x:v>
      </x:c>
      <x:c r="O36" s="10" t="n">
        <x:v>13</x:v>
      </x:c>
      <x:c r="P36" s="10" t="n">
        <x:v>6</x:v>
      </x:c>
      <x:c r="Q36" s="33" t="str">
        <x:v>DOI_10.1038_s41588-025-02182-6.md</x:v>
      </x:c>
      <x:c r="R36" s="33" t="str">
        <x:v>matched</x:v>
      </x:c>
      <x:c r="S36" s="33" t="str">
        <x:v>pending_light_review</x:v>
      </x:c>
      <x:c r="T36" s="33" t="n">
        <x:v>2</x:v>
      </x:c>
      <x:c r="U36" s="35" t="str">
        <x:v>scripts/extract_markers/markers_output_v2/DOI_10.1038_s41588-025-02182-6_raw.json</x:v>
      </x:c>
    </x:row>
    <x:row r="37">
      <x:c r="A37" s="26" t="n">
        <x:v>34</x:v>
      </x:c>
      <x:c r="B37" s="10" t="str">
        <x:v>DOI_10.1126_science.abl4290</x:v>
      </x:c>
      <x:c r="C37" s="10" t="str">
        <x:v>DOI_10.1126_science.abl4290</x:v>
      </x:c>
      <x:c r="D37" s="33" t="str">
        <x:v>Single-nucleus cross-tissue molecular reference maps toward understanding disease gene function.</x:v>
      </x:c>
      <x:c r="E37" s="33" t="str">
        <x:v>10.1126/science.abl4290</x:v>
      </x:c>
      <x:c r="F37" s="33" t="str">
        <x:v>35549429</x:v>
      </x:c>
      <x:c r="G37" s="33" t="str">
        <x:v>Homo sapiens</x:v>
      </x:c>
      <x:c r="H37" s="33" t="str">
        <x:v>anterior wall of left ventricle</x:v>
      </x:c>
      <x:c r="I37" s="33" t="str">
        <x:v>anterior wall of left ventricle</x:v>
      </x:c>
      <x:c r="J37" s="33" t="str">
        <x:v>fetal/developmental; tumor; disease; normal/control</x:v>
      </x:c>
      <x:c r="K37" s="33" t="str">
        <x:v>10x 3' v2</x:v>
      </x:c>
      <x:c r="L37" s="10" t="n">
        <x:v>6</x:v>
      </x:c>
      <x:c r="M37" s="10" t="n">
        <x:v>8</x:v>
      </x:c>
      <x:c r="N37" s="10" t="str">
        <x:v>新版机器提取完成，待人工复核</x:v>
      </x:c>
      <x:c r="O37" s="10" t="n">
        <x:v>3</x:v>
      </x:c>
      <x:c r="P37" s="10" t="n">
        <x:v>54</x:v>
      </x:c>
      <x:c r="Q37" s="33" t="str">
        <x:v>DOI_10.1126_science.abl4290.md</x:v>
      </x:c>
      <x:c r="R37" s="33" t="str">
        <x:v>matched</x:v>
      </x:c>
      <x:c r="S37" s="33" t="str">
        <x:v>pending_light_review</x:v>
      </x:c>
      <x:c r="T37" s="33" t="n">
        <x:v>1</x:v>
      </x:c>
      <x:c r="U37" s="35" t="str">
        <x:v>scripts/extract_markers/markers_output_v2/DOI_10.1126_science.abl4290_raw.json</x:v>
      </x:c>
    </x:row>
    <x:row r="38">
      <x:c r="A38" s="26" t="n">
        <x:v>35</x:v>
      </x:c>
      <x:c r="B38" s="10" t="str">
        <x:v>DOI_10.1126_science.abo0510</x:v>
      </x:c>
      <x:c r="C38" s="10" t="str">
        <x:v>DOI_10.1126_science.abo0510</x:v>
      </x:c>
      <x:c r="D38" s="33" t="str">
        <x:v>Mapping the developing human immune system across organs.</x:v>
      </x:c>
      <x:c r="E38" s="33" t="str">
        <x:v>10.1126/science.abo0510</x:v>
      </x:c>
      <x:c r="F38" s="33" t="str">
        <x:v>35549310</x:v>
      </x:c>
      <x:c r="G38" s="33" t="str">
        <x:v>Homo sapiens</x:v>
      </x:c>
      <x:c r="H38" s="33" t="str">
        <x:v>bone marrow</x:v>
      </x:c>
      <x:c r="I38" s="33" t="str">
        <x:v>bone marrow</x:v>
      </x:c>
      <x:c r="J38" s="33" t="str">
        <x:v>fetal/developmental; organoid; tumor; disease; normal/control</x:v>
      </x:c>
      <x:c r="K38" s="33" t="str">
        <x:v>10x 3' v2|10x 5' v1</x:v>
      </x:c>
      <x:c r="L38" s="10" t="n">
        <x:v>1</x:v>
      </x:c>
      <x:c r="M38" s="10" t="n">
        <x:v>8</x:v>
      </x:c>
      <x:c r="N38" s="10" t="str">
        <x:v>新版机器提取完成，待人工复核</x:v>
      </x:c>
      <x:c r="O38" s="10" t="n">
        <x:v>22</x:v>
      </x:c>
      <x:c r="P38" s="10" t="n">
        <x:v>38</x:v>
      </x:c>
      <x:c r="Q38" s="33" t="str">
        <x:v>DOI_10.1126_science.abo0510.md</x:v>
      </x:c>
      <x:c r="R38" s="33" t="str">
        <x:v>matched</x:v>
      </x:c>
      <x:c r="S38" s="33" t="str">
        <x:v>pending_light_review</x:v>
      </x:c>
      <x:c r="T38" s="33" t="n">
        <x:v>1</x:v>
      </x:c>
      <x:c r="U38" s="35" t="str">
        <x:v>scripts/extract_markers/markers_output_v2/DOI_10.1126_science.abo0510_raw.json</x:v>
      </x:c>
    </x:row>
    <x:row r="39">
      <x:c r="A39" s="26" t="n">
        <x:v>36</x:v>
      </x:c>
      <x:c r="B39" s="10" t="str">
        <x:v>DOI_10.1038_s41467-024-52052-8</x:v>
      </x:c>
      <x:c r="C39" s="10" t="str">
        <x:v>DOI_10.1038_s41467-024-52052-8</x:v>
      </x:c>
      <x:c r="D39" s="33" t="str">
        <x:v>The single-cell transcriptomic atlas iPain identifies senescence of nociceptors as a therapeutical target for chronic pain treatment.</x:v>
      </x:c>
      <x:c r="E39" s="33" t="str">
        <x:v>10.1038/s41467-024-52052-8</x:v>
      </x:c>
      <x:c r="F39" s="33" t="str">
        <x:v>39362841</x:v>
      </x:c>
      <x:c r="G39" s="33" t="str">
        <x:v>Mus musculus</x:v>
      </x:c>
      <x:c r="H39" s="33" t="str">
        <x:v>dorsal root ganglion</x:v>
      </x:c>
      <x:c r="I39" s="33" t="str">
        <x:v>dorsal root ganglion</x:v>
      </x:c>
      <x:c r="J39" s="33" t="str">
        <x:v>fetal/developmental; tumor; disease; normal/control</x:v>
      </x:c>
      <x:c r="K39" s="33" t="str">
        <x:v>10x 3' v2|10x 3' v3|10x multiome|Smart-seq2|Smart-seq3|inDrop</x:v>
      </x:c>
      <x:c r="L39" s="10" t="n">
        <x:v>4</x:v>
      </x:c>
      <x:c r="M39" s="10" t="n">
        <x:v>7</x:v>
      </x:c>
      <x:c r="N39" s="10" t="str">
        <x:v>快速复核已录入</x:v>
      </x:c>
      <x:c r="O39" s="10" t="n">
        <x:v>2</x:v>
      </x:c>
      <x:c r="P39" s="10" t="n">
        <x:v>4</x:v>
      </x:c>
      <x:c r="Q39" s="33" t="str">
        <x:v>DOI_10.1038_s41467-024-52052-8.md</x:v>
      </x:c>
      <x:c r="R39" s="33" t="str">
        <x:v>matched</x:v>
      </x:c>
      <x:c r="S39" s="33" t="str">
        <x:v>pending_light_review</x:v>
      </x:c>
      <x:c r="T39" s="33" t="n">
        <x:v>1</x:v>
      </x:c>
      <x:c r="U39" s="35" t="str">
        <x:v>scripts/extract_markers/markers_output_v2/DOI_10.1038_s41467-024-52052-8_raw.json</x:v>
      </x:c>
    </x:row>
    <x:row r="40">
      <x:c r="A40" s="26" t="n">
        <x:v>37</x:v>
      </x:c>
      <x:c r="B40" s="10" t="str">
        <x:v>PMID_37120427</x:v>
      </x:c>
      <x:c r="C40" s="10" t="str">
        <x:v>PMID_37120427</x:v>
      </x:c>
      <x:c r="D40" s="33" t="str">
        <x:v>Single cell RNAseq Adult Mouse Lumbar Dorsal Root Ganglia (DRG)</x:v>
      </x:c>
      <x:c r="E40" s="33" t="str"/>
      <x:c r="F40" s="33" t="str">
        <x:v>37120427; 37664243</x:v>
      </x:c>
      <x:c r="G40" s="33" t="str">
        <x:v>Mus musculus</x:v>
      </x:c>
      <x:c r="H40" s="33" t="str">
        <x:v>lumbar dorsal root ganglia L3-L5</x:v>
      </x:c>
      <x:c r="I40" s="33" t="str"/>
      <x:c r="J40" s="33" t="str"/>
      <x:c r="K40" s="33" t="str">
        <x:v>scRNA-seq</x:v>
      </x:c>
      <x:c r="L40" s="10" t="n">
        <x:v>0</x:v>
      </x:c>
      <x:c r="M40" s="10" t="n">
        <x:v>0</x:v>
      </x:c>
      <x:c r="N40" s="10" t="str">
        <x:v>阻塞：需补PDF/接入</x:v>
      </x:c>
      <x:c r="O40" s="10" t="str"/>
      <x:c r="P40" s="10" t="str"/>
      <x:c r="Q40" s="33" t="str"/>
      <x:c r="R40" s="33" t="str">
        <x:v>skipped_missing_markdown</x:v>
      </x:c>
      <x:c r="S40" s="33" t="str">
        <x:v>skipped_missing_markdown</x:v>
      </x:c>
      <x:c r="T40" s="33" t="n">
        <x:v>1</x:v>
      </x:c>
      <x:c r="U40" s="35" t="str"/>
    </x:row>
    <x:row r="41">
      <x:c r="A41" s="26" t="n">
        <x:v>38</x:v>
      </x:c>
      <x:c r="B41" s="10" t="str">
        <x:v>PMID_35115729</x:v>
      </x:c>
      <x:c r="C41" s="10" t="str">
        <x:v>PMID_35115729</x:v>
      </x:c>
      <x:c r="D41" s="33" t="str">
        <x:v>Disentangling glial diversity in peripheral nerves at single-nuclei resolution</x:v>
      </x:c>
      <x:c r="E41" s="33" t="str"/>
      <x:c r="F41" s="33" t="str">
        <x:v>35115729</x:v>
      </x:c>
      <x:c r="G41" s="33" t="str">
        <x:v>Mus musculus</x:v>
      </x:c>
      <x:c r="H41" s="33" t="str">
        <x:v>sciatic nerve</x:v>
      </x:c>
      <x:c r="I41" s="33" t="str">
        <x:v>sciatic nerve</x:v>
      </x:c>
      <x:c r="J41" s="33" t="str">
        <x:v>fetal/developmental; tumor; disease; normal/control</x:v>
      </x:c>
      <x:c r="K41" s="33" t="str">
        <x:v>snRNA-seq; scRNA-seq</x:v>
      </x:c>
      <x:c r="L41" s="10" t="n">
        <x:v>3</x:v>
      </x:c>
      <x:c r="M41" s="10" t="n">
        <x:v>8</x:v>
      </x:c>
      <x:c r="N41" s="10" t="str">
        <x:v>阻塞：需补PDF/接入</x:v>
      </x:c>
      <x:c r="O41" s="10" t="n">
        <x:v>22</x:v>
      </x:c>
      <x:c r="P41" s="10" t="n">
        <x:v>48</x:v>
      </x:c>
      <x:c r="Q41" s="33" t="str">
        <x:v>PMID_35115729.md</x:v>
      </x:c>
      <x:c r="R41" s="33" t="str">
        <x:v>matched</x:v>
      </x:c>
      <x:c r="S41" s="33" t="str">
        <x:v>pending_light_review</x:v>
      </x:c>
      <x:c r="T41" s="33" t="n">
        <x:v>1</x:v>
      </x:c>
      <x:c r="U41" s="35" t="str">
        <x:v>scripts/extract_markers/markers_output_v2/PMID_35115729_raw.json</x:v>
      </x:c>
    </x:row>
    <x:row r="42">
      <x:c r="A42" s="26" t="n">
        <x:v>39</x:v>
      </x:c>
      <x:c r="B42" s="10" t="str">
        <x:v>DOI_10.1101_2025.09.26.678707</x:v>
      </x:c>
      <x:c r="C42" s="10" t="str">
        <x:v>DOI_10.1101_2025.09.26.678707</x:v>
      </x:c>
      <x:c r="D42" s="33" t="str">
        <x:v>Cellular and Spatial Drivers of Unresolved Injury and Functional Decline in the Human Kidney</x:v>
      </x:c>
      <x:c r="E42" s="33" t="str">
        <x:v>10.1101/2025.09.26.678707</x:v>
      </x:c>
      <x:c r="F42" s="33" t="str"/>
      <x:c r="G42" s="33" t="str">
        <x:v>Mus musculus</x:v>
      </x:c>
      <x:c r="H42" s="33" t="str">
        <x:v>kidney</x:v>
      </x:c>
      <x:c r="I42" s="33" t="str">
        <x:v>kidney</x:v>
      </x:c>
      <x:c r="J42" s="33" t="str">
        <x:v>fetal/developmental; tumor; disease; normal/control</x:v>
      </x:c>
      <x:c r="K42" s="33" t="str">
        <x:v>10x 3' v2|10x multiome</x:v>
      </x:c>
      <x:c r="L42" s="10" t="n">
        <x:v>2</x:v>
      </x:c>
      <x:c r="M42" s="10" t="n">
        <x:v>8</x:v>
      </x:c>
      <x:c r="N42" s="10" t="str">
        <x:v>新版机器提取完成，待人工复核</x:v>
      </x:c>
      <x:c r="O42" s="10" t="n">
        <x:v>9</x:v>
      </x:c>
      <x:c r="P42" s="10" t="n">
        <x:v>67</x:v>
      </x:c>
      <x:c r="Q42" s="33" t="str">
        <x:v>DOI_10.1101_2025.09.26.678707.md</x:v>
      </x:c>
      <x:c r="R42" s="33" t="str">
        <x:v>matched</x:v>
      </x:c>
      <x:c r="S42" s="33" t="str">
        <x:v>pending_light_review</x:v>
      </x:c>
      <x:c r="T42" s="33" t="n">
        <x:v>1</x:v>
      </x:c>
      <x:c r="U42" s="35" t="str">
        <x:v>scripts/extract_markers/markers_output_v2/DOI_10.1101_2025.09.26.678707_raw.json</x:v>
      </x:c>
    </x:row>
    <x:row r="43">
      <x:c r="A43" s="26" t="n">
        <x:v>40</x:v>
      </x:c>
      <x:c r="B43" s="10" t="str">
        <x:v>DOI_10.1038_s41467-021-21783-3</x:v>
      </x:c>
      <x:c r="C43" s="10" t="str">
        <x:v>DOI_10.1038_s41467-021-21783-3</x:v>
      </x:c>
      <x:c r="D43" s="33" t="str">
        <x:v>Time-resolved single-cell analysis of Brca1 associated mammary tumourigenesis reveals aberrant differentiation of luminal progenitors.</x:v>
      </x:c>
      <x:c r="E43" s="33" t="str">
        <x:v>10.1038/s41467-021-21783-3</x:v>
      </x:c>
      <x:c r="F43" s="33" t="str">
        <x:v>33686070</x:v>
      </x:c>
      <x:c r="G43" s="33" t="str">
        <x:v>Mus musculus</x:v>
      </x:c>
      <x:c r="H43" s="33" t="str">
        <x:v>mammary gland</x:v>
      </x:c>
      <x:c r="I43" s="33" t="str">
        <x:v>mammary gland</x:v>
      </x:c>
      <x:c r="J43" s="33" t="str">
        <x:v>fetal/developmental; organoid; tumor; disease; normal/control</x:v>
      </x:c>
      <x:c r="K43" s="33" t="str">
        <x:v>10x 3' v2|10x 3' v3</x:v>
      </x:c>
      <x:c r="L43" s="10" t="n">
        <x:v>1</x:v>
      </x:c>
      <x:c r="M43" s="10" t="n">
        <x:v>8</x:v>
      </x:c>
      <x:c r="N43" s="10" t="str">
        <x:v>新版机器提取完成，待人工复核</x:v>
      </x:c>
      <x:c r="O43" s="10" t="n">
        <x:v>6</x:v>
      </x:c>
      <x:c r="P43" s="10" t="n">
        <x:v>10</x:v>
      </x:c>
      <x:c r="Q43" s="33" t="str">
        <x:v>DOI_10.1038_s41467-021-21783-3.md</x:v>
      </x:c>
      <x:c r="R43" s="33" t="str">
        <x:v>matched</x:v>
      </x:c>
      <x:c r="S43" s="33" t="str">
        <x:v>pending_light_review</x:v>
      </x:c>
      <x:c r="T43" s="33" t="n">
        <x:v>1</x:v>
      </x:c>
      <x:c r="U43" s="35" t="str">
        <x:v>scripts/extract_markers/markers_output_v2/DOI_10.1038_s41467-021-21783-3_raw.json</x:v>
      </x:c>
    </x:row>
    <x:row r="44">
      <x:c r="A44" s="26" t="n">
        <x:v>41</x:v>
      </x:c>
      <x:c r="B44" s="10" t="str">
        <x:v>DOI_10.1038_s42255-023-00876-x</x:v>
      </x:c>
      <x:c r="C44" s="10" t="str">
        <x:v>DOI_10.1038_s42255-023-00876-x</x:v>
      </x:c>
      <x:c r="D44" s="33" t="str">
        <x:v>Delineating mouse β-cell identity during lifetime and in diabetes with a single cell atlas.</x:v>
      </x:c>
      <x:c r="E44" s="33" t="str">
        <x:v>10.1038/s42255-023-00876-x</x:v>
      </x:c>
      <x:c r="F44" s="33" t="str">
        <x:v>37697055</x:v>
      </x:c>
      <x:c r="G44" s="33" t="str">
        <x:v>Mus musculus</x:v>
      </x:c>
      <x:c r="H44" s="33" t="str">
        <x:v>islet of Langerhans</x:v>
      </x:c>
      <x:c r="I44" s="33" t="str">
        <x:v>pancreatic islet</x:v>
      </x:c>
      <x:c r="J44" s="33" t="str">
        <x:v>fetal/developmental; tumor; disease; normal/control</x:v>
      </x:c>
      <x:c r="K44" s="33" t="str">
        <x:v>10x 3' v2|10x 3' v3</x:v>
      </x:c>
      <x:c r="L44" s="10" t="n">
        <x:v>3</x:v>
      </x:c>
      <x:c r="M44" s="10" t="n">
        <x:v>8</x:v>
      </x:c>
      <x:c r="N44" s="10" t="str">
        <x:v>快速复核已录入</x:v>
      </x:c>
      <x:c r="O44" s="10" t="n">
        <x:v>48</x:v>
      </x:c>
      <x:c r="P44" s="10" t="n">
        <x:v>35</x:v>
      </x:c>
      <x:c r="Q44" s="33" t="str">
        <x:v>DOI_10.1038_s42255-023-00876-x.md</x:v>
      </x:c>
      <x:c r="R44" s="33" t="str">
        <x:v>matched</x:v>
      </x:c>
      <x:c r="S44" s="33" t="str">
        <x:v>pending_light_review</x:v>
      </x:c>
      <x:c r="T44" s="33" t="n">
        <x:v>0</x:v>
      </x:c>
      <x:c r="U44" s="35" t="str">
        <x:v>scripts/extract_markers/markers_output_v2/DOI_10.1038_s42255-023-00876-x_raw.json</x:v>
      </x:c>
    </x:row>
    <x:row r="45">
      <x:c r="A45" s="26" t="n">
        <x:v>42</x:v>
      </x:c>
      <x:c r="B45" s="10" t="str">
        <x:v>DOI_10.1038_s41586-024-07069-w</x:v>
      </x:c>
      <x:c r="C45" s="10" t="str">
        <x:v>DOI_10.1038_s41586-024-07069-w</x:v>
      </x:c>
      <x:c r="D45" s="33" t="str">
        <x:v>A single-cell time-lapse of mouse prenatal development from gastrula to birth.</x:v>
      </x:c>
      <x:c r="E45" s="33" t="str">
        <x:v>10.1038/s41586-024-07069-w</x:v>
      </x:c>
      <x:c r="F45" s="33" t="str">
        <x:v>38355799</x:v>
      </x:c>
      <x:c r="G45" s="33" t="str">
        <x:v>Mus musculus</x:v>
      </x:c>
      <x:c r="H45" s="33" t="str">
        <x:v>embryo</x:v>
      </x:c>
      <x:c r="I45" s="33" t="str">
        <x:v>embryo</x:v>
      </x:c>
      <x:c r="J45" s="33" t="str">
        <x:v>fetal/developmental; tumor; disease; normal/control</x:v>
      </x:c>
      <x:c r="K45" s="33" t="str">
        <x:v>sci-RNA-seq3</x:v>
      </x:c>
      <x:c r="L45" s="10" t="n">
        <x:v>14</x:v>
      </x:c>
      <x:c r="M45" s="10" t="n">
        <x:v>8</x:v>
      </x:c>
      <x:c r="N45" s="10" t="str">
        <x:v>快速复核已录入</x:v>
      </x:c>
      <x:c r="O45" s="10" t="n">
        <x:v>45</x:v>
      </x:c>
      <x:c r="P45" s="10" t="n">
        <x:v>99</x:v>
      </x:c>
      <x:c r="Q45" s="33" t="str">
        <x:v>DOI_10.1038_s41586-024-07069-w.md</x:v>
      </x:c>
      <x:c r="R45" s="33" t="str">
        <x:v>matched</x:v>
      </x:c>
      <x:c r="S45" s="33" t="str">
        <x:v>pending_light_review</x:v>
      </x:c>
      <x:c r="T45" s="33" t="n">
        <x:v>1</x:v>
      </x:c>
      <x:c r="U45" s="35" t="str">
        <x:v>scripts/extract_markers/markers_output_v2/DOI_10.1038_s41586-024-07069-w_raw.json</x:v>
      </x:c>
    </x:row>
    <x:row r="46">
      <x:c r="A46" s="26" t="n">
        <x:v>43</x:v>
      </x:c>
      <x:c r="B46" s="10" t="str">
        <x:v>DOI_10.1038_s41586-020-2496-1</x:v>
      </x:c>
      <x:c r="C46" s="10" t="str">
        <x:v>DOI_10.1038_s41586-020-2496-1</x:v>
      </x:c>
      <x:c r="D46" s="33" t="str">
        <x:v>A single-cell transcriptomic atlas characterizes ageing tissues in the mouse.</x:v>
      </x:c>
      <x:c r="E46" s="33" t="str">
        <x:v>10.1038/s41586-020-2496-1</x:v>
      </x:c>
      <x:c r="F46" s="33" t="str">
        <x:v>32669714</x:v>
      </x:c>
      <x:c r="G46" s="33" t="str">
        <x:v>Mus musculus</x:v>
      </x:c>
      <x:c r="H46" s="33" t="str">
        <x:v>adipose tissue</x:v>
      </x:c>
      <x:c r="I46" s="33" t="str">
        <x:v>adipose tissue</x:v>
      </x:c>
      <x:c r="J46" s="33" t="str">
        <x:v>fetal/developmental; tumor; disease; normal/control</x:v>
      </x:c>
      <x:c r="K46" s="33" t="str">
        <x:v>10x 3' v2</x:v>
      </x:c>
      <x:c r="L46" s="10" t="n">
        <x:v>0</x:v>
      </x:c>
      <x:c r="M46" s="10" t="n">
        <x:v>8</x:v>
      </x:c>
      <x:c r="N46" s="10" t="str">
        <x:v>新版机器提取完成，待人工复核</x:v>
      </x:c>
      <x:c r="O46" s="10" t="n">
        <x:v>4</x:v>
      </x:c>
      <x:c r="P46" s="10" t="n">
        <x:v>35</x:v>
      </x:c>
      <x:c r="Q46" s="33" t="str">
        <x:v>DOI_10.1038_s41586-020-2496-1.md</x:v>
      </x:c>
      <x:c r="R46" s="33" t="str">
        <x:v>matched</x:v>
      </x:c>
      <x:c r="S46" s="33" t="str">
        <x:v>pending_light_review</x:v>
      </x:c>
      <x:c r="T46" s="33" t="n">
        <x:v>4</x:v>
      </x:c>
      <x:c r="U46" s="35" t="str">
        <x:v>scripts/extract_markers/markers_output_v2/DOI_10.1038_s41586-020-2496-1_raw.json</x:v>
      </x:c>
    </x:row>
    <x:row r="47">
      <x:c r="A47" s="27" t="n">
        <x:v>44</x:v>
      </x:c>
      <x:c r="B47" s="28" t="str">
        <x:v>DOI_10.1038_s42003-024-07315-x</x:v>
      </x:c>
      <x:c r="C47" s="28" t="str">
        <x:v>DOI_10.1038_s42003-024-07315-x</x:v>
      </x:c>
      <x:c r="D47" s="34" t="str">
        <x:v>Cross-species single-cell RNA-seq analysis reveals disparate and conserved cardiac and extracardiac inflammatory responses upon heart injury.</x:v>
      </x:c>
      <x:c r="E47" s="34" t="str">
        <x:v>10.1038/s42003-024-07315-x</x:v>
      </x:c>
      <x:c r="F47" s="34" t="str">
        <x:v>39627536</x:v>
      </x:c>
      <x:c r="G47" s="34" t="str">
        <x:v>Mus musculus</x:v>
      </x:c>
      <x:c r="H47" s="34" t="str">
        <x:v>blood</x:v>
      </x:c>
      <x:c r="I47" s="34" t="str">
        <x:v>blood</x:v>
      </x:c>
      <x:c r="J47" s="34" t="str">
        <x:v>fetal/developmental; tumor; disease; normal/control</x:v>
      </x:c>
      <x:c r="K47" s="34" t="str">
        <x:v>10x 3' v3</x:v>
      </x:c>
      <x:c r="L47" s="28" t="n">
        <x:v>1</x:v>
      </x:c>
      <x:c r="M47" s="28" t="n">
        <x:v>7</x:v>
      </x:c>
      <x:c r="N47" s="28" t="str">
        <x:v>新版机器提取完成，待人工复核</x:v>
      </x:c>
      <x:c r="O47" s="28" t="n">
        <x:v>37</x:v>
      </x:c>
      <x:c r="P47" s="28" t="n">
        <x:v>66</x:v>
      </x:c>
      <x:c r="Q47" s="34" t="str">
        <x:v>DOI_10.1038_s42003-024-07315-x.md</x:v>
      </x:c>
      <x:c r="R47" s="34" t="str">
        <x:v>matched</x:v>
      </x:c>
      <x:c r="S47" s="34" t="str">
        <x:v>pending_light_review</x:v>
      </x:c>
      <x:c r="T47" s="34" t="n">
        <x:v>1</x:v>
      </x:c>
      <x:c r="U47" s="36" t="str">
        <x:v>scripts/extract_markers/markers_output_v2/DOI_10.1038_s42003-024-07315-x_raw.json</x:v>
      </x:c>
    </x:row>
  </x:sheetData>
  <x:pageMargins left="0.7" right="0.7" top="0.75" bottom="0.75" header="0.3" footer="0.3"/>
  <x:tableParts count="1">
    <x:tablePart xmlns:r="http://schemas.openxmlformats.org/officeDocument/2006/relationships" r:id="R0355bb254d374e2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44" hidden="0" customWidth="1"/>
    <x:col min="4" max="4" width="28" hidden="0" customWidth="1"/>
    <x:col min="5" max="5" width="28" hidden="0" customWidth="1"/>
    <x:col min="6" max="6" width="18" hidden="0" customWidth="1"/>
    <x:col min="7" max="7" width="12" hidden="0" customWidth="1"/>
    <x:col min="8" max="8" width="20" hidden="0" customWidth="1"/>
    <x:col min="9" max="9" width="18" hidden="0" customWidth="1"/>
    <x:col min="10" max="10" width="32" hidden="0" customWidth="1"/>
    <x:col min="11" max="11" width="70" hidden="0" customWidth="1"/>
    <x:col min="12" max="12" width="18" hidden="0" customWidth="1"/>
  </x:cols>
  <x:sheetData>
    <x:row r="1">
      <x:c r="A1" s="30" t="str">
        <x:v>task_no</x:v>
      </x:c>
      <x:c r="B1" s="31" t="str">
        <x:v>paper_id</x:v>
      </x:c>
      <x:c r="C1" s="31" t="str">
        <x:v>title_original</x:v>
      </x:c>
      <x:c r="D1" s="31" t="str">
        <x:v>cell_name_original</x:v>
      </x:c>
      <x:c r="E1" s="31" t="str">
        <x:v>cell_name_normalized</x:v>
      </x:c>
      <x:c r="F1" s="31" t="str">
        <x:v>cell_category</x:v>
      </x:c>
      <x:c r="G1" s="31" t="str">
        <x:v>pns_level</x:v>
      </x:c>
      <x:c r="H1" s="31" t="str">
        <x:v>tissue</x:v>
      </x:c>
      <x:c r="I1" s="31" t="str">
        <x:v>evidence_context</x:v>
      </x:c>
      <x:c r="J1" s="31" t="str">
        <x:v>source_locator</x:v>
      </x:c>
      <x:c r="K1" s="31" t="str">
        <x:v>evidence_snippet</x:v>
      </x:c>
      <x:c r="L1" s="32" t="str">
        <x:v>review_status</x:v>
      </x:c>
    </x:row>
    <x:row r="2">
      <x:c r="A2" s="26" t="n">
        <x:v>1</x:v>
      </x:c>
      <x:c r="B2" s="10" t="str">
        <x:v>DOI_10.1038_s41586-021-03710-0</x:v>
      </x:c>
      <x:c r="C2" s="10" t="str">
        <x:v>Dysregulation of brain and choroid plexus cell types in severe COVID-19.</x:v>
      </x:c>
      <x:c r="D2" s="10" t="str">
        <x:v>neuroendocrine</x:v>
      </x:c>
      <x:c r="E2" s="10" t="str">
        <x:v>neuroendocrine</x:v>
      </x:c>
      <x:c r="F2" s="10" t="str">
        <x:v>neuroendocrine</x:v>
      </x:c>
      <x:c r="G2" s="10" t="str">
        <x:v>L4</x:v>
      </x:c>
      <x:c r="H2" s="10" t="str">
        <x:v>choroid plexus</x:v>
      </x:c>
      <x:c r="I2" s="10" t="str">
        <x:v>detected</x:v>
      </x:c>
      <x:c r="J2" s="33" t="str">
        <x:v>Markdown line 345</x:v>
      </x:c>
      <x:c r="K2" s="33" t="str">
        <x:v>associated microglia. a, UMAP of immune cells captured in the human frontal  trajectory (Methods) indicated in graded purple (low) to yellow (high), plotting</x:v>
      </x:c>
      <x:c r="L2" s="23" t="str">
        <x:v>pending</x:v>
      </x:c>
    </x:row>
    <x:row r="3">
      <x:c r="A3" s="26" t="n">
        <x:v>1</x:v>
      </x:c>
      <x:c r="B3" s="10" t="str">
        <x:v>DOI_10.1038_s41586-021-03710-0</x:v>
      </x:c>
      <x:c r="C3" s="10" t="str">
        <x:v>Dysregulation of brain and choroid plexus cell types in severe COVID-19.</x:v>
      </x:c>
      <x:c r="D3" s="10" t="str">
        <x:v>neural cells</x:v>
      </x:c>
      <x:c r="E3" s="10" t="str">
        <x:v>neural cells</x:v>
      </x:c>
      <x:c r="F3" s="10" t="str">
        <x:v>other_neural</x:v>
      </x:c>
      <x:c r="G3" s="10" t="str">
        <x:v>NA</x:v>
      </x:c>
      <x:c r="H3" s="10" t="str">
        <x:v>choroid plexus</x:v>
      </x:c>
      <x:c r="I3" s="10" t="str">
        <x:v>detected</x:v>
      </x:c>
      <x:c r="J3" s="33" t="str">
        <x:v>Markdown line 591</x:v>
      </x:c>
      <x:c r="K3" s="33" t="str">
        <x:v>20. Jacob, F. et al. Human pluripotent stem cell-derived neural cells and brain organoids neocortical layer 2/3. Neuron 78, 28–48 (2013).</x:v>
      </x:c>
      <x:c r="L3" s="23" t="str">
        <x:v>pending</x:v>
      </x:c>
    </x:row>
    <x:row r="4">
      <x:c r="A4" s="26" t="n">
        <x:v>4</x:v>
      </x:c>
      <x:c r="B4" s="10" t="str">
        <x:v>DOI_10.1038_s41586-020-2922-4</x:v>
      </x:c>
      <x:c r="C4" s="10" t="str">
        <x:v>A molecular cell atlas of the human lung from single-cell RNA sequencing.</x:v>
      </x:c>
      <x:c r="D4" s="10" t="str">
        <x:v>neuroendocrine</x:v>
      </x:c>
      <x:c r="E4" s="10" t="str">
        <x:v>neuroendocrine</x:v>
      </x:c>
      <x:c r="F4" s="10" t="str">
        <x:v>neuroendocrine</x:v>
      </x:c>
      <x:c r="G4" s="10" t="str">
        <x:v>L4</x:v>
      </x:c>
      <x:c r="H4" s="10" t="str">
        <x:v>blood</x:v>
      </x:c>
      <x:c r="I4" s="10" t="str">
        <x:v>detected</x:v>
      </x:c>
      <x:c r="J4" s="33" t="str">
        <x:v>Markdown line 80</x:v>
      </x:c>
      <x:c r="K4" s="33" t="str">
        <x:v>We grouped cells based on the expression of compartment-specific Immune cells were the most heterogeneous and included circulat-</x:v>
      </x:c>
      <x:c r="L4" s="23" t="str">
        <x:v>pending</x:v>
      </x:c>
    </x:row>
    <x:row r="5">
      <x:c r="A5" s="26" t="n">
        <x:v>5</x:v>
      </x:c>
      <x:c r="B5" s="10" t="str">
        <x:v>DOI_10.1038_s41588-022-01243-4</x:v>
      </x:c>
      <x:c r="C5" s="10" t="str">
        <x:v>A spatially resolved atlas of the human lung characterizes a gland-associated immune niche.</x:v>
      </x:c>
      <x:c r="D5" s="10" t="str">
        <x:v>Myelinating Schwann cell</x:v>
      </x:c>
      <x:c r="E5" s="10" t="str">
        <x:v>Myelinating Schwann cell</x:v>
      </x:c>
      <x:c r="F5" s="10" t="str">
        <x:v>peripheral_glia</x:v>
      </x:c>
      <x:c r="G5" s="10" t="str">
        <x:v>L2</x:v>
      </x:c>
      <x:c r="H5" s="10" t="str">
        <x:v>bronchus</x:v>
      </x:c>
      <x:c r="I5" s="10" t="str">
        <x:v>detected</x:v>
      </x:c>
      <x:c r="J5" s="33" t="str">
        <x:v>Markdown line 103</x:v>
      </x:c>
      <x:c r="K5" s="33" t="str">
        <x:v>Highlighting our comprehensive approach, we transcriptionally eral nerves: myelinating Schwann cells (mSchwann) (NFASC, NCMAP,</x:v>
      </x:c>
      <x:c r="L5" s="23" t="str">
        <x:v>pending</x:v>
      </x:c>
    </x:row>
    <x:row r="6">
      <x:c r="A6" s="26" t="n">
        <x:v>5</x:v>
      </x:c>
      <x:c r="B6" s="10" t="str">
        <x:v>DOI_10.1038_s41588-022-01243-4</x:v>
      </x:c>
      <x:c r="C6" s="10" t="str">
        <x:v>A spatially resolved atlas of the human lung characterizes a gland-associated immune niche.</x:v>
      </x:c>
      <x:c r="D6" s="10" t="str">
        <x:v>Non-myelinating Schwann cell</x:v>
      </x:c>
      <x:c r="E6" s="10" t="str">
        <x:v>Non-myelinating Schwann cell</x:v>
      </x:c>
      <x:c r="F6" s="10" t="str">
        <x:v>peripheral_glia</x:v>
      </x:c>
      <x:c r="G6" s="10" t="str">
        <x:v>L2</x:v>
      </x:c>
      <x:c r="H6" s="10" t="str">
        <x:v>bronchus</x:v>
      </x:c>
      <x:c r="I6" s="10" t="str">
        <x:v>detected</x:v>
      </x:c>
      <x:c r="J6" s="33" t="str">
        <x:v>Markdown line 103</x:v>
      </x:c>
      <x:c r="K6" s="33" t="str">
        <x:v>Highlighting our comprehensive approach, we transcriptionally eral nerves: myelinating Schwann cells (mSchwann) (NFASC, NCMAP,</x:v>
      </x:c>
      <x:c r="L6" s="23" t="str">
        <x:v>pending</x:v>
      </x:c>
    </x:row>
    <x:row r="7">
      <x:c r="A7" s="26" t="n">
        <x:v>5</x:v>
      </x:c>
      <x:c r="B7" s="10" t="str">
        <x:v>DOI_10.1038_s41588-022-01243-4</x:v>
      </x:c>
      <x:c r="C7" s="10" t="str">
        <x:v>A spatially resolved atlas of the human lung characterizes a gland-associated immune niche.</x:v>
      </x:c>
      <x:c r="D7" s="10" t="str">
        <x:v>Neuroendocrine cell</x:v>
      </x:c>
      <x:c r="E7" s="10" t="str">
        <x:v>Neuroendocrine cell</x:v>
      </x:c>
      <x:c r="F7" s="10" t="str">
        <x:v>neuroendocrine</x:v>
      </x:c>
      <x:c r="G7" s="10" t="str">
        <x:v>L4</x:v>
      </x:c>
      <x:c r="H7" s="10" t="str">
        <x:v>bronchus</x:v>
      </x:c>
      <x:c r="I7" s="10" t="str">
        <x:v>detected</x:v>
      </x:c>
      <x:c r="J7" s="33" t="str">
        <x:v>Markdown line 455</x:v>
      </x:c>
      <x:c r="K7" s="33" t="str">
        <x:v>cells (Extended Data Fig. 7m)43. Overall, we define immune cells of the human lung and airway with</x:v>
      </x:c>
      <x:c r="L7" s="23" t="str">
        <x:v>pending</x:v>
      </x:c>
    </x:row>
    <x:row r="8">
      <x:c r="A8" s="26" t="n">
        <x:v>5</x:v>
      </x:c>
      <x:c r="B8" s="10" t="str">
        <x:v>DOI_10.1038_s41588-022-01243-4</x:v>
      </x:c>
      <x:c r="C8" s="10" t="str">
        <x:v>A spatially resolved atlas of the human lung characterizes a gland-associated immune niche.</x:v>
      </x:c>
      <x:c r="D8" s="10" t="str">
        <x:v>schwann</x:v>
      </x:c>
      <x:c r="E8" s="10" t="str">
        <x:v>schwann</x:v>
      </x:c>
      <x:c r="F8" s="10" t="str">
        <x:v>peripheral_glia</x:v>
      </x:c>
      <x:c r="G8" s="10" t="str">
        <x:v>L2</x:v>
      </x:c>
      <x:c r="H8" s="10" t="str">
        <x:v>bronchus</x:v>
      </x:c>
      <x:c r="I8" s="10" t="str">
        <x:v>detected</x:v>
      </x:c>
      <x:c r="J8" s="33" t="str">
        <x:v>Markdown line 103</x:v>
      </x:c>
      <x:c r="K8" s="33" t="str">
        <x:v>Highlighting our comprehensive approach, we transcriptionally eral nerves: myelinating Schwann cells (mSchwann) (NFASC, NCMAP,</x:v>
      </x:c>
      <x:c r="L8" s="23" t="str">
        <x:v>pending</x:v>
      </x:c>
    </x:row>
    <x:row r="9">
      <x:c r="A9" s="26" t="n">
        <x:v>5</x:v>
      </x:c>
      <x:c r="B9" s="10" t="str">
        <x:v>DOI_10.1038_s41588-022-01243-4</x:v>
      </x:c>
      <x:c r="C9" s="10" t="str">
        <x:v>A spatially resolved atlas of the human lung characterizes a gland-associated immune niche.</x:v>
      </x:c>
      <x:c r="D9" s="10" t="str">
        <x:v>neuroendocrine</x:v>
      </x:c>
      <x:c r="E9" s="10" t="str">
        <x:v>neuroendocrine</x:v>
      </x:c>
      <x:c r="F9" s="10" t="str">
        <x:v>neuroendocrine</x:v>
      </x:c>
      <x:c r="G9" s="10" t="str">
        <x:v>L4</x:v>
      </x:c>
      <x:c r="H9" s="10" t="str">
        <x:v>bronchus</x:v>
      </x:c>
      <x:c r="I9" s="10" t="str">
        <x:v>detected</x:v>
      </x:c>
      <x:c r="J9" s="33" t="str">
        <x:v>Markdown line 455</x:v>
      </x:c>
      <x:c r="K9" s="33" t="str">
        <x:v>cells (Extended Data Fig. 7m)43. Overall, we define immune cells of the human lung and airway with</x:v>
      </x:c>
      <x:c r="L9" s="23" t="str">
        <x:v>pending</x:v>
      </x:c>
    </x:row>
    <x:row r="10">
      <x:c r="A10" s="26" t="n">
        <x:v>5</x:v>
      </x:c>
      <x:c r="B10" s="10" t="str">
        <x:v>DOI_10.1038_s41588-022-01243-4</x:v>
      </x:c>
      <x:c r="C10" s="10" t="str">
        <x:v>A spatially resolved atlas of the human lung characterizes a gland-associated immune niche.</x:v>
      </x:c>
      <x:c r="D10" s="10" t="str">
        <x:v>sensory neuron</x:v>
      </x:c>
      <x:c r="E10" s="10" t="str">
        <x:v>sensory neuron</x:v>
      </x:c>
      <x:c r="F10" s="10" t="str">
        <x:v>neuron</x:v>
      </x:c>
      <x:c r="G10" s="10" t="str">
        <x:v>L1</x:v>
      </x:c>
      <x:c r="H10" s="10" t="str">
        <x:v>bronchus</x:v>
      </x:c>
      <x:c r="I10" s="10" t="str">
        <x:v>detected</x:v>
      </x:c>
      <x:c r="J10" s="33" t="str">
        <x:v>Markdown line 886</x:v>
      </x:c>
      <x:c r="K10" s="33" t="str">
        <x:v>technologies and insights into tissue architecture. Biochem. J. peripheral sensory neuron subtypes after axonal injury. Neuron</x:v>
      </x:c>
      <x:c r="L10" s="23" t="str">
        <x:v>pending</x:v>
      </x:c>
    </x:row>
    <x:row r="11">
      <x:c r="A11" s="26" t="n">
        <x:v>5</x:v>
      </x:c>
      <x:c r="B11" s="10" t="str">
        <x:v>DOI_10.1038_s41588-022-01243-4</x:v>
      </x:c>
      <x:c r="C11" s="10" t="str">
        <x:v>A spatially resolved atlas of the human lung characterizes a gland-associated immune niche.</x:v>
      </x:c>
      <x:c r="D11" s="10" t="str">
        <x:v>sympathetic neuron</x:v>
      </x:c>
      <x:c r="E11" s="10" t="str">
        <x:v>sympathetic neuron</x:v>
      </x:c>
      <x:c r="F11" s="10" t="str">
        <x:v>neuron</x:v>
      </x:c>
      <x:c r="G11" s="10" t="str">
        <x:v>L1</x:v>
      </x:c>
      <x:c r="H11" s="10" t="str">
        <x:v>bronchus</x:v>
      </x:c>
      <x:c r="I11" s="10" t="str">
        <x:v>detected</x:v>
      </x:c>
      <x:c r="J11" s="33" t="str">
        <x:v>Markdown line 945</x:v>
      </x:c>
      <x:c r="K11" s="33" t="str">
        <x:v>46. Pirzgalska, R. M. et al. Sympathetic neuron-associated receptor CCR10 in IgA antibody-secreting cell accumulation. J.</x:v>
      </x:c>
      <x:c r="L11" s="23" t="str">
        <x:v>pending</x:v>
      </x:c>
    </x:row>
    <x:row r="12">
      <x:c r="A12" s="26" t="n">
        <x:v>6</x:v>
      </x:c>
      <x:c r="B12" s="10" t="str">
        <x:v>DOI_10.1164_rccm.202207-1384oc</x:v>
      </x:c>
      <x:c r="C12" s="10" t="str">
        <x:v>A Unique Cellular Organization of Human Distal Airways and Its Disarray in Chronic Obstructive Pulmonary Disease.</x:v>
      </x:c>
      <x:c r="D12" s="10" t="str">
        <x:v>neuroendocrine</x:v>
      </x:c>
      <x:c r="E12" s="10" t="str">
        <x:v>neuroendocrine</x:v>
      </x:c>
      <x:c r="F12" s="10" t="str">
        <x:v>neuroendocrine</x:v>
      </x:c>
      <x:c r="G12" s="10" t="str">
        <x:v>L4</x:v>
      </x:c>
      <x:c r="H12" s="10" t="str">
        <x:v>bronchus</x:v>
      </x:c>
      <x:c r="I12" s="10" t="str">
        <x:v>detected</x:v>
      </x:c>
      <x:c r="J12" s="33" t="str">
        <x:v>Markdown line 239</x:v>
      </x:c>
      <x:c r="K12" s="33" t="str">
        <x:v>|     |     |     | IC    |       |     | C-s |      | NE, neuroendocrine     |     |                                |     | diohpmyL | T                          |     |     |</x:v>
      </x:c>
      <x:c r="L12" s="23" t="str">
        <x:v>pending</x:v>
      </x:c>
    </x:row>
    <x:row r="13">
      <x:c r="A13" s="26" t="n">
        <x:v>7</x:v>
      </x:c>
      <x:c r="B13" s="10" t="str">
        <x:v>DOI_10.1038_s41586-021-04345-x</x:v>
      </x:c>
      <x:c r="C13" s="10" t="str">
        <x:v>Local and systemic responses to SARS-CoV-2 infection in children and adults.</x:v>
      </x:c>
      <x:c r="D13" s="10" t="str">
        <x:v>Neuroendocrine cell</x:v>
      </x:c>
      <x:c r="E13" s="10" t="str">
        <x:v>Neuroendocrine cell</x:v>
      </x:c>
      <x:c r="F13" s="10" t="str">
        <x:v>neuroendocrine</x:v>
      </x:c>
      <x:c r="G13" s="10" t="str">
        <x:v>L4</x:v>
      </x:c>
      <x:c r="H13" s="10" t="str">
        <x:v>bronchus</x:v>
      </x:c>
      <x:c r="I13" s="10" t="str">
        <x:v>detected</x:v>
      </x:c>
      <x:c r="J13" s="33" t="str">
        <x:v>Markdown line 50</x:v>
      </x:c>
      <x:c r="K13" s="33" t="str">
        <x:v>47 further induced especially in airway immune cells. We postulate that higher paediatric innate</x:v>
      </x:c>
      <x:c r="L13" s="23" t="str">
        <x:v>pending</x:v>
      </x:c>
    </x:row>
    <x:row r="14">
      <x:c r="A14" s="26" t="n">
        <x:v>7</x:v>
      </x:c>
      <x:c r="B14" s="10" t="str">
        <x:v>DOI_10.1038_s41586-021-04345-x</x:v>
      </x:c>
      <x:c r="C14" s="10" t="str">
        <x:v>Local and systemic responses to SARS-CoV-2 infection in children and adults.</x:v>
      </x:c>
      <x:c r="D14" s="10" t="str">
        <x:v>neuroendocrine</x:v>
      </x:c>
      <x:c r="E14" s="10" t="str">
        <x:v>neuroendocrine</x:v>
      </x:c>
      <x:c r="F14" s="10" t="str">
        <x:v>neuroendocrine</x:v>
      </x:c>
      <x:c r="G14" s="10" t="str">
        <x:v>L4</x:v>
      </x:c>
      <x:c r="H14" s="10" t="str">
        <x:v>bronchus</x:v>
      </x:c>
      <x:c r="I14" s="10" t="str">
        <x:v>detected</x:v>
      </x:c>
      <x:c r="J14" s="33" t="str">
        <x:v>Markdown line 50</x:v>
      </x:c>
      <x:c r="K14" s="33" t="str">
        <x:v>47 further induced especially in airway immune cells. We postulate that higher paediatric innate</x:v>
      </x:c>
      <x:c r="L14" s="23" t="str">
        <x:v>pending</x:v>
      </x:c>
    </x:row>
    <x:row r="15">
      <x:c r="A15" s="26" t="n">
        <x:v>7</x:v>
      </x:c>
      <x:c r="B15" s="10" t="str">
        <x:v>DOI_10.1038_s41586-021-04345-x</x:v>
      </x:c>
      <x:c r="C15" s="10" t="str">
        <x:v>Local and systemic responses to SARS-CoV-2 infection in children and adults.</x:v>
      </x:c>
      <x:c r="D15" s="10" t="str">
        <x:v>enteroendocrine</x:v>
      </x:c>
      <x:c r="E15" s="10" t="str">
        <x:v>enteroendocrine</x:v>
      </x:c>
      <x:c r="F15" s="10" t="str">
        <x:v>neuroendocrine</x:v>
      </x:c>
      <x:c r="G15" s="10" t="str">
        <x:v>L4</x:v>
      </x:c>
      <x:c r="H15" s="10" t="str">
        <x:v>bronchus</x:v>
      </x:c>
      <x:c r="I15" s="10" t="str">
        <x:v>detected</x:v>
      </x:c>
      <x:c r="J15" s="33" t="str">
        <x:v>Markdown line 3540</x:v>
      </x:c>
      <x:c r="K15" s="33" t="str">
        <x:v>Enteroendocrine Cells</x:v>
      </x:c>
      <x:c r="L15" s="23" t="str">
        <x:v>pending</x:v>
      </x:c>
    </x:row>
    <x:row r="16">
      <x:c r="A16" s="26" t="n">
        <x:v>8</x:v>
      </x:c>
      <x:c r="B16" s="10" t="str">
        <x:v>DOI_10.1016_j.jcf.2025.01.016</x:v>
      </x:c>
      <x:c r="C16" s="10" t="str">
        <x:v>Evidence for altered immune-structural cell crosstalk in cystic fibrosis revealed by single cell transcriptomics.</x:v>
      </x:c>
      <x:c r="D16" s="10" t="str">
        <x:v>neuroendocrine</x:v>
      </x:c>
      <x:c r="E16" s="10" t="str">
        <x:v>neuroendocrine</x:v>
      </x:c>
      <x:c r="F16" s="10" t="str">
        <x:v>neuroendocrine</x:v>
      </x:c>
      <x:c r="G16" s="10" t="str">
        <x:v>L4</x:v>
      </x:c>
      <x:c r="H16" s="10" t="str">
        <x:v>carina of trachea</x:v>
      </x:c>
      <x:c r="I16" s="10" t="str">
        <x:v>detected</x:v>
      </x:c>
      <x:c r="J16" s="33" t="str">
        <x:v>Markdown line 127; section Current address: Department of Genetics, University of Groningen, University Medical Center Groningen, Groningen, Netherlands.</x:v>
      </x:c>
      <x:c r="K16" s="33" t="str">
        <x:v>and immune cells. A disrupted epithelial-immune cell crosstalk has been</x:v>
      </x:c>
      <x:c r="L16" s="23" t="str">
        <x:v>pending</x:v>
      </x:c>
    </x:row>
    <x:row r="17">
      <x:c r="A17" s="26" t="n">
        <x:v>9</x:v>
      </x:c>
      <x:c r="B17" s="10" t="str">
        <x:v>DOI_10.1016_j.cell.2022.11.005</x:v>
      </x:c>
      <x:c r="C17" s="10" t="str">
        <x:v>A human fetal lung cell atlas uncovers proximal-distal gradients of differentiation and key regulators of epithelial fates.</x:v>
      </x:c>
      <x:c r="D17" s="10" t="str">
        <x:v>Pulmonary neuroendocrine cell</x:v>
      </x:c>
      <x:c r="E17" s="10" t="str">
        <x:v>Pulmonary neuroendocrine cell</x:v>
      </x:c>
      <x:c r="F17" s="10" t="str">
        <x:v>neuroendocrine</x:v>
      </x:c>
      <x:c r="G17" s="10" t="str">
        <x:v>L4</x:v>
      </x:c>
      <x:c r="H17" s="10" t="str">
        <x:v>lung</x:v>
      </x:c>
      <x:c r="I17" s="10" t="str">
        <x:v>detected</x:v>
      </x:c>
      <x:c r="J17" s="33" t="str">
        <x:v>Markdown line 491</x:v>
      </x:c>
      <x:c r="K17" s="33" t="str">
        <x:v>trajectory analysis suggested that pulmonary NE and GHRL+ gans.53,54,60,61 We also selected the GHRL+NE-specific RFX6</x:v>
      </x:c>
      <x:c r="L17" s="23" t="str">
        <x:v>pending</x:v>
      </x:c>
    </x:row>
    <x:row r="18">
      <x:c r="A18" s="26" t="n">
        <x:v>9</x:v>
      </x:c>
      <x:c r="B18" s="10" t="str">
        <x:v>DOI_10.1016_j.cell.2022.11.005</x:v>
      </x:c>
      <x:c r="C18" s="10" t="str">
        <x:v>A human fetal lung cell atlas uncovers proximal-distal gradients of differentiation and key regulators of epithelial fates.</x:v>
      </x:c>
      <x:c r="D18" s="10" t="str">
        <x:v>pulmonary neuroendocrine</x:v>
      </x:c>
      <x:c r="E18" s="10" t="str">
        <x:v>pulmonary neuroendocrine</x:v>
      </x:c>
      <x:c r="F18" s="10" t="str">
        <x:v>neuroendocrine</x:v>
      </x:c>
      <x:c r="G18" s="10" t="str">
        <x:v>L4</x:v>
      </x:c>
      <x:c r="H18" s="10" t="str">
        <x:v>lung</x:v>
      </x:c>
      <x:c r="I18" s="10" t="str">
        <x:v>detected</x:v>
      </x:c>
      <x:c r="J18" s="33" t="str">
        <x:v>Markdown line 491</x:v>
      </x:c>
      <x:c r="K18" s="33" t="str">
        <x:v>trajectory analysis suggested that pulmonary NE and GHRL+ gans.53,54,60,61 We also selected the GHRL+NE-specific RFX6</x:v>
      </x:c>
      <x:c r="L18" s="23" t="str">
        <x:v>pending</x:v>
      </x:c>
    </x:row>
    <x:row r="19">
      <x:c r="A19" s="26" t="n">
        <x:v>9</x:v>
      </x:c>
      <x:c r="B19" s="10" t="str">
        <x:v>DOI_10.1016_j.cell.2022.11.005</x:v>
      </x:c>
      <x:c r="C19" s="10" t="str">
        <x:v>A human fetal lung cell atlas uncovers proximal-distal gradients of differentiation and key regulators of epithelial fates.</x:v>
      </x:c>
      <x:c r="D19" s="10" t="str">
        <x:v>neuroendocrine</x:v>
      </x:c>
      <x:c r="E19" s="10" t="str">
        <x:v>neuroendocrine</x:v>
      </x:c>
      <x:c r="F19" s="10" t="str">
        <x:v>neuroendocrine</x:v>
      </x:c>
      <x:c r="G19" s="10" t="str">
        <x:v>L4</x:v>
      </x:c>
      <x:c r="H19" s="10" t="str">
        <x:v>lung</x:v>
      </x:c>
      <x:c r="I19" s="10" t="str">
        <x:v>detected</x:v>
      </x:c>
      <x:c r="J19" s="33" t="str">
        <x:v>Markdown line 25</x:v>
      </x:c>
      <x:c r="K19" s="33" t="str">
        <x:v>d ExperimentalvalidationofTFscontrollingneuroendocrine</x:v>
      </x:c>
      <x:c r="L19" s="23" t="str">
        <x:v>pending</x:v>
      </x:c>
    </x:row>
    <x:row r="20">
      <x:c r="A20" s="26" t="n">
        <x:v>9</x:v>
      </x:c>
      <x:c r="B20" s="10" t="str">
        <x:v>DOI_10.1016_j.cell.2022.11.005</x:v>
      </x:c>
      <x:c r="C20" s="10" t="str">
        <x:v>A human fetal lung cell atlas uncovers proximal-distal gradients of differentiation and key regulators of epithelial fates.</x:v>
      </x:c>
      <x:c r="D20" s="10" t="str">
        <x:v>enteroendocrine</x:v>
      </x:c>
      <x:c r="E20" s="10" t="str">
        <x:v>enteroendocrine</x:v>
      </x:c>
      <x:c r="F20" s="10" t="str">
        <x:v>neuroendocrine</x:v>
      </x:c>
      <x:c r="G20" s="10" t="str">
        <x:v>L4</x:v>
      </x:c>
      <x:c r="H20" s="10" t="str">
        <x:v>lung</x:v>
      </x:c>
      <x:c r="I20" s="10" t="str">
        <x:v>detected</x:v>
      </x:c>
      <x:c r="J20" s="33" t="str">
        <x:v>Markdown line 811</x:v>
      </x:c>
      <x:c r="K20" s="33" t="str">
        <x:v>andRossant,J.(1999).Thebasic-helix-loop-helixproteinpod1iscriti- M.,andGradwohl,G.(2010).Lossofenteroendocrinecellsinmicealters</x:v>
      </x:c>
      <x:c r="L20" s="23" t="str">
        <x:v>pending</x:v>
      </x:c>
    </x:row>
    <x:row r="21">
      <x:c r="A21" s="26" t="n">
        <x:v>10</x:v>
      </x:c>
      <x:c r="B21" s="10" t="str">
        <x:v>DOI_10.1016_j.healun.2026.02.1666</x:v>
      </x:c>
      <x:c r="C21" s="10" t="str">
        <x:v>Human lung allografts experience persistent fibrogenic shift following acute cellular rejection.</x:v>
      </x:c>
      <x:c r="D21" s="10" t="str">
        <x:v>Neuroendocrine cell</x:v>
      </x:c>
      <x:c r="E21" s="10" t="str">
        <x:v>Neuroendocrine cell</x:v>
      </x:c>
      <x:c r="F21" s="10" t="str">
        <x:v>neuroendocrine</x:v>
      </x:c>
      <x:c r="G21" s="10" t="str">
        <x:v>L4</x:v>
      </x:c>
      <x:c r="H21" s="10" t="str">
        <x:v>lung</x:v>
      </x:c>
      <x:c r="I21" s="10" t="str">
        <x:v>detected</x:v>
      </x:c>
      <x:c r="J21" s="33" t="str">
        <x:v>Markdown line 51</x:v>
      </x:c>
      <x:c r="K21" s="33" t="str">
        <x:v>derived immune cells in ACR.</x:v>
      </x:c>
      <x:c r="L21" s="23" t="str">
        <x:v>pending</x:v>
      </x:c>
    </x:row>
    <x:row r="22">
      <x:c r="A22" s="26" t="n">
        <x:v>10</x:v>
      </x:c>
      <x:c r="B22" s="10" t="str">
        <x:v>DOI_10.1016_j.healun.2026.02.1666</x:v>
      </x:c>
      <x:c r="C22" s="10" t="str">
        <x:v>Human lung allografts experience persistent fibrogenic shift following acute cellular rejection.</x:v>
      </x:c>
      <x:c r="D22" s="10" t="str">
        <x:v>neuroendocrine</x:v>
      </x:c>
      <x:c r="E22" s="10" t="str">
        <x:v>neuroendocrine</x:v>
      </x:c>
      <x:c r="F22" s="10" t="str">
        <x:v>neuroendocrine</x:v>
      </x:c>
      <x:c r="G22" s="10" t="str">
        <x:v>L4</x:v>
      </x:c>
      <x:c r="H22" s="10" t="str">
        <x:v>lung</x:v>
      </x:c>
      <x:c r="I22" s="10" t="str">
        <x:v>detected</x:v>
      </x:c>
      <x:c r="J22" s="33" t="str">
        <x:v>Markdown line 51</x:v>
      </x:c>
      <x:c r="K22" s="33" t="str">
        <x:v>derived immune cells in ACR.</x:v>
      </x:c>
      <x:c r="L22" s="23" t="str">
        <x:v>pending</x:v>
      </x:c>
    </x:row>
    <x:row r="23">
      <x:c r="A23" s="26" t="n">
        <x:v>11</x:v>
      </x:c>
      <x:c r="B23" s="10" t="str">
        <x:v>DOI_10.7554_elife.62522</x:v>
      </x:c>
      <x:c r="C23" s="10" t="str">
        <x:v>Single-cell multiomic profiling of human lungs reveals cell-type-specific and age-dynamic control of SARS-CoV2 host genes.</x:v>
      </x:c>
      <x:c r="D23" s="10" t="str">
        <x:v>Pulmonary neuroendocrine cell</x:v>
      </x:c>
      <x:c r="E23" s="10" t="str">
        <x:v>Pulmonary neuroendocrine cell</x:v>
      </x:c>
      <x:c r="F23" s="10" t="str">
        <x:v>neuroendocrine</x:v>
      </x:c>
      <x:c r="G23" s="10" t="str">
        <x:v>L4</x:v>
      </x:c>
      <x:c r="H23" s="10" t="str">
        <x:v>lung</x:v>
      </x:c>
      <x:c r="I23" s="10" t="str">
        <x:v>detected</x:v>
      </x:c>
      <x:c r="J23" s="33" t="str">
        <x:v>Markdown line 145</x:v>
      </x:c>
      <x:c r="K23" s="33" t="str">
        <x:v>alveolar type 1, AT2-alveolar type 2, club, ciliated, basal, and pulmonary neuroendocrine), mesen-</x:v>
      </x:c>
      <x:c r="L23" s="23" t="str">
        <x:v>pending</x:v>
      </x:c>
    </x:row>
    <x:row r="24">
      <x:c r="A24" s="26" t="n">
        <x:v>11</x:v>
      </x:c>
      <x:c r="B24" s="10" t="str">
        <x:v>DOI_10.7554_elife.62522</x:v>
      </x:c>
      <x:c r="C24" s="10" t="str">
        <x:v>Single-cell multiomic profiling of human lungs reveals cell-type-specific and age-dynamic control of SARS-CoV2 host genes.</x:v>
      </x:c>
      <x:c r="D24" s="10" t="str">
        <x:v>pulmonary neuroendocrine</x:v>
      </x:c>
      <x:c r="E24" s="10" t="str">
        <x:v>pulmonary neuroendocrine</x:v>
      </x:c>
      <x:c r="F24" s="10" t="str">
        <x:v>neuroendocrine</x:v>
      </x:c>
      <x:c r="G24" s="10" t="str">
        <x:v>L4</x:v>
      </x:c>
      <x:c r="H24" s="10" t="str">
        <x:v>lung</x:v>
      </x:c>
      <x:c r="I24" s="10" t="str">
        <x:v>detected</x:v>
      </x:c>
      <x:c r="J24" s="33" t="str">
        <x:v>Markdown line 145</x:v>
      </x:c>
      <x:c r="K24" s="33" t="str">
        <x:v>alveolar type 1, AT2-alveolar type 2, club, ciliated, basal, and pulmonary neuroendocrine), mesen-</x:v>
      </x:c>
      <x:c r="L24" s="23" t="str">
        <x:v>pending</x:v>
      </x:c>
    </x:row>
    <x:row r="25">
      <x:c r="A25" s="26" t="n">
        <x:v>11</x:v>
      </x:c>
      <x:c r="B25" s="10" t="str">
        <x:v>DOI_10.7554_elife.62522</x:v>
      </x:c>
      <x:c r="C25" s="10" t="str">
        <x:v>Single-cell multiomic profiling of human lungs reveals cell-type-specific and age-dynamic control of SARS-CoV2 host genes.</x:v>
      </x:c>
      <x:c r="D25" s="10" t="str">
        <x:v>neuroendocrine</x:v>
      </x:c>
      <x:c r="E25" s="10" t="str">
        <x:v>neuroendocrine</x:v>
      </x:c>
      <x:c r="F25" s="10" t="str">
        <x:v>neuroendocrine</x:v>
      </x:c>
      <x:c r="G25" s="10" t="str">
        <x:v>L4</x:v>
      </x:c>
      <x:c r="H25" s="10" t="str">
        <x:v>lung</x:v>
      </x:c>
      <x:c r="I25" s="10" t="str">
        <x:v>detected</x:v>
      </x:c>
      <x:c r="J25" s="33" t="str">
        <x:v>Markdown line 145</x:v>
      </x:c>
      <x:c r="K25" s="33" t="str">
        <x:v>alveolar type 1, AT2-alveolar type 2, club, ciliated, basal, and pulmonary neuroendocrine), mesen-</x:v>
      </x:c>
      <x:c r="L25" s="23" t="str">
        <x:v>pending</x:v>
      </x:c>
    </x:row>
    <x:row r="26">
      <x:c r="A26" s="26" t="n">
        <x:v>12</x:v>
      </x:c>
      <x:c r="B26" s="10" t="str">
        <x:v>DOI_10.1038_s44318-024-00328-6</x:v>
      </x:c>
      <x:c r="C26" s="10" t="str">
        <x:v>A novel human fetal lung-derived alveolar organoid model reveals mechanisms of surfactant protein C maturation relevant to interstitial lung disease.</x:v>
      </x:c>
      <x:c r="D26" s="10" t="str">
        <x:v>neuroendocrine</x:v>
      </x:c>
      <x:c r="E26" s="10" t="str">
        <x:v>neuroendocrine</x:v>
      </x:c>
      <x:c r="F26" s="10" t="str">
        <x:v>neuroendocrine</x:v>
      </x:c>
      <x:c r="G26" s="10" t="str">
        <x:v>L4</x:v>
      </x:c>
      <x:c r="H26" s="10" t="str">
        <x:v>lung</x:v>
      </x:c>
      <x:c r="I26" s="10" t="str">
        <x:v>detected</x:v>
      </x:c>
      <x:c r="J26" s="33" t="str">
        <x:v>Markdown line 312</x:v>
      </x:c>
      <x:c r="K26" s="33" t="str">
        <x:v>OurAT2mediumdirectlyinducesthedifferentiationof16–22pcw ing basal and neuroendocrine cells were present (Figs. 1H,I</x:v>
      </x:c>
      <x:c r="L26" s="23" t="str">
        <x:v>pending</x:v>
      </x:c>
    </x:row>
    <x:row r="27">
      <x:c r="A27" s="26" t="n">
        <x:v>13</x:v>
      </x:c>
      <x:c r="B27" s="10" t="str">
        <x:v>DOI_10.1126_sciimmunol.adf9988</x:v>
      </x:c>
      <x:c r="C27" s="10" t="str">
        <x:v>Early human lung immune cell development and its role in epithelial cell fate.</x:v>
      </x:c>
      <x:c r="D27" s="10" t="str">
        <x:v>neuroendocrine</x:v>
      </x:c>
      <x:c r="E27" s="10" t="str">
        <x:v>neuroendocrine</x:v>
      </x:c>
      <x:c r="F27" s="10" t="str">
        <x:v>neuroendocrine</x:v>
      </x:c>
      <x:c r="G27" s="10" t="str">
        <x:v>L4</x:v>
      </x:c>
      <x:c r="H27" s="10" t="str">
        <x:v>lung</x:v>
      </x:c>
      <x:c r="I27" s="10" t="str">
        <x:v>detected</x:v>
      </x:c>
      <x:c r="J27" s="33" t="str">
        <x:v>Markdown line 174</x:v>
      </x:c>
      <x:c r="K27" s="33" t="str">
        <x:v>and function, but much less is known about the developing lung immune cells, although the</x:v>
      </x:c>
      <x:c r="L27" s="23" t="str">
        <x:v>pending</x:v>
      </x:c>
    </x:row>
    <x:row r="28">
      <x:c r="A28" s="26" t="n">
        <x:v>14</x:v>
      </x:c>
      <x:c r="B28" s="10" t="str">
        <x:v>DOI_10.1038_s41591-023-02327-2</x:v>
      </x:c>
      <x:c r="C28" s="10" t="str">
        <x:v>An integrated cell atlas of the lung in health and disease.</x:v>
      </x:c>
      <x:c r="D28" s="10" t="str">
        <x:v>schwann</x:v>
      </x:c>
      <x:c r="E28" s="10" t="str">
        <x:v>schwann</x:v>
      </x:c>
      <x:c r="F28" s="10" t="str">
        <x:v>peripheral_glia</x:v>
      </x:c>
      <x:c r="G28" s="10" t="str">
        <x:v>L2</x:v>
      </x:c>
      <x:c r="H28" s="10" t="str">
        <x:v>lung</x:v>
      </x:c>
      <x:c r="I28" s="10" t="str">
        <x:v>detected</x:v>
      </x:c>
      <x:c r="J28" s="33" t="str">
        <x:v>Markdown line 625</x:v>
      </x:c>
      <x:c r="K28" s="33" t="str">
        <x:v>nating Schwann cells (n = 7), nonmyelinating Schwann cells (n = 29)</x:v>
      </x:c>
      <x:c r="L28" s="23" t="str">
        <x:v>pending</x:v>
      </x:c>
    </x:row>
    <x:row r="29">
      <x:c r="A29" s="26" t="n">
        <x:v>14</x:v>
      </x:c>
      <x:c r="B29" s="10" t="str">
        <x:v>DOI_10.1038_s41591-023-02327-2</x:v>
      </x:c>
      <x:c r="C29" s="10" t="str">
        <x:v>An integrated cell atlas of the lung in health and disease.</x:v>
      </x:c>
      <x:c r="D29" s="10" t="str">
        <x:v>neuroendocrine</x:v>
      </x:c>
      <x:c r="E29" s="10" t="str">
        <x:v>neuroendocrine</x:v>
      </x:c>
      <x:c r="F29" s="10" t="str">
        <x:v>neuroendocrine</x:v>
      </x:c>
      <x:c r="G29" s="10" t="str">
        <x:v>L4</x:v>
      </x:c>
      <x:c r="H29" s="10" t="str">
        <x:v>lung</x:v>
      </x:c>
      <x:c r="I29" s="10" t="str">
        <x:v>annotation</x:v>
      </x:c>
      <x:c r="J29" s="33" t="str">
        <x:v>Markdown line 232</x:v>
      </x:c>
      <x:c r="K29" s="33" t="str">
        <x:v>Rare cell types, such as ionocytes, tuft cells, neuroendocrine cells and</x:v>
      </x:c>
      <x:c r="L29" s="23" t="str">
        <x:v>pending</x:v>
      </x:c>
    </x:row>
    <x:row r="30">
      <x:c r="A30" s="26" t="n">
        <x:v>15</x:v>
      </x:c>
      <x:c r="B30" s="10" t="str">
        <x:v>DOI_10.1038_s41467-023-40173-5</x:v>
      </x:c>
      <x:c r="C30" s="10" t="str">
        <x:v>Guided construction of single cell reference for human and mouse lung.</x:v>
      </x:c>
      <x:c r="D30" s="10" t="str">
        <x:v>Pulmonary neuroendocrine cell</x:v>
      </x:c>
      <x:c r="E30" s="10" t="str">
        <x:v>Pulmonary neuroendocrine cell</x:v>
      </x:c>
      <x:c r="F30" s="10" t="str">
        <x:v>neuroendocrine</x:v>
      </x:c>
      <x:c r="G30" s="10" t="str">
        <x:v>L4</x:v>
      </x:c>
      <x:c r="H30" s="10" t="str">
        <x:v>lung</x:v>
      </x:c>
      <x:c r="I30" s="10" t="str">
        <x:v>detected</x:v>
      </x:c>
      <x:c r="J30" s="33" t="str">
        <x:v>Markdown line 144</x:v>
      </x:c>
      <x:c r="K30" s="33" t="str">
        <x:v>onv2/v3andSingleCell5’chemistry.Intotal,505,256lungcellsfrom (AT1,AT2,basal,ciliated,goblet,myoepithelial[MEC],mucous,PNEC,</x:v>
      </x:c>
      <x:c r="L30" s="23" t="str">
        <x:v>pending</x:v>
      </x:c>
    </x:row>
    <x:row r="31">
      <x:c r="A31" s="26" t="n">
        <x:v>15</x:v>
      </x:c>
      <x:c r="B31" s="10" t="str">
        <x:v>DOI_10.1038_s41467-023-40173-5</x:v>
      </x:c>
      <x:c r="C31" s="10" t="str">
        <x:v>Guided construction of single cell reference for human and mouse lung.</x:v>
      </x:c>
      <x:c r="D31" s="10" t="str">
        <x:v>pulmonary neuroendocrine</x:v>
      </x:c>
      <x:c r="E31" s="10" t="str">
        <x:v>pulmonary neuroendocrine</x:v>
      </x:c>
      <x:c r="F31" s="10" t="str">
        <x:v>neuroendocrine</x:v>
      </x:c>
      <x:c r="G31" s="10" t="str">
        <x:v>L4</x:v>
      </x:c>
      <x:c r="H31" s="10" t="str">
        <x:v>lung</x:v>
      </x:c>
      <x:c r="I31" s="10" t="str">
        <x:v>detected</x:v>
      </x:c>
      <x:c r="J31" s="33" t="str">
        <x:v>Markdown line 144</x:v>
      </x:c>
      <x:c r="K31" s="33" t="str">
        <x:v>onv2/v3andSingleCell5’chemistry.Intotal,505,256lungcellsfrom (AT1,AT2,basal,ciliated,goblet,myoepithelial[MEC],mucous,PNEC,</x:v>
      </x:c>
      <x:c r="L31" s="23" t="str">
        <x:v>pending</x:v>
      </x:c>
    </x:row>
    <x:row r="32">
      <x:c r="A32" s="26" t="n">
        <x:v>16</x:v>
      </x:c>
      <x:c r="B32" s="10" t="str">
        <x:v>DOI_10.1038_s41588-024-01702-0</x:v>
      </x:c>
      <x:c r="C32" s="10" t="str">
        <x:v>Cell-type-specific and disease-associated expression quantitative trait loci in the human lung.</x:v>
      </x:c>
      <x:c r="D32" s="10" t="str">
        <x:v>neuroendocrine</x:v>
      </x:c>
      <x:c r="E32" s="10" t="str">
        <x:v>neuroendocrine</x:v>
      </x:c>
      <x:c r="F32" s="10" t="str">
        <x:v>neuroendocrine</x:v>
      </x:c>
      <x:c r="G32" s="10" t="str">
        <x:v>L4</x:v>
      </x:c>
      <x:c r="H32" s="10" t="str">
        <x:v>lung</x:v>
      </x:c>
      <x:c r="I32" s="10" t="str">
        <x:v>detected</x:v>
      </x:c>
      <x:c r="J32" s="33" t="str">
        <x:v>Markdown line 696</x:v>
      </x:c>
      <x:c r="K32" s="33" t="str">
        <x:v>calizations being specific to immune cells, particularly monocytes and  DEGs in fibrotic lungs, suggesting that context-specific gene regula-</x:v>
      </x:c>
      <x:c r="L32" s="23" t="str">
        <x:v>pending</x:v>
      </x:c>
    </x:row>
    <x:row r="33">
      <x:c r="A33" s="26" t="n">
        <x:v>17</x:v>
      </x:c>
      <x:c r="B33" s="10" t="str">
        <x:v>DOI_10.1038_s41586-021-03569-1</x:v>
      </x:c>
      <x:c r="C33" s="10" t="str">
        <x:v>A molecular single-cell lung atlas of lethal COVID-19.</x:v>
      </x:c>
      <x:c r="D33" s="10" t="str">
        <x:v>neuroendocrine</x:v>
      </x:c>
      <x:c r="E33" s="10" t="str">
        <x:v>neuroendocrine</x:v>
      </x:c>
      <x:c r="F33" s="10" t="str">
        <x:v>neuroendocrine</x:v>
      </x:c>
      <x:c r="G33" s="10" t="str">
        <x:v>L4</x:v>
      </x:c>
      <x:c r="H33" s="10" t="str">
        <x:v>lung</x:v>
      </x:c>
      <x:c r="I33" s="10" t="str">
        <x:v>detected</x:v>
      </x:c>
      <x:c r="J33" s="33" t="str">
        <x:v>Markdown line 853</x:v>
      </x:c>
      <x:c r="K33" s="33" t="str">
        <x:v>mechanistic dependencies in neuroendocrine tumors. Nat. Genet. 50, 979–989 (2018).</x:v>
      </x:c>
      <x:c r="L33" s="23" t="str">
        <x:v>pending</x:v>
      </x:c>
    </x:row>
    <x:row r="34">
      <x:c r="A34" s="26" t="n">
        <x:v>18</x:v>
      </x:c>
      <x:c r="B34" s="10" t="str">
        <x:v>DOI_10.1016_j.stem.2022.11.013</x:v>
      </x:c>
      <x:c r="C34" s="10" t="str">
        <x:v>Organoid modeling of human fetal lung alveolar development reveals mechanisms of cell fate patterning and neonatal respiratory disease.</x:v>
      </x:c>
      <x:c r="D34" s="10" t="str">
        <x:v>neuroendocrine</x:v>
      </x:c>
      <x:c r="E34" s="10" t="str">
        <x:v>neuroendocrine</x:v>
      </x:c>
      <x:c r="F34" s="10" t="str">
        <x:v>neuroendocrine</x:v>
      </x:c>
      <x:c r="G34" s="10" t="str">
        <x:v>L4</x:v>
      </x:c>
      <x:c r="H34" s="10" t="str">
        <x:v>lung epithelium</x:v>
      </x:c>
      <x:c r="I34" s="10" t="str">
        <x:v>detected</x:v>
      </x:c>
      <x:c r="J34" s="33" t="str">
        <x:v>Markdown line 243</x:v>
      </x:c>
      <x:c r="K34" s="33" t="str">
        <x:v>neuroendocrine(NE)precursors,basal-likecells,andtransitional ureS4D).ThesedataindicatethatWntandFGFsignalingpro-</x:v>
      </x:c>
      <x:c r="L34" s="23" t="str">
        <x:v>pending</x:v>
      </x:c>
    </x:row>
    <x:row r="35">
      <x:c r="A35" s="26" t="n">
        <x:v>20</x:v>
      </x:c>
      <x:c r="B35" s="10" t="str">
        <x:v>DOI_10.1016_j.cell.2021.07.023</x:v>
      </x:c>
      <x:c r="C35" s="10" t="str">
        <x:v>Impaired local intrinsic immunity to SARS-CoV-2 infection in severe COVID-19.</x:v>
      </x:c>
      <x:c r="D35" s="10" t="str">
        <x:v>Enteroendocrine cell</x:v>
      </x:c>
      <x:c r="E35" s="10" t="str">
        <x:v>Enteroendocrine cell</x:v>
      </x:c>
      <x:c r="F35" s="10" t="str">
        <x:v>neuroendocrine</x:v>
      </x:c>
      <x:c r="G35" s="10" t="str">
        <x:v>L4</x:v>
      </x:c>
      <x:c r="H35" s="10" t="str">
        <x:v>nasopharynx</x:v>
      </x:c>
      <x:c r="I35" s="10" t="str">
        <x:v>detected</x:v>
      </x:c>
      <x:c r="J35" s="33" t="str">
        <x:v>Markdown line 1557</x:v>
      </x:c>
      <x:c r="K35" s="33" t="str">
        <x:v>noids Enables Differentiation of Hormone-Producing Enteroendocrine Cells.</x:v>
      </x:c>
      <x:c r="L35" s="23" t="str">
        <x:v>pending</x:v>
      </x:c>
    </x:row>
    <x:row r="36">
      <x:c r="A36" s="26" t="n">
        <x:v>20</x:v>
      </x:c>
      <x:c r="B36" s="10" t="str">
        <x:v>DOI_10.1016_j.cell.2021.07.023</x:v>
      </x:c>
      <x:c r="C36" s="10" t="str">
        <x:v>Impaired local intrinsic immunity to SARS-CoV-2 infection in severe COVID-19.</x:v>
      </x:c>
      <x:c r="D36" s="10" t="str">
        <x:v>neuroendocrine</x:v>
      </x:c>
      <x:c r="E36" s="10" t="str">
        <x:v>neuroendocrine</x:v>
      </x:c>
      <x:c r="F36" s="10" t="str">
        <x:v>neuroendocrine</x:v>
      </x:c>
      <x:c r="G36" s="10" t="str">
        <x:v>L4</x:v>
      </x:c>
      <x:c r="H36" s="10" t="str">
        <x:v>nasopharynx</x:v>
      </x:c>
      <x:c r="I36" s="10" t="str">
        <x:v>detected</x:v>
      </x:c>
      <x:c r="J36" s="33" t="str">
        <x:v>Markdown line 657</x:v>
      </x:c>
      <x:c r="K36" s="33" t="str">
        <x:v>immune cells, macrophages markedly increase in abundance</x:v>
      </x:c>
      <x:c r="L36" s="23" t="str">
        <x:v>pending</x:v>
      </x:c>
    </x:row>
    <x:row r="37">
      <x:c r="A37" s="26" t="n">
        <x:v>20</x:v>
      </x:c>
      <x:c r="B37" s="10" t="str">
        <x:v>DOI_10.1016_j.cell.2021.07.023</x:v>
      </x:c>
      <x:c r="C37" s="10" t="str">
        <x:v>Impaired local intrinsic immunity to SARS-CoV-2 infection in severe COVID-19.</x:v>
      </x:c>
      <x:c r="D37" s="10" t="str">
        <x:v>enteroendocrine</x:v>
      </x:c>
      <x:c r="E37" s="10" t="str">
        <x:v>enteroendocrine</x:v>
      </x:c>
      <x:c r="F37" s="10" t="str">
        <x:v>neuroendocrine</x:v>
      </x:c>
      <x:c r="G37" s="10" t="str">
        <x:v>L4</x:v>
      </x:c>
      <x:c r="H37" s="10" t="str">
        <x:v>nasopharynx</x:v>
      </x:c>
      <x:c r="I37" s="10" t="str">
        <x:v>detected</x:v>
      </x:c>
      <x:c r="J37" s="33" t="str">
        <x:v>Markdown line 1557</x:v>
      </x:c>
      <x:c r="K37" s="33" t="str">
        <x:v>noids Enables Differentiation of Hormone-Producing Enteroendocrine Cells.</x:v>
      </x:c>
      <x:c r="L37" s="23" t="str">
        <x:v>pending</x:v>
      </x:c>
    </x:row>
    <x:row r="38">
      <x:c r="A38" s="26" t="n">
        <x:v>21</x:v>
      </x:c>
      <x:c r="B38" s="10" t="str">
        <x:v>DOI_10.64898_2025.12.18.695268</x:v>
      </x:c>
      <x:c r="C38" s="10" t="str">
        <x:v>A poly(A) isoform–aware single-cell and spatial atlas defines fibroblast niches in the human bladder</x:v>
      </x:c>
      <x:c r="D38" s="10" t="str">
        <x:v>Schwann cell</x:v>
      </x:c>
      <x:c r="E38" s="10" t="str">
        <x:v>Schwann cell</x:v>
      </x:c>
      <x:c r="F38" s="10" t="str">
        <x:v>peripheral_glia</x:v>
      </x:c>
      <x:c r="G38" s="10" t="str">
        <x:v>L2</x:v>
      </x:c>
      <x:c r="H38" s="10" t="str">
        <x:v>dome of urinary bladder</x:v>
      </x:c>
      <x:c r="I38" s="10" t="str">
        <x:v>detected</x:v>
      </x:c>
      <x:c r="J38" s="33" t="str">
        <x:v>Markdown line 180</x:v>
      </x:c>
      <x:c r="K38" s="33" t="str">
        <x:v>(MMRN1+/TFF3+) types. Additional stromal populations included Schwann cells</x:v>
      </x:c>
      <x:c r="L38" s="23" t="str">
        <x:v>pending</x:v>
      </x:c>
    </x:row>
    <x:row r="39">
      <x:c r="A39" s="26" t="n">
        <x:v>21</x:v>
      </x:c>
      <x:c r="B39" s="10" t="str">
        <x:v>DOI_10.64898_2025.12.18.695268</x:v>
      </x:c>
      <x:c r="C39" s="10" t="str">
        <x:v>A poly(A) isoform–aware single-cell and spatial atlas defines fibroblast niches in the human bladder</x:v>
      </x:c>
      <x:c r="D39" s="10" t="str">
        <x:v>schwann</x:v>
      </x:c>
      <x:c r="E39" s="10" t="str">
        <x:v>schwann</x:v>
      </x:c>
      <x:c r="F39" s="10" t="str">
        <x:v>peripheral_glia</x:v>
      </x:c>
      <x:c r="G39" s="10" t="str">
        <x:v>L2</x:v>
      </x:c>
      <x:c r="H39" s="10" t="str">
        <x:v>dome of urinary bladder</x:v>
      </x:c>
      <x:c r="I39" s="10" t="str">
        <x:v>detected</x:v>
      </x:c>
      <x:c r="J39" s="33" t="str">
        <x:v>Markdown line 180</x:v>
      </x:c>
      <x:c r="K39" s="33" t="str">
        <x:v>(MMRN1+/TFF3+) types. Additional stromal populations included Schwann cells</x:v>
      </x:c>
      <x:c r="L39" s="23" t="str">
        <x:v>pending</x:v>
      </x:c>
    </x:row>
    <x:row r="40">
      <x:c r="A40" s="26" t="n">
        <x:v>21</x:v>
      </x:c>
      <x:c r="B40" s="10" t="str">
        <x:v>DOI_10.64898_2025.12.18.695268</x:v>
      </x:c>
      <x:c r="C40" s="10" t="str">
        <x:v>A poly(A) isoform–aware single-cell and spatial atlas defines fibroblast niches in the human bladder</x:v>
      </x:c>
      <x:c r="D40" s="10" t="str">
        <x:v>neuroendocrine</x:v>
      </x:c>
      <x:c r="E40" s="10" t="str">
        <x:v>neuroendocrine</x:v>
      </x:c>
      <x:c r="F40" s="10" t="str">
        <x:v>neuroendocrine</x:v>
      </x:c>
      <x:c r="G40" s="10" t="str">
        <x:v>L4</x:v>
      </x:c>
      <x:c r="H40" s="10" t="str">
        <x:v>dome of urinary bladder</x:v>
      </x:c>
      <x:c r="I40" s="10" t="str">
        <x:v>detected</x:v>
      </x:c>
      <x:c r="J40" s="33" t="str">
        <x:v>Markdown line 181</x:v>
      </x:c>
      <x:c r="K40" s="33" t="str">
        <x:v>(NRXN+/XKR4+) and adipocytes (FABP3+/ADIPOQ+). Immune cells, though less abundant (n =</x:v>
      </x:c>
      <x:c r="L40" s="23" t="str">
        <x:v>pending</x:v>
      </x:c>
    </x:row>
    <x:row r="41">
      <x:c r="A41" s="26" t="n">
        <x:v>21</x:v>
      </x:c>
      <x:c r="B41" s="10" t="str">
        <x:v>DOI_10.64898_2025.12.18.695268</x:v>
      </x:c>
      <x:c r="C41" s="10" t="str">
        <x:v>A poly(A) isoform–aware single-cell and spatial atlas defines fibroblast niches in the human bladder</x:v>
      </x:c>
      <x:c r="D41" s="10" t="str">
        <x:v>enteroendocrine</x:v>
      </x:c>
      <x:c r="E41" s="10" t="str">
        <x:v>enteroendocrine</x:v>
      </x:c>
      <x:c r="F41" s="10" t="str">
        <x:v>neuroendocrine</x:v>
      </x:c>
      <x:c r="G41" s="10" t="str">
        <x:v>L4</x:v>
      </x:c>
      <x:c r="H41" s="10" t="str">
        <x:v>dome of urinary bladder</x:v>
      </x:c>
      <x:c r="I41" s="10" t="str">
        <x:v>detected</x:v>
      </x:c>
      <x:c r="J41" s="33" t="str">
        <x:v>Markdown line 877</x:v>
      </x:c>
      <x:c r="K41" s="33" t="str">
        <x:v>Enteroendocrine Progenitors That Support</x:v>
      </x:c>
      <x:c r="L41" s="23" t="str">
        <x:v>pending</x:v>
      </x:c>
    </x:row>
    <x:row r="42">
      <x:c r="A42" s="26" t="n">
        <x:v>22</x:v>
      </x:c>
      <x:c r="B42" s="10" t="str">
        <x:v>DOI_10.1126_science.aat5031</x:v>
      </x:c>
      <x:c r="C42" s="10" t="str">
        <x:v>Spatiotemporal immune zonation of the human kidney.</x:v>
      </x:c>
      <x:c r="D42" s="10" t="str">
        <x:v>neuroendocrine</x:v>
      </x:c>
      <x:c r="E42" s="10" t="str">
        <x:v>neuroendocrine</x:v>
      </x:c>
      <x:c r="F42" s="10" t="str">
        <x:v>neuroendocrine</x:v>
      </x:c>
      <x:c r="G42" s="10" t="str">
        <x:v>L4</x:v>
      </x:c>
      <x:c r="H42" s="10" t="str">
        <x:v>kidney</x:v>
      </x:c>
      <x:c r="I42" s="10" t="str">
        <x:v>detected</x:v>
      </x:c>
      <x:c r="J42" s="33" t="str">
        <x:v>Markdown line 215; section These authors contributed equally to this work.</x:v>
      </x:c>
      <x:c r="K42" s="33" t="str">
        <x:v>Tissue-resident immune cells are important for organ homeostasis and defense. The epithelium</x:v>
      </x:c>
      <x:c r="L42" s="23" t="str">
        <x:v>pending</x:v>
      </x:c>
    </x:row>
    <x:row r="43">
      <x:c r="A43" s="26" t="n">
        <x:v>23</x:v>
      </x:c>
      <x:c r="B43" s="10" t="str">
        <x:v>DOI_10.1016_j.isci.2024.111628</x:v>
      </x:c>
      <x:c r="C43" s="10" t="str">
        <x:v>Exploring the utility of snRNA-seq in profiling human bladder tissue: A comprehensive comparison with scRNA-seq.</x:v>
      </x:c>
      <x:c r="D43" s="10" t="str">
        <x:v>neuroendocrine</x:v>
      </x:c>
      <x:c r="E43" s="10" t="str">
        <x:v>neuroendocrine</x:v>
      </x:c>
      <x:c r="F43" s="10" t="str">
        <x:v>neuroendocrine</x:v>
      </x:c>
      <x:c r="G43" s="10" t="str">
        <x:v>L4</x:v>
      </x:c>
      <x:c r="H43" s="10" t="str">
        <x:v>urinary bladder</x:v>
      </x:c>
      <x:c r="I43" s="10" t="str">
        <x:v>annotation</x:v>
      </x:c>
      <x:c r="J43" s="33" t="str">
        <x:v>Markdown line 144</x:v>
      </x:c>
      <x:c r="K43" s="33" t="str">
        <x:v>oping immune cells,14,15 thus identifying clusters 7 and 8 as distinct fibroblast clusters (PDGFRA+/DCN+/COL1A1+) were</x:v>
      </x:c>
      <x:c r="L43" s="23" t="str">
        <x:v>pending</x:v>
      </x:c>
    </x:row>
    <x:row r="44">
      <x:c r="A44" s="26" t="n">
        <x:v>24</x:v>
      </x:c>
      <x:c r="B44" s="10" t="str">
        <x:v>DOI_10.1002_pros.24020</x:v>
      </x:c>
      <x:c r="C44" s="10" t="str">
        <x:v>Urethral luminal epithelia are castration-insensitive cells of the proximal prostate.</x:v>
      </x:c>
      <x:c r="D44" s="10" t="str">
        <x:v>Neuroendocrine cell</x:v>
      </x:c>
      <x:c r="E44" s="10" t="str">
        <x:v>Neuroendocrine cell</x:v>
      </x:c>
      <x:c r="F44" s="10" t="str">
        <x:v>neuroendocrine</x:v>
      </x:c>
      <x:c r="G44" s="10" t="str">
        <x:v>L4</x:v>
      </x:c>
      <x:c r="H44" s="10" t="str">
        <x:v>peripheral zone of prostate</x:v>
      </x:c>
      <x:c r="I44" s="10" t="str">
        <x:v>annotation</x:v>
      </x:c>
      <x:c r="J44" s="33" t="str">
        <x:v>Markdown line 103</x:v>
      </x:c>
      <x:c r="K44" s="33" t="str">
        <x:v>minal, and neuroendocrine cell types.14,15 At puberty these multi- urethralluminalepitheliaandthatthiscelltypeisresistantto5ARI</x:v>
      </x:c>
      <x:c r="L44" s="23" t="str">
        <x:v>pending</x:v>
      </x:c>
    </x:row>
    <x:row r="45">
      <x:c r="A45" s="26" t="n">
        <x:v>24</x:v>
      </x:c>
      <x:c r="B45" s="10" t="str">
        <x:v>DOI_10.1002_pros.24020</x:v>
      </x:c>
      <x:c r="C45" s="10" t="str">
        <x:v>Urethral luminal epithelia are castration-insensitive cells of the proximal prostate.</x:v>
      </x:c>
      <x:c r="D45" s="10" t="str">
        <x:v>neuroendocrine</x:v>
      </x:c>
      <x:c r="E45" s="10" t="str">
        <x:v>neuroendocrine</x:v>
      </x:c>
      <x:c r="F45" s="10" t="str">
        <x:v>neuroendocrine</x:v>
      </x:c>
      <x:c r="G45" s="10" t="str">
        <x:v>L4</x:v>
      </x:c>
      <x:c r="H45" s="10" t="str">
        <x:v>peripheral zone of prostate</x:v>
      </x:c>
      <x:c r="I45" s="10" t="str">
        <x:v>annotation</x:v>
      </x:c>
      <x:c r="J45" s="33" t="str">
        <x:v>Markdown line 103</x:v>
      </x:c>
      <x:c r="K45" s="33" t="str">
        <x:v>minal, and neuroendocrine cell types.14,15 At puberty these multi- urethralluminalepitheliaandthatthiscelltypeisresistantto5ARI</x:v>
      </x:c>
      <x:c r="L45" s="23" t="str">
        <x:v>pending</x:v>
      </x:c>
    </x:row>
    <x:row r="46">
      <x:c r="A46" s="26" t="n">
        <x:v>25</x:v>
      </x:c>
      <x:c r="B46" s="10" t="str">
        <x:v>DOI_10.1016_j.celrep.2018.11.086</x:v>
      </x:c>
      <x:c r="C46" s="10" t="str">
        <x:v>A Cellular Anatomy of the Normal Adult Human Prostate and Prostatic Urethra.</x:v>
      </x:c>
      <x:c r="D46" s="10" t="str">
        <x:v>Neuroendocrine cell</x:v>
      </x:c>
      <x:c r="E46" s="10" t="str">
        <x:v>Neuroendocrine cell</x:v>
      </x:c>
      <x:c r="F46" s="10" t="str">
        <x:v>neuroendocrine</x:v>
      </x:c>
      <x:c r="G46" s="10" t="str">
        <x:v>L4</x:v>
      </x:c>
      <x:c r="H46" s="10" t="str">
        <x:v>peripheral zone of prostate</x:v>
      </x:c>
      <x:c r="I46" s="10" t="str">
        <x:v>detected</x:v>
      </x:c>
      <x:c r="J46" s="33" t="str">
        <x:v>Markdown line 88</x:v>
      </x:c>
      <x:c r="K46" s="33" t="str">
        <x:v>scRNA-seq.Themolecularclassification,anatomical neuroendocrine(NE).Basalepitheliaexpresscytokeratin5and</x:v>
      </x:c>
      <x:c r="L46" s="23" t="str">
        <x:v>pending</x:v>
      </x:c>
    </x:row>
    <x:row r="47">
      <x:c r="A47" s="26" t="n">
        <x:v>25</x:v>
      </x:c>
      <x:c r="B47" s="10" t="str">
        <x:v>DOI_10.1016_j.celrep.2018.11.086</x:v>
      </x:c>
      <x:c r="C47" s="10" t="str">
        <x:v>A Cellular Anatomy of the Normal Adult Human Prostate and Prostatic Urethra.</x:v>
      </x:c>
      <x:c r="D47" s="10" t="str">
        <x:v>neuroendocrine</x:v>
      </x:c>
      <x:c r="E47" s="10" t="str">
        <x:v>neuroendocrine</x:v>
      </x:c>
      <x:c r="F47" s="10" t="str">
        <x:v>neuroendocrine</x:v>
      </x:c>
      <x:c r="G47" s="10" t="str">
        <x:v>L4</x:v>
      </x:c>
      <x:c r="H47" s="10" t="str">
        <x:v>peripheral zone of prostate</x:v>
      </x:c>
      <x:c r="I47" s="10" t="str">
        <x:v>detected</x:v>
      </x:c>
      <x:c r="J47" s="33" t="str">
        <x:v>Markdown line 88</x:v>
      </x:c>
      <x:c r="K47" s="33" t="str">
        <x:v>scRNA-seq.Themolecularclassification,anatomical neuroendocrine(NE).Basalepitheliaexpresscytokeratin5and</x:v>
      </x:c>
      <x:c r="L47" s="23" t="str">
        <x:v>pending</x:v>
      </x:c>
    </x:row>
    <x:row r="48">
      <x:c r="A48" s="26" t="n">
        <x:v>26</x:v>
      </x:c>
      <x:c r="B48" s="10" t="str">
        <x:v>DOI_10.1101_2024.10.23.619925</x:v>
      </x:c>
      <x:c r="C48" s="10" t="str">
        <x:v>Profiling of epithelial functional states and fibroblast phenotypes in hormone therapy-naïve localised prostate cancer</x:v>
      </x:c>
      <x:c r="D48" s="10" t="str">
        <x:v>Myelinating Schwann cell</x:v>
      </x:c>
      <x:c r="E48" s="10" t="str">
        <x:v>Myelinating Schwann cell</x:v>
      </x:c>
      <x:c r="F48" s="10" t="str">
        <x:v>peripheral_glia</x:v>
      </x:c>
      <x:c r="G48" s="10" t="str">
        <x:v>L2</x:v>
      </x:c>
      <x:c r="H48" s="10" t="str">
        <x:v>prostate gland</x:v>
      </x:c>
      <x:c r="I48" s="10" t="str">
        <x:v>detected</x:v>
      </x:c>
      <x:c r="J48" s="33" t="str">
        <x:v>Markdown line 3902</x:v>
      </x:c>
      <x:c r="K48" s="33" t="str">
        <x:v>Schwann cell differentiation. Mechanisms of development, 102(1-2), pp.145–156.</x:v>
      </x:c>
      <x:c r="L48" s="23" t="str">
        <x:v>pending</x:v>
      </x:c>
    </x:row>
    <x:row r="49">
      <x:c r="A49" s="26" t="n">
        <x:v>26</x:v>
      </x:c>
      <x:c r="B49" s="10" t="str">
        <x:v>DOI_10.1101_2024.10.23.619925</x:v>
      </x:c>
      <x:c r="C49" s="10" t="str">
        <x:v>Profiling of epithelial functional states and fibroblast phenotypes in hormone therapy-naïve localised prostate cancer</x:v>
      </x:c>
      <x:c r="D49" s="10" t="str">
        <x:v>schwann</x:v>
      </x:c>
      <x:c r="E49" s="10" t="str">
        <x:v>schwann</x:v>
      </x:c>
      <x:c r="F49" s="10" t="str">
        <x:v>peripheral_glia</x:v>
      </x:c>
      <x:c r="G49" s="10" t="str">
        <x:v>L2</x:v>
      </x:c>
      <x:c r="H49" s="10" t="str">
        <x:v>prostate gland</x:v>
      </x:c>
      <x:c r="I49" s="10" t="str">
        <x:v>detected</x:v>
      </x:c>
      <x:c r="J49" s="33" t="str">
        <x:v>Markdown line 3902</x:v>
      </x:c>
      <x:c r="K49" s="33" t="str">
        <x:v>Schwann cell differentiation. Mechanisms of development, 102(1-2), pp.145–156.</x:v>
      </x:c>
      <x:c r="L49" s="23" t="str">
        <x:v>pending</x:v>
      </x:c>
    </x:row>
    <x:row r="50">
      <x:c r="A50" s="26" t="n">
        <x:v>26</x:v>
      </x:c>
      <x:c r="B50" s="10" t="str">
        <x:v>DOI_10.1101_2024.10.23.619925</x:v>
      </x:c>
      <x:c r="C50" s="10" t="str">
        <x:v>Profiling of epithelial functional states and fibroblast phenotypes in hormone therapy-naïve localised prostate cancer</x:v>
      </x:c>
      <x:c r="D50" s="10" t="str">
        <x:v>neuroendocrine</x:v>
      </x:c>
      <x:c r="E50" s="10" t="str">
        <x:v>neuroendocrine</x:v>
      </x:c>
      <x:c r="F50" s="10" t="str">
        <x:v>neuroendocrine</x:v>
      </x:c>
      <x:c r="G50" s="10" t="str">
        <x:v>L4</x:v>
      </x:c>
      <x:c r="H50" s="10" t="str">
        <x:v>prostate gland</x:v>
      </x:c>
      <x:c r="I50" s="10" t="str">
        <x:v>detected</x:v>
      </x:c>
      <x:c r="J50" s="33" t="str">
        <x:v>Markdown line 365</x:v>
      </x:c>
      <x:c r="K50" s="33" t="str">
        <x:v>benign epithelium, stromal, and immune cells (Fig. 1D, ST_1). The median cancer</x:v>
      </x:c>
      <x:c r="L50" s="23" t="str">
        <x:v>pending</x:v>
      </x:c>
    </x:row>
    <x:row r="51">
      <x:c r="A51" s="26" t="n">
        <x:v>26</x:v>
      </x:c>
      <x:c r="B51" s="10" t="str">
        <x:v>DOI_10.1101_2024.10.23.619925</x:v>
      </x:c>
      <x:c r="C51" s="10" t="str">
        <x:v>Profiling of epithelial functional states and fibroblast phenotypes in hormone therapy-naïve localised prostate cancer</x:v>
      </x:c>
      <x:c r="D51" s="10" t="str">
        <x:v>peripheral nervous system neuron</x:v>
      </x:c>
      <x:c r="E51" s="10" t="str">
        <x:v>peripheral nervous system neuron</x:v>
      </x:c>
      <x:c r="F51" s="10" t="str">
        <x:v>neuron</x:v>
      </x:c>
      <x:c r="G51" s="10" t="str">
        <x:v>L1</x:v>
      </x:c>
      <x:c r="H51" s="10" t="str">
        <x:v>prostate gland</x:v>
      </x:c>
      <x:c r="I51" s="10" t="str">
        <x:v>detected</x:v>
      </x:c>
      <x:c r="J51" s="33" t="str">
        <x:v>Markdown line 402</x:v>
      </x:c>
      <x:c r="K51" s="33" t="str">
        <x:v>cells, Endothelial, CAFs,  SMCs, Peripheral Nervous System (PNS) glial cells (including</x:v>
      </x:c>
      <x:c r="L51" s="23" t="str">
        <x:v>pending</x:v>
      </x:c>
    </x:row>
    <x:row r="52">
      <x:c r="A52" s="26" t="n">
        <x:v>27</x:v>
      </x:c>
      <x:c r="B52" s="10" t="str">
        <x:v>DOI_10.1101_2025.01.17.633590</x:v>
      </x:c>
      <x:c r="C52" s="10" t="str">
        <x:v>Single-cell decoding of human islet cell type-specific alterations in type 2 diabetes reveals converging genetic- and state-driven β-cell gene expression defects</x:v>
      </x:c>
      <x:c r="D52" s="10" t="str">
        <x:v>neuroendocrine</x:v>
      </x:c>
      <x:c r="E52" s="10" t="str">
        <x:v>neuroendocrine</x:v>
      </x:c>
      <x:c r="F52" s="10" t="str">
        <x:v>neuroendocrine</x:v>
      </x:c>
      <x:c r="G52" s="10" t="str">
        <x:v>L4</x:v>
      </x:c>
      <x:c r="H52" s="10" t="str">
        <x:v>islet of Langerhans</x:v>
      </x:c>
      <x:c r="I52" s="10" t="str">
        <x:v>annotation</x:v>
      </x:c>
      <x:c r="J52" s="33" t="str">
        <x:v>Markdown line 141</x:v>
      </x:c>
      <x:c r="K52" s="33" t="str">
        <x:v>116 The distribution of each endocrine cell type relative to the total number of endocrine cells</x:v>
      </x:c>
      <x:c r="L52" s="23" t="str">
        <x:v>pending</x:v>
      </x:c>
    </x:row>
    <x:row r="53">
      <x:c r="A53" s="26" t="n">
        <x:v>27</x:v>
      </x:c>
      <x:c r="B53" s="10" t="str">
        <x:v>DOI_10.1101_2025.01.17.633590</x:v>
      </x:c>
      <x:c r="C53" s="10" t="str">
        <x:v>Single-cell decoding of human islet cell type-specific alterations in type 2 diabetes reveals converging genetic- and state-driven β-cell gene expression defects</x:v>
      </x:c>
      <x:c r="D53" s="10" t="str">
        <x:v>sensory neuron</x:v>
      </x:c>
      <x:c r="E53" s="10" t="str">
        <x:v>sensory neuron</x:v>
      </x:c>
      <x:c r="F53" s="10" t="str">
        <x:v>neuron</x:v>
      </x:c>
      <x:c r="G53" s="10" t="str">
        <x:v>L1</x:v>
      </x:c>
      <x:c r="H53" s="10" t="str">
        <x:v>islet of Langerhans</x:v>
      </x:c>
      <x:c r="I53" s="10" t="str">
        <x:v>detected</x:v>
      </x:c>
      <x:c r="J53" s="33" t="str">
        <x:v>Markdown line 1590; section /0 3(cid:2)(cid:29)(cid:7)2(cid:12)&amp;3 (cid:2)(cid:29) , (cid:13) and</x:v>
      </x:c>
      <x:c r="K53" s="33" t="str">
        <x:v>1127 89. Makhmutova, M. et al. Pancreatic -Cells Communicate With Vagal Sensory Neurons.</x:v>
      </x:c>
      <x:c r="L53" s="23" t="str">
        <x:v>pending</x:v>
      </x:c>
    </x:row>
    <x:row r="54">
      <x:c r="A54" s="26" t="n">
        <x:v>27</x:v>
      </x:c>
      <x:c r="B54" s="10" t="str">
        <x:v>DOI_10.1101_2025.01.17.633590</x:v>
      </x:c>
      <x:c r="C54" s="10" t="str">
        <x:v>Single-cell decoding of human islet cell type-specific alterations in type 2 diabetes reveals converging genetic- and state-driven β-cell gene expression defects</x:v>
      </x:c>
      <x:c r="D54" s="10" t="str">
        <x:v>sympathetic neuron</x:v>
      </x:c>
      <x:c r="E54" s="10" t="str">
        <x:v>sympathetic neuron</x:v>
      </x:c>
      <x:c r="F54" s="10" t="str">
        <x:v>neuron</x:v>
      </x:c>
      <x:c r="G54" s="10" t="str">
        <x:v>L1</x:v>
      </x:c>
      <x:c r="H54" s="10" t="str">
        <x:v>islet of Langerhans</x:v>
      </x:c>
      <x:c r="I54" s="10" t="str">
        <x:v>detected</x:v>
      </x:c>
      <x:c r="J54" s="33" t="str">
        <x:v>Markdown line 226</x:v>
      </x:c>
      <x:c r="K54" s="33" t="str">
        <x:v>178 parasympathetic neurons innervating islets primarily release acetylcholine24. Additionally,</x:v>
      </x:c>
      <x:c r="L54" s="23" t="str">
        <x:v>pending</x:v>
      </x:c>
    </x:row>
    <x:row r="55">
      <x:c r="A55" s="26" t="n">
        <x:v>27</x:v>
      </x:c>
      <x:c r="B55" s="10" t="str">
        <x:v>DOI_10.1101_2025.01.17.633590</x:v>
      </x:c>
      <x:c r="C55" s="10" t="str">
        <x:v>Single-cell decoding of human islet cell type-specific alterations in type 2 diabetes reveals converging genetic- and state-driven β-cell gene expression defects</x:v>
      </x:c>
      <x:c r="D55" s="10" t="str">
        <x:v>parasympathetic neuron</x:v>
      </x:c>
      <x:c r="E55" s="10" t="str">
        <x:v>parasympathetic neuron</x:v>
      </x:c>
      <x:c r="F55" s="10" t="str">
        <x:v>neuron</x:v>
      </x:c>
      <x:c r="G55" s="10" t="str">
        <x:v>L1</x:v>
      </x:c>
      <x:c r="H55" s="10" t="str">
        <x:v>islet of Langerhans</x:v>
      </x:c>
      <x:c r="I55" s="10" t="str">
        <x:v>detected</x:v>
      </x:c>
      <x:c r="J55" s="33" t="str">
        <x:v>Markdown line 226</x:v>
      </x:c>
      <x:c r="K55" s="33" t="str">
        <x:v>178 parasympathetic neurons innervating islets primarily release acetylcholine24. Additionally,</x:v>
      </x:c>
      <x:c r="L55" s="23" t="str">
        <x:v>pending</x:v>
      </x:c>
    </x:row>
    <x:row r="56">
      <x:c r="A56" s="26" t="n">
        <x:v>29</x:v>
      </x:c>
      <x:c r="B56" s="10" t="str">
        <x:v>DOI_10.1038_s41591-024-03215-z</x:v>
      </x:c>
      <x:c r="C56" s="10" t="str">
        <x:v>A multi-modal single-cell and spatial expression map of metastatic breast cancer biopsies across clinicopathological features.</x:v>
      </x:c>
      <x:c r="D56" s="10" t="str">
        <x:v>pulmonary neuroendocrine</x:v>
      </x:c>
      <x:c r="E56" s="10" t="str">
        <x:v>pulmonary neuroendocrine</x:v>
      </x:c>
      <x:c r="F56" s="10" t="str">
        <x:v>neuroendocrine</x:v>
      </x:c>
      <x:c r="G56" s="10" t="str">
        <x:v>L4</x:v>
      </x:c>
      <x:c r="H56" s="10" t="str">
        <x:v>liver</x:v>
      </x:c>
      <x:c r="I56" s="10" t="str">
        <x:v>detected</x:v>
      </x:c>
      <x:c r="J56" s="33" t="str">
        <x:v>Markdown line 903</x:v>
      </x:c>
      <x:c r="K56" s="33" t="str">
        <x:v>361DC 86DC 4DC 41DC A3RGCF ARD-ALH 1APD-ALH AQ1C BQ1C 1RSM 1FIA 1PPS CEFT 1NCF AR3LI 2LCC XAGTI 51GSI 02GSI 9PMM 21PMM ZYL 3TSC 8A001S 9A001S EOPA 1COPA 472DC A1FIH 76IKM FPNEC 91TRK 1BZM 91DC A8DC E3DC 2DC 1A3LOC 2A4LOC 1MACN BRPTP NPDP ARD-ALH 4LCC 1NCF NLNA 061RPG 9DC 1LCX 1FLUS 1CDS 6KDC 3DYXF 5CXXC 472DC 11PMM PAF 5DC ExSeq ExSeq (bin) Slide-seq CODEX MERFISH MERFISH (b s cR snRNA-seq</x:v>
      </x:c>
      <x:c r="L56" s="23" t="str">
        <x:v>pending</x:v>
      </x:c>
    </x:row>
    <x:row r="57">
      <x:c r="A57" s="26" t="n">
        <x:v>29</x:v>
      </x:c>
      <x:c r="B57" s="10" t="str">
        <x:v>DOI_10.1038_s41591-024-03215-z</x:v>
      </x:c>
      <x:c r="C57" s="10" t="str">
        <x:v>A multi-modal single-cell and spatial expression map of metastatic breast cancer biopsies across clinicopathological features.</x:v>
      </x:c>
      <x:c r="D57" s="10" t="str">
        <x:v>neuroendocrine</x:v>
      </x:c>
      <x:c r="E57" s="10" t="str">
        <x:v>neuroendocrine</x:v>
      </x:c>
      <x:c r="F57" s="10" t="str">
        <x:v>neuroendocrine</x:v>
      </x:c>
      <x:c r="G57" s="10" t="str">
        <x:v>L4</x:v>
      </x:c>
      <x:c r="H57" s="10" t="str">
        <x:v>liver</x:v>
      </x:c>
      <x:c r="I57" s="10" t="str">
        <x:v>detected</x:v>
      </x:c>
      <x:c r="J57" s="33" t="str">
        <x:v>Markdown line 92</x:v>
      </x:c>
      <x:c r="K57" s="33" t="str">
        <x:v>proteins) per observation (Fig. 1c, Extended Data Fig. 2a,b and Sup- scRNA-seq captured a higher fraction of immune cells, and snRNA-seq</x:v>
      </x:c>
      <x:c r="L57" s="23" t="str">
        <x:v>pending</x:v>
      </x:c>
    </x:row>
    <x:row r="58">
      <x:c r="A58" s="26" t="n">
        <x:v>31</x:v>
      </x:c>
      <x:c r="B58" s="10" t="str">
        <x:v>DOI_10.1038_s41588-025-02158-6</x:v>
      </x:c>
      <x:c r="C58" s="10" t="str">
        <x:v>Longitudinal single-cell multiomic atlas of high-risk neuroblastoma reveals chemotherapy-induced tumor microenvironment rewiring.</x:v>
      </x:c>
      <x:c r="D58" s="10" t="str">
        <x:v>Schwann cell</x:v>
      </x:c>
      <x:c r="E58" s="10" t="str">
        <x:v>Schwann cell</x:v>
      </x:c>
      <x:c r="F58" s="10" t="str">
        <x:v>peripheral_glia</x:v>
      </x:c>
      <x:c r="G58" s="10" t="str">
        <x:v>L2</x:v>
      </x:c>
      <x:c r="H58" s="10" t="str">
        <x:v>abdomen</x:v>
      </x:c>
      <x:c r="I58" s="10" t="str">
        <x:v>detected</x:v>
      </x:c>
      <x:c r="J58" s="33" t="str">
        <x:v>Markdown line 55</x:v>
      </x:c>
      <x:c r="K58" s="33" t="str">
        <x:v>Macrophages Schwann cells T cells</x:v>
      </x:c>
      <x:c r="L58" s="23" t="str">
        <x:v>pending</x:v>
      </x:c>
    </x:row>
    <x:row r="59">
      <x:c r="A59" s="26" t="n">
        <x:v>31</x:v>
      </x:c>
      <x:c r="B59" s="10" t="str">
        <x:v>DOI_10.1038_s41588-025-02158-6</x:v>
      </x:c>
      <x:c r="C59" s="10" t="str">
        <x:v>Longitudinal single-cell multiomic atlas of high-risk neuroblastoma reveals chemotherapy-induced tumor microenvironment rewiring.</x:v>
      </x:c>
      <x:c r="D59" s="10" t="str">
        <x:v>schwann</x:v>
      </x:c>
      <x:c r="E59" s="10" t="str">
        <x:v>schwann</x:v>
      </x:c>
      <x:c r="F59" s="10" t="str">
        <x:v>peripheral_glia</x:v>
      </x:c>
      <x:c r="G59" s="10" t="str">
        <x:v>L2</x:v>
      </x:c>
      <x:c r="H59" s="10" t="str">
        <x:v>abdomen</x:v>
      </x:c>
      <x:c r="I59" s="10" t="str">
        <x:v>detected</x:v>
      </x:c>
      <x:c r="J59" s="33" t="str">
        <x:v>Markdown line 55</x:v>
      </x:c>
      <x:c r="K59" s="33" t="str">
        <x:v>Macrophages Schwann cells T cells</x:v>
      </x:c>
      <x:c r="L59" s="23" t="str">
        <x:v>pending</x:v>
      </x:c>
    </x:row>
    <x:row r="60">
      <x:c r="A60" s="26" t="n">
        <x:v>31</x:v>
      </x:c>
      <x:c r="B60" s="10" t="str">
        <x:v>DOI_10.1038_s41588-025-02158-6</x:v>
      </x:c>
      <x:c r="C60" s="10" t="str">
        <x:v>Longitudinal single-cell multiomic atlas of high-risk neuroblastoma reveals chemotherapy-induced tumor microenvironment rewiring.</x:v>
      </x:c>
      <x:c r="D60" s="10" t="str">
        <x:v>neuroendocrine</x:v>
      </x:c>
      <x:c r="E60" s="10" t="str">
        <x:v>neuroendocrine</x:v>
      </x:c>
      <x:c r="F60" s="10" t="str">
        <x:v>neuroendocrine</x:v>
      </x:c>
      <x:c r="G60" s="10" t="str">
        <x:v>L4</x:v>
      </x:c>
      <x:c r="H60" s="10" t="str">
        <x:v>abdomen</x:v>
      </x:c>
      <x:c r="I60" s="10" t="str">
        <x:v>annotation</x:v>
      </x:c>
      <x:c r="J60" s="33" t="str">
        <x:v>Markdown line 716</x:v>
      </x:c>
      <x:c r="K60" s="33" t="str">
        <x:v>CytoTalk42. We identified numerous bidirectional ligand–receptor neoplastic and immune cells and support macrophage-induced ErbB</x:v>
      </x:c>
      <x:c r="L60" s="23" t="str">
        <x:v>pending</x:v>
      </x:c>
    </x:row>
    <x:row r="61">
      <x:c r="A61" s="26" t="n">
        <x:v>32</x:v>
      </x:c>
      <x:c r="B61" s="10" t="str">
        <x:v>DOI_10.1038_s41586-021-03929-x</x:v>
      </x:c>
      <x:c r="C61" s="10" t="str">
        <x:v>Blood and immune development in human fetal bone marrow and Down syndrome.</x:v>
      </x:c>
      <x:c r="D61" s="10" t="str">
        <x:v>neuroendocrine</x:v>
      </x:c>
      <x:c r="E61" s="10" t="str">
        <x:v>neuroendocrine</x:v>
      </x:c>
      <x:c r="F61" s="10" t="str">
        <x:v>neuroendocrine</x:v>
      </x:c>
      <x:c r="G61" s="10" t="str">
        <x:v>L4</x:v>
      </x:c>
      <x:c r="H61" s="10" t="str">
        <x:v>bone marrow</x:v>
      </x:c>
      <x:c r="I61" s="10" t="str">
        <x:v>detected</x:v>
      </x:c>
      <x:c r="J61" s="33" t="str">
        <x:v>Markdown line 138</x:v>
      </x:c>
      <x:c r="K61" s="33" t="str">
        <x:v>Between 12 and 19 PCW, the ratio of blood and immune cells to stromal  graph (FDG) embedding, monocyte and neutrophil signatures diverged</x:v>
      </x:c>
      <x:c r="L61" s="23" t="str">
        <x:v>pending</x:v>
      </x:c>
    </x:row>
    <x:row r="62">
      <x:c r="A62" s="26" t="n">
        <x:v>33</x:v>
      </x:c>
      <x:c r="B62" s="10" t="str">
        <x:v>DOI_10.1038_s41588-025-02182-6</x:v>
      </x:c>
      <x:c r="C62" s="10" t="str">
        <x:v>An integrated transcriptomic cell atlas of human endoderm-derived organoids.</x:v>
      </x:c>
      <x:c r="D62" s="10" t="str">
        <x:v>Schwann cell</x:v>
      </x:c>
      <x:c r="E62" s="10" t="str">
        <x:v>Schwann cell</x:v>
      </x:c>
      <x:c r="F62" s="10" t="str">
        <x:v>peripheral_glia</x:v>
      </x:c>
      <x:c r="G62" s="10" t="str">
        <x:v>L2</x:v>
      </x:c>
      <x:c r="H62" s="10" t="str">
        <x:v>alveolar sac</x:v>
      </x:c>
      <x:c r="I62" s="10" t="str">
        <x:v>detected</x:v>
      </x:c>
      <x:c r="J62" s="33" t="str">
        <x:v>Markdown line 426</x:v>
      </x:c>
      <x:c r="K62" s="33" t="str">
        <x:v>Schwann cell</x:v>
      </x:c>
      <x:c r="L62" s="23" t="str">
        <x:v>pending</x:v>
      </x:c>
    </x:row>
    <x:row r="63">
      <x:c r="A63" s="26" t="n">
        <x:v>33</x:v>
      </x:c>
      <x:c r="B63" s="10" t="str">
        <x:v>DOI_10.1038_s41588-025-02182-6</x:v>
      </x:c>
      <x:c r="C63" s="10" t="str">
        <x:v>An integrated transcriptomic cell atlas of human endoderm-derived organoids.</x:v>
      </x:c>
      <x:c r="D63" s="10" t="str">
        <x:v>Enteroendocrine cell</x:v>
      </x:c>
      <x:c r="E63" s="10" t="str">
        <x:v>Enteroendocrine cell</x:v>
      </x:c>
      <x:c r="F63" s="10" t="str">
        <x:v>neuroendocrine</x:v>
      </x:c>
      <x:c r="G63" s="10" t="str">
        <x:v>L4</x:v>
      </x:c>
      <x:c r="H63" s="10" t="str">
        <x:v>alveolar sac</x:v>
      </x:c>
      <x:c r="I63" s="10" t="str">
        <x:v>detected</x:v>
      </x:c>
      <x:c r="J63" s="33" t="str">
        <x:v>Markdown line 425</x:v>
      </x:c>
      <x:c r="K63" s="33" t="str">
        <x:v>Enteroendocrine cells</x:v>
      </x:c>
      <x:c r="L63" s="23" t="str">
        <x:v>pending</x:v>
      </x:c>
    </x:row>
    <x:row r="64">
      <x:c r="A64" s="26" t="n">
        <x:v>33</x:v>
      </x:c>
      <x:c r="B64" s="10" t="str">
        <x:v>DOI_10.1038_s41588-025-02182-6</x:v>
      </x:c>
      <x:c r="C64" s="10" t="str">
        <x:v>An integrated transcriptomic cell atlas of human endoderm-derived organoids.</x:v>
      </x:c>
      <x:c r="D64" s="10" t="str">
        <x:v>Neuroendocrine cell</x:v>
      </x:c>
      <x:c r="E64" s="10" t="str">
        <x:v>Neuroendocrine cell</x:v>
      </x:c>
      <x:c r="F64" s="10" t="str">
        <x:v>neuroendocrine</x:v>
      </x:c>
      <x:c r="G64" s="10" t="str">
        <x:v>L4</x:v>
      </x:c>
      <x:c r="H64" s="10" t="str">
        <x:v>alveolar sac</x:v>
      </x:c>
      <x:c r="I64" s="10" t="str">
        <x:v>detected</x:v>
      </x:c>
      <x:c r="J64" s="33" t="str">
        <x:v>Markdown line 425</x:v>
      </x:c>
      <x:c r="K64" s="33" t="str">
        <x:v>Enteroendocrine cells</x:v>
      </x:c>
      <x:c r="L64" s="23" t="str">
        <x:v>pending</x:v>
      </x:c>
    </x:row>
    <x:row r="65">
      <x:c r="A65" s="26" t="n">
        <x:v>33</x:v>
      </x:c>
      <x:c r="B65" s="10" t="str">
        <x:v>DOI_10.1038_s41588-025-02182-6</x:v>
      </x:c>
      <x:c r="C65" s="10" t="str">
        <x:v>An integrated transcriptomic cell atlas of human endoderm-derived organoids.</x:v>
      </x:c>
      <x:c r="D65" s="10" t="str">
        <x:v>schwann</x:v>
      </x:c>
      <x:c r="E65" s="10" t="str">
        <x:v>schwann</x:v>
      </x:c>
      <x:c r="F65" s="10" t="str">
        <x:v>peripheral_glia</x:v>
      </x:c>
      <x:c r="G65" s="10" t="str">
        <x:v>L2</x:v>
      </x:c>
      <x:c r="H65" s="10" t="str">
        <x:v>alveolar sac</x:v>
      </x:c>
      <x:c r="I65" s="10" t="str">
        <x:v>detected</x:v>
      </x:c>
      <x:c r="J65" s="33" t="str">
        <x:v>Markdown line 426</x:v>
      </x:c>
      <x:c r="K65" s="33" t="str">
        <x:v>Schwann cell</x:v>
      </x:c>
      <x:c r="L65" s="23" t="str">
        <x:v>pending</x:v>
      </x:c>
    </x:row>
    <x:row r="66">
      <x:c r="A66" s="26" t="n">
        <x:v>33</x:v>
      </x:c>
      <x:c r="B66" s="10" t="str">
        <x:v>DOI_10.1038_s41588-025-02182-6</x:v>
      </x:c>
      <x:c r="C66" s="10" t="str">
        <x:v>An integrated transcriptomic cell atlas of human endoderm-derived organoids.</x:v>
      </x:c>
      <x:c r="D66" s="10" t="str">
        <x:v>neuroendocrine</x:v>
      </x:c>
      <x:c r="E66" s="10" t="str">
        <x:v>neuroendocrine</x:v>
      </x:c>
      <x:c r="F66" s="10" t="str">
        <x:v>neuroendocrine</x:v>
      </x:c>
      <x:c r="G66" s="10" t="str">
        <x:v>L4</x:v>
      </x:c>
      <x:c r="H66" s="10" t="str">
        <x:v>alveolar sac</x:v>
      </x:c>
      <x:c r="I66" s="10" t="str">
        <x:v>detected</x:v>
      </x:c>
      <x:c r="J66" s="33" t="str">
        <x:v>Markdown line 425</x:v>
      </x:c>
      <x:c r="K66" s="33" t="str">
        <x:v>Enteroendocrine cells</x:v>
      </x:c>
      <x:c r="L66" s="23" t="str">
        <x:v>pending</x:v>
      </x:c>
    </x:row>
    <x:row r="67">
      <x:c r="A67" s="26" t="n">
        <x:v>33</x:v>
      </x:c>
      <x:c r="B67" s="10" t="str">
        <x:v>DOI_10.1038_s41588-025-02182-6</x:v>
      </x:c>
      <x:c r="C67" s="10" t="str">
        <x:v>An integrated transcriptomic cell atlas of human endoderm-derived organoids.</x:v>
      </x:c>
      <x:c r="D67" s="10" t="str">
        <x:v>enteroendocrine</x:v>
      </x:c>
      <x:c r="E67" s="10" t="str">
        <x:v>enteroendocrine</x:v>
      </x:c>
      <x:c r="F67" s="10" t="str">
        <x:v>neuroendocrine</x:v>
      </x:c>
      <x:c r="G67" s="10" t="str">
        <x:v>L4</x:v>
      </x:c>
      <x:c r="H67" s="10" t="str">
        <x:v>alveolar sac</x:v>
      </x:c>
      <x:c r="I67" s="10" t="str">
        <x:v>detected</x:v>
      </x:c>
      <x:c r="J67" s="33" t="str">
        <x:v>Markdown line 425</x:v>
      </x:c>
      <x:c r="K67" s="33" t="str">
        <x:v>Enteroendocrine cells</x:v>
      </x:c>
      <x:c r="L67" s="23" t="str">
        <x:v>pending</x:v>
      </x:c>
    </x:row>
    <x:row r="68">
      <x:c r="A68" s="26" t="n">
        <x:v>33</x:v>
      </x:c>
      <x:c r="B68" s="10" t="str">
        <x:v>DOI_10.1038_s41588-025-02182-6</x:v>
      </x:c>
      <x:c r="C68" s="10" t="str">
        <x:v>An integrated transcriptomic cell atlas of human endoderm-derived organoids.</x:v>
      </x:c>
      <x:c r="D68" s="10" t="str">
        <x:v>peripheral nervous system neuron</x:v>
      </x:c>
      <x:c r="E68" s="10" t="str">
        <x:v>peripheral nervous system neuron</x:v>
      </x:c>
      <x:c r="F68" s="10" t="str">
        <x:v>neuron</x:v>
      </x:c>
      <x:c r="G68" s="10" t="str">
        <x:v>L1</x:v>
      </x:c>
      <x:c r="H68" s="10" t="str">
        <x:v>alveolar sac</x:v>
      </x:c>
      <x:c r="I68" s="10" t="str">
        <x:v>detected</x:v>
      </x:c>
      <x:c r="J68" s="33" t="str">
        <x:v>Markdown line 796</x:v>
      </x:c>
      <x:c r="K68" s="33" t="str">
        <x:v>PNS neuron</x:v>
      </x:c>
      <x:c r="L68" s="23" t="str">
        <x:v>pending</x:v>
      </x:c>
    </x:row>
    <x:row r="69">
      <x:c r="A69" s="26" t="n">
        <x:v>34</x:v>
      </x:c>
      <x:c r="B69" s="10" t="str">
        <x:v>DOI_10.1126_science.abl4290</x:v>
      </x:c>
      <x:c r="C69" s="10" t="str">
        <x:v>Single-nucleus cross-tissue molecular reference maps toward understanding disease gene function.</x:v>
      </x:c>
      <x:c r="D69" s="10" t="str">
        <x:v>Schwann cell</x:v>
      </x:c>
      <x:c r="E69" s="10" t="str">
        <x:v>Schwann cell</x:v>
      </x:c>
      <x:c r="F69" s="10" t="str">
        <x:v>peripheral_glia</x:v>
      </x:c>
      <x:c r="G69" s="10" t="str">
        <x:v>L2</x:v>
      </x:c>
      <x:c r="H69" s="10" t="str">
        <x:v>anterior wall of left ventricle</x:v>
      </x:c>
      <x:c r="I69" s="10" t="str">
        <x:v>detected</x:v>
      </x:c>
      <x:c r="J69" s="33" t="str">
        <x:v>Markdown line 721</x:v>
      </x:c>
      <x:c r="K69" s="33" t="str">
        <x:v>subsets (Fig. 1C and figs. S2, B and D, S5, and S6). For example, we detected Schwann cells</x:v>
      </x:c>
      <x:c r="L69" s="23" t="str">
        <x:v>pending</x:v>
      </x:c>
    </x:row>
    <x:row r="70">
      <x:c r="A70" s="26" t="n">
        <x:v>34</x:v>
      </x:c>
      <x:c r="B70" s="10" t="str">
        <x:v>DOI_10.1126_science.abl4290</x:v>
      </x:c>
      <x:c r="C70" s="10" t="str">
        <x:v>Single-nucleus cross-tissue molecular reference maps toward understanding disease gene function.</x:v>
      </x:c>
      <x:c r="D70" s="10" t="str">
        <x:v>Neuroendocrine cell</x:v>
      </x:c>
      <x:c r="E70" s="10" t="str">
        <x:v>Neuroendocrine cell</x:v>
      </x:c>
      <x:c r="F70" s="10" t="str">
        <x:v>neuroendocrine</x:v>
      </x:c>
      <x:c r="G70" s="10" t="str">
        <x:v>L4</x:v>
      </x:c>
      <x:c r="H70" s="10" t="str">
        <x:v>anterior wall of left ventricle</x:v>
      </x:c>
      <x:c r="I70" s="10" t="str">
        <x:v>detected</x:v>
      </x:c>
      <x:c r="J70" s="33" t="str">
        <x:v>Markdown line 723</x:v>
      </x:c>
      <x:c r="K70" s="33" t="str">
        <x:v>heart, prostate, and skeletal muscle), rare neuroendocrine cells in the prostate (38), and rare</x:v>
      </x:c>
      <x:c r="L70" s="23" t="str">
        <x:v>pending</x:v>
      </x:c>
    </x:row>
    <x:row r="71">
      <x:c r="A71" s="26" t="n">
        <x:v>34</x:v>
      </x:c>
      <x:c r="B71" s="10" t="str">
        <x:v>DOI_10.1126_science.abl4290</x:v>
      </x:c>
      <x:c r="C71" s="10" t="str">
        <x:v>Single-nucleus cross-tissue molecular reference maps toward understanding disease gene function.</x:v>
      </x:c>
      <x:c r="D71" s="10" t="str">
        <x:v>schwann</x:v>
      </x:c>
      <x:c r="E71" s="10" t="str">
        <x:v>schwann</x:v>
      </x:c>
      <x:c r="F71" s="10" t="str">
        <x:v>peripheral_glia</x:v>
      </x:c>
      <x:c r="G71" s="10" t="str">
        <x:v>L2</x:v>
      </x:c>
      <x:c r="H71" s="10" t="str">
        <x:v>anterior wall of left ventricle</x:v>
      </x:c>
      <x:c r="I71" s="10" t="str">
        <x:v>detected</x:v>
      </x:c>
      <x:c r="J71" s="33" t="str">
        <x:v>Markdown line 721</x:v>
      </x:c>
      <x:c r="K71" s="33" t="str">
        <x:v>subsets (Fig. 1C and figs. S2, B and D, S5, and S6). For example, we detected Schwann cells</x:v>
      </x:c>
      <x:c r="L71" s="23" t="str">
        <x:v>pending</x:v>
      </x:c>
    </x:row>
    <x:row r="72">
      <x:c r="A72" s="26" t="n">
        <x:v>34</x:v>
      </x:c>
      <x:c r="B72" s="10" t="str">
        <x:v>DOI_10.1126_science.abl4290</x:v>
      </x:c>
      <x:c r="C72" s="10" t="str">
        <x:v>Single-nucleus cross-tissue molecular reference maps toward understanding disease gene function.</x:v>
      </x:c>
      <x:c r="D72" s="10" t="str">
        <x:v>neuroendocrine</x:v>
      </x:c>
      <x:c r="E72" s="10" t="str">
        <x:v>neuroendocrine</x:v>
      </x:c>
      <x:c r="F72" s="10" t="str">
        <x:v>neuroendocrine</x:v>
      </x:c>
      <x:c r="G72" s="10" t="str">
        <x:v>L4</x:v>
      </x:c>
      <x:c r="H72" s="10" t="str">
        <x:v>anterior wall of left ventricle</x:v>
      </x:c>
      <x:c r="I72" s="10" t="str">
        <x:v>detected</x:v>
      </x:c>
      <x:c r="J72" s="33" t="str">
        <x:v>Markdown line 723</x:v>
      </x:c>
      <x:c r="K72" s="33" t="str">
        <x:v>heart, prostate, and skeletal muscle), rare neuroendocrine cells in the prostate (38), and rare</x:v>
      </x:c>
      <x:c r="L72" s="23" t="str">
        <x:v>pending</x:v>
      </x:c>
    </x:row>
    <x:row r="73">
      <x:c r="A73" s="26" t="n">
        <x:v>34</x:v>
      </x:c>
      <x:c r="B73" s="10" t="str">
        <x:v>DOI_10.1126_science.abl4290</x:v>
      </x:c>
      <x:c r="C73" s="10" t="str">
        <x:v>Single-nucleus cross-tissue molecular reference maps toward understanding disease gene function.</x:v>
      </x:c>
      <x:c r="D73" s="10" t="str">
        <x:v>sensory neuron</x:v>
      </x:c>
      <x:c r="E73" s="10" t="str">
        <x:v>sensory neuron</x:v>
      </x:c>
      <x:c r="F73" s="10" t="str">
        <x:v>neuron</x:v>
      </x:c>
      <x:c r="G73" s="10" t="str">
        <x:v>L1</x:v>
      </x:c>
      <x:c r="H73" s="10" t="str">
        <x:v>anterior wall of left ventricle</x:v>
      </x:c>
      <x:c r="I73" s="10" t="str">
        <x:v>detected</x:v>
      </x:c>
      <x:c r="J73" s="33" t="str">
        <x:v>Markdown line 2236</x:v>
      </x:c>
      <x:c r="K73" s="33" t="str">
        <x:v>so far has been mainly attributed to Piezo2+ sensory neurons in mice (111), suggesting</x:v>
      </x:c>
      <x:c r="L73" s="23" t="str">
        <x:v>pending</x:v>
      </x:c>
    </x:row>
    <x:row r="74">
      <x:c r="A74" s="26" t="n">
        <x:v>34</x:v>
      </x:c>
      <x:c r="B74" s="10" t="str">
        <x:v>DOI_10.1126_science.abl4290</x:v>
      </x:c>
      <x:c r="C74" s="10" t="str">
        <x:v>Single-nucleus cross-tissue molecular reference maps toward understanding disease gene function.</x:v>
      </x:c>
      <x:c r="D74" s="10" t="str">
        <x:v>enteric neuron</x:v>
      </x:c>
      <x:c r="E74" s="10" t="str">
        <x:v>enteric neuron</x:v>
      </x:c>
      <x:c r="F74" s="10" t="str">
        <x:v>neuron</x:v>
      </x:c>
      <x:c r="G74" s="10" t="str">
        <x:v>L1</x:v>
      </x:c>
      <x:c r="H74" s="10" t="str">
        <x:v>anterior wall of left ventricle</x:v>
      </x:c>
      <x:c r="I74" s="10" t="str">
        <x:v>detected</x:v>
      </x:c>
      <x:c r="J74" s="33" t="str">
        <x:v>Markdown line 724</x:v>
      </x:c>
      <x:c r="K74" s="33" t="str">
        <x:v>(26) ICCs and enteric neurons in the esophagus. Because these rare cells can contribute to</x:v>
      </x:c>
      <x:c r="L74" s="23" t="str">
        <x:v>pending</x:v>
      </x:c>
    </x:row>
    <x:row r="75">
      <x:c r="A75" s="26" t="n">
        <x:v>35</x:v>
      </x:c>
      <x:c r="B75" s="10" t="str">
        <x:v>DOI_10.1126_science.abo0510</x:v>
      </x:c>
      <x:c r="C75" s="10" t="str">
        <x:v>Mapping the developing human immune system across organs.</x:v>
      </x:c>
      <x:c r="D75" s="10" t="str">
        <x:v>neuroendocrine</x:v>
      </x:c>
      <x:c r="E75" s="10" t="str">
        <x:v>neuroendocrine</x:v>
      </x:c>
      <x:c r="F75" s="10" t="str">
        <x:v>neuroendocrine</x:v>
      </x:c>
      <x:c r="G75" s="10" t="str">
        <x:v>L4</x:v>
      </x:c>
      <x:c r="H75" s="10" t="str">
        <x:v>bone marrow</x:v>
      </x:c>
      <x:c r="I75" s="10" t="str">
        <x:v>detected</x:v>
      </x:c>
      <x:c r="J75" s="33" t="str">
        <x:v>Markdown line 588</x:v>
      </x:c>
      <x:c r="K75" s="33" t="str">
        <x:v>Comparison with human adult immune cells</x:v>
      </x:c>
      <x:c r="L75" s="23" t="str">
        <x:v>pending</x:v>
      </x:c>
    </x:row>
    <x:row r="76">
      <x:c r="A76" s="26" t="n">
        <x:v>36</x:v>
      </x:c>
      <x:c r="B76" s="10" t="str">
        <x:v>DOI_10.1038_s41467-024-52052-8</x:v>
      </x:c>
      <x:c r="C76" s="10" t="str">
        <x:v>The single-cell transcriptomic atlas iPain identifies senescence of nociceptors as a therapeutical target for chronic pain treatment.</x:v>
      </x:c>
      <x:c r="D76" s="10" t="str">
        <x:v>Sensory neuron (DRG)</x:v>
      </x:c>
      <x:c r="E76" s="10" t="str">
        <x:v>Sensory neuron (DRG)</x:v>
      </x:c>
      <x:c r="F76" s="10" t="str">
        <x:v>neuron</x:v>
      </x:c>
      <x:c r="G76" s="10" t="str">
        <x:v>L1</x:v>
      </x:c>
      <x:c r="H76" s="10" t="str">
        <x:v>dorsal root ganglion</x:v>
      </x:c>
      <x:c r="I76" s="10" t="str">
        <x:v>detected</x:v>
      </x:c>
      <x:c r="J76" s="33" t="str">
        <x:v>Markdown line 4</x:v>
      </x:c>
      <x:c r="K76" s="33" t="str">
        <x:v>identi es senescence of nociceptors as a</x:v>
      </x:c>
      <x:c r="L76" s="23" t="str">
        <x:v>pending</x:v>
      </x:c>
    </x:row>
    <x:row r="77">
      <x:c r="A77" s="26" t="n">
        <x:v>36</x:v>
      </x:c>
      <x:c r="B77" s="10" t="str">
        <x:v>DOI_10.1038_s41467-024-52052-8</x:v>
      </x:c>
      <x:c r="C77" s="10" t="str">
        <x:v>The single-cell transcriptomic atlas iPain identifies senescence of nociceptors as a therapeutical target for chronic pain treatment.</x:v>
      </x:c>
      <x:c r="D77" s="10" t="str">
        <x:v>satellite glia</x:v>
      </x:c>
      <x:c r="E77" s="10" t="str">
        <x:v>satellite glia</x:v>
      </x:c>
      <x:c r="F77" s="10" t="str">
        <x:v>peripheral_glia</x:v>
      </x:c>
      <x:c r="G77" s="10" t="str">
        <x:v>L2</x:v>
      </x:c>
      <x:c r="H77" s="10" t="str">
        <x:v>dorsal root ganglion</x:v>
      </x:c>
      <x:c r="I77" s="10" t="str">
        <x:v>detected</x:v>
      </x:c>
      <x:c r="J77" s="33" t="str">
        <x:v>Markdown line 181</x:v>
      </x:c>
      <x:c r="K77" s="33" t="str">
        <x:v>are related to interactions with immune and satellite glial cells in andLastingPainstates(Fig.3d).Interestingly,everysubtypeofthe</x:v>
      </x:c>
      <x:c r="L77" s="23" t="str">
        <x:v>pending</x:v>
      </x:c>
    </x:row>
    <x:row r="78">
      <x:c r="A78" s="26" t="n">
        <x:v>36</x:v>
      </x:c>
      <x:c r="B78" s="10" t="str">
        <x:v>DOI_10.1038_s41467-024-52052-8</x:v>
      </x:c>
      <x:c r="C78" s="10" t="str">
        <x:v>The single-cell transcriptomic atlas iPain identifies senescence of nociceptors as a therapeutical target for chronic pain treatment.</x:v>
      </x:c>
      <x:c r="D78" s="10" t="str">
        <x:v>neuroendocrine</x:v>
      </x:c>
      <x:c r="E78" s="10" t="str">
        <x:v>neuroendocrine</x:v>
      </x:c>
      <x:c r="F78" s="10" t="str">
        <x:v>neuroendocrine</x:v>
      </x:c>
      <x:c r="G78" s="10" t="str">
        <x:v>L4</x:v>
      </x:c>
      <x:c r="H78" s="10" t="str">
        <x:v>dorsal root ganglion</x:v>
      </x:c>
      <x:c r="I78" s="10" t="str">
        <x:v>detected</x:v>
      </x:c>
      <x:c r="J78" s="33" t="str">
        <x:v>Markdown line 169</x:v>
      </x:c>
      <x:c r="K78" s="33" t="str">
        <x:v>mentaryFig.5a–f).ThissuggestedthatSOX11isapotentialdrivergene cells which are unable to reverse their phenotype to the Reference</x:v>
      </x:c>
      <x:c r="L78" s="23" t="str">
        <x:v>pending</x:v>
      </x:c>
    </x:row>
    <x:row r="79">
      <x:c r="A79" s="26" t="n">
        <x:v>36</x:v>
      </x:c>
      <x:c r="B79" s="10" t="str">
        <x:v>DOI_10.1038_s41467-024-52052-8</x:v>
      </x:c>
      <x:c r="C79" s="10" t="str">
        <x:v>The single-cell transcriptomic atlas iPain identifies senescence of nociceptors as a therapeutical target for chronic pain treatment.</x:v>
      </x:c>
      <x:c r="D79" s="10" t="str">
        <x:v>sensory neuron</x:v>
      </x:c>
      <x:c r="E79" s="10" t="str">
        <x:v>sensory neuron</x:v>
      </x:c>
      <x:c r="F79" s="10" t="str">
        <x:v>neuron</x:v>
      </x:c>
      <x:c r="G79" s="10" t="str">
        <x:v>L1</x:v>
      </x:c>
      <x:c r="H79" s="10" t="str">
        <x:v>dorsal root ganglion</x:v>
      </x:c>
      <x:c r="I79" s="10" t="str">
        <x:v>detected</x:v>
      </x:c>
      <x:c r="J79" s="33" t="str">
        <x:v>Markdown line 4</x:v>
      </x:c>
      <x:c r="K79" s="33" t="str">
        <x:v>identi es senescence of nociceptors as a</x:v>
      </x:c>
      <x:c r="L79" s="23" t="str">
        <x:v>pending</x:v>
      </x:c>
    </x:row>
    <x:row r="80">
      <x:c r="A80" s="26" t="n">
        <x:v>38</x:v>
      </x:c>
      <x:c r="B80" s="10" t="str">
        <x:v>PMID_35115729</x:v>
      </x:c>
      <x:c r="C80" s="10" t="str">
        <x:v>Disentangling glial diversity in peripheral nerves at single-nuclei resolution</x:v>
      </x:c>
      <x:c r="D80" s="10" t="str">
        <x:v>schwann</x:v>
      </x:c>
      <x:c r="E80" s="10" t="str">
        <x:v>schwann</x:v>
      </x:c>
      <x:c r="F80" s="10" t="str">
        <x:v>peripheral_glia</x:v>
      </x:c>
      <x:c r="G80" s="10" t="str">
        <x:v>L2</x:v>
      </x:c>
      <x:c r="H80" s="10" t="str">
        <x:v>sciatic nerve</x:v>
      </x:c>
      <x:c r="I80" s="10" t="str">
        <x:v>annotation</x:v>
      </x:c>
      <x:c r="J80" s="33" t="str">
        <x:v>Markdown line 15</x:v>
      </x:c>
      <x:c r="K80" s="33" t="str">
        <x:v>a diversity of cell types, including multiple subtypes of Schwann cells (SCs), immune cells, and</x:v>
      </x:c>
      <x:c r="L80" s="23" t="str">
        <x:v>pending</x:v>
      </x:c>
    </x:row>
    <x:row r="81">
      <x:c r="A81" s="26" t="n">
        <x:v>38</x:v>
      </x:c>
      <x:c r="B81" s="10" t="str">
        <x:v>PMID_35115729</x:v>
      </x:c>
      <x:c r="C81" s="10" t="str">
        <x:v>Disentangling glial diversity in peripheral nerves at single-nuclei resolution</x:v>
      </x:c>
      <x:c r="D81" s="10" t="str">
        <x:v>neuroendocrine</x:v>
      </x:c>
      <x:c r="E81" s="10" t="str">
        <x:v>neuroendocrine</x:v>
      </x:c>
      <x:c r="F81" s="10" t="str">
        <x:v>neuroendocrine</x:v>
      </x:c>
      <x:c r="G81" s="10" t="str">
        <x:v>L4</x:v>
      </x:c>
      <x:c r="H81" s="10" t="str">
        <x:v>sciatic nerve</x:v>
      </x:c>
      <x:c r="I81" s="10" t="str">
        <x:v>annotation</x:v>
      </x:c>
      <x:c r="J81" s="33" t="str">
        <x:v>Markdown line 15</x:v>
      </x:c>
      <x:c r="K81" s="33" t="str">
        <x:v>a diversity of cell types, including multiple subtypes of Schwann cells (SCs), immune cells, and</x:v>
      </x:c>
      <x:c r="L81" s="23" t="str">
        <x:v>pending</x:v>
      </x:c>
    </x:row>
    <x:row r="82">
      <x:c r="A82" s="26" t="n">
        <x:v>38</x:v>
      </x:c>
      <x:c r="B82" s="10" t="str">
        <x:v>PMID_35115729</x:v>
      </x:c>
      <x:c r="C82" s="10" t="str">
        <x:v>Disentangling glial diversity in peripheral nerves at single-nuclei resolution</x:v>
      </x:c>
      <x:c r="D82" s="10" t="str">
        <x:v>sensory neuron</x:v>
      </x:c>
      <x:c r="E82" s="10" t="str">
        <x:v>sensory neuron</x:v>
      </x:c>
      <x:c r="F82" s="10" t="str">
        <x:v>neuron</x:v>
      </x:c>
      <x:c r="G82" s="10" t="str">
        <x:v>L1</x:v>
      </x:c>
      <x:c r="H82" s="10" t="str">
        <x:v>sciatic nerve</x:v>
      </x:c>
      <x:c r="I82" s="10" t="str">
        <x:v>detected</x:v>
      </x:c>
      <x:c r="J82" s="33" t="str">
        <x:v>Markdown line 1081</x:v>
      </x:c>
      <x:c r="K82" s="33" t="str">
        <x:v>by motor and sensory neurons. The Journal of neuroscience 16, 5698–703 (1996). [PubMed:</x:v>
      </x:c>
      <x:c r="L82" s="23" t="str">
        <x:v>pending</x:v>
      </x:c>
    </x:row>
    <x:row r="83">
      <x:c r="A83" s="26" t="n">
        <x:v>39</x:v>
      </x:c>
      <x:c r="B83" s="10" t="str">
        <x:v>DOI_10.1101_2025.09.26.678707</x:v>
      </x:c>
      <x:c r="C83" s="10" t="str">
        <x:v>Cellular and Spatial Drivers of Unresolved Injury and Functional Decline in the Human Kidney</x:v>
      </x:c>
      <x:c r="D83" s="10" t="str">
        <x:v>neuroendocrine</x:v>
      </x:c>
      <x:c r="E83" s="10" t="str">
        <x:v>neuroendocrine</x:v>
      </x:c>
      <x:c r="F83" s="10" t="str">
        <x:v>neuroendocrine</x:v>
      </x:c>
      <x:c r="G83" s="10" t="str">
        <x:v>L4</x:v>
      </x:c>
      <x:c r="H83" s="10" t="str">
        <x:v>kidney</x:v>
      </x:c>
      <x:c r="I83" s="10" t="str">
        <x:v>detected</x:v>
      </x:c>
      <x:c r="J83" s="33" t="str">
        <x:v>Markdown line 133</x:v>
      </x:c>
      <x:c r="K83" s="33" t="str">
        <x:v>infiltration of immune cells. Following injury, kidney epithelial cells undergo complex transitions</x:v>
      </x:c>
      <x:c r="L83" s="23" t="str">
        <x:v>pending</x:v>
      </x:c>
    </x:row>
    <x:row r="84">
      <x:c r="A84" s="26" t="n">
        <x:v>39</x:v>
      </x:c>
      <x:c r="B84" s="10" t="str">
        <x:v>DOI_10.1101_2025.09.26.678707</x:v>
      </x:c>
      <x:c r="C84" s="10" t="str">
        <x:v>Cellular and Spatial Drivers of Unresolved Injury and Functional Decline in the Human Kidney</x:v>
      </x:c>
      <x:c r="D84" s="10" t="str">
        <x:v>neural cells</x:v>
      </x:c>
      <x:c r="E84" s="10" t="str">
        <x:v>neural cells</x:v>
      </x:c>
      <x:c r="F84" s="10" t="str">
        <x:v>other_neural</x:v>
      </x:c>
      <x:c r="G84" s="10" t="str">
        <x:v>NA</x:v>
      </x:c>
      <x:c r="H84" s="10" t="str">
        <x:v>kidney</x:v>
      </x:c>
      <x:c r="I84" s="10" t="str">
        <x:v>detected</x:v>
      </x:c>
      <x:c r="J84" s="33" t="str">
        <x:v>Markdown line 1349</x:v>
      </x:c>
      <x:c r="K84" s="33" t="str">
        <x:v>immune cells (Lymphoid, Myeloid) and Schwann/neural cells (NEU) in order to achieve a higher</x:v>
      </x:c>
      <x:c r="L84" s="23" t="str">
        <x:v>pending</x:v>
      </x:c>
    </x:row>
    <x:row r="85">
      <x:c r="A85" s="26" t="n">
        <x:v>40</x:v>
      </x:c>
      <x:c r="B85" s="10" t="str">
        <x:v>DOI_10.1038_s41467-021-21783-3</x:v>
      </x:c>
      <x:c r="C85" s="10" t="str">
        <x:v>Time-resolved single-cell analysis of Brca1 associated mammary tumourigenesis reveals aberrant differentiation of luminal progenitors.</x:v>
      </x:c>
      <x:c r="D85" s="10" t="str">
        <x:v>neuroendocrine</x:v>
      </x:c>
      <x:c r="E85" s="10" t="str">
        <x:v>neuroendocrine</x:v>
      </x:c>
      <x:c r="F85" s="10" t="str">
        <x:v>neuroendocrine</x:v>
      </x:c>
      <x:c r="G85" s="10" t="str">
        <x:v>L4</x:v>
      </x:c>
      <x:c r="H85" s="10" t="str">
        <x:v>mammary gland</x:v>
      </x:c>
      <x:c r="I85" s="10" t="str">
        <x:v>detected</x:v>
      </x:c>
      <x:c r="J85" s="33" t="str">
        <x:v>Markdown line 170</x:v>
      </x:c>
      <x:c r="K85" s="33" t="str">
        <x:v>(Spp1) expressed by Avd with Cd44 expressed on immune cells 1showreducedexpressionofKlrg1andIl1rl1,twomarkersoftissue</x:v>
      </x:c>
      <x:c r="L85" s="23" t="str">
        <x:v>pending</x:v>
      </x:c>
    </x:row>
    <x:row r="86">
      <x:c r="A86" s="26" t="n">
        <x:v>41</x:v>
      </x:c>
      <x:c r="B86" s="10" t="str">
        <x:v>DOI_10.1038_s42255-023-00876-x</x:v>
      </x:c>
      <x:c r="C86" s="10" t="str">
        <x:v>Delineating mouse β-cell identity during lifetime and in diabetes with a single cell atlas.</x:v>
      </x:c>
      <x:c r="D86" s="10" t="str">
        <x:v>Schwann cell</x:v>
      </x:c>
      <x:c r="E86" s="10" t="str">
        <x:v>Schwann cell</x:v>
      </x:c>
      <x:c r="F86" s="10" t="str">
        <x:v>peripheral_glia</x:v>
      </x:c>
      <x:c r="G86" s="10" t="str">
        <x:v>L2</x:v>
      </x:c>
      <x:c r="H86" s="10" t="str">
        <x:v>islet of Langerhans</x:v>
      </x:c>
      <x:c r="I86" s="10" t="str">
        <x:v>annotation</x:v>
      </x:c>
      <x:c r="J86" s="33" t="str">
        <x:v>Markdown line 121</x:v>
      </x:c>
      <x:c r="K86" s="33" t="str">
        <x:v>To circumvent this, multiple scRNA-seq data analysis and integra- annotation48. For example, we found that Schwann cells (617 out of</x:v>
      </x:c>
      <x:c r="L86" s="23" t="str">
        <x:v>pending</x:v>
      </x:c>
    </x:row>
    <x:row r="87">
      <x:c r="A87" s="26" t="n">
        <x:v>41</x:v>
      </x:c>
      <x:c r="B87" s="10" t="str">
        <x:v>DOI_10.1038_s42255-023-00876-x</x:v>
      </x:c>
      <x:c r="C87" s="10" t="str">
        <x:v>Delineating mouse β-cell identity during lifetime and in diabetes with a single cell atlas.</x:v>
      </x:c>
      <x:c r="D87" s="10" t="str">
        <x:v>schwann</x:v>
      </x:c>
      <x:c r="E87" s="10" t="str">
        <x:v>schwann</x:v>
      </x:c>
      <x:c r="F87" s="10" t="str">
        <x:v>peripheral_glia</x:v>
      </x:c>
      <x:c r="G87" s="10" t="str">
        <x:v>L2</x:v>
      </x:c>
      <x:c r="H87" s="10" t="str">
        <x:v>islet of Langerhans</x:v>
      </x:c>
      <x:c r="I87" s="10" t="str">
        <x:v>annotation</x:v>
      </x:c>
      <x:c r="J87" s="33" t="str">
        <x:v>Markdown line 121</x:v>
      </x:c>
      <x:c r="K87" s="33" t="str">
        <x:v>To circumvent this, multiple scRNA-seq data analysis and integra- annotation48. For example, we found that Schwann cells (617 out of</x:v>
      </x:c>
      <x:c r="L87" s="23" t="str">
        <x:v>pending</x:v>
      </x:c>
    </x:row>
    <x:row r="88">
      <x:c r="A88" s="26" t="n">
        <x:v>41</x:v>
      </x:c>
      <x:c r="B88" s="10" t="str">
        <x:v>DOI_10.1038_s42255-023-00876-x</x:v>
      </x:c>
      <x:c r="C88" s="10" t="str">
        <x:v>Delineating mouse β-cell identity during lifetime and in diabetes with a single cell atlas.</x:v>
      </x:c>
      <x:c r="D88" s="10" t="str">
        <x:v>neuroendocrine</x:v>
      </x:c>
      <x:c r="E88" s="10" t="str">
        <x:v>neuroendocrine</x:v>
      </x:c>
      <x:c r="F88" s="10" t="str">
        <x:v>neuroendocrine</x:v>
      </x:c>
      <x:c r="G88" s="10" t="str">
        <x:v>L4</x:v>
      </x:c>
      <x:c r="H88" s="10" t="str">
        <x:v>islet of Langerhans</x:v>
      </x:c>
      <x:c r="I88" s="10" t="str">
        <x:v>detected</x:v>
      </x:c>
      <x:c r="J88" s="33" t="str">
        <x:v>Markdown line 214</x:v>
      </x:c>
      <x:c r="K88" s="33" t="str">
        <x:v>One of the key questions in islet biology is when and how endocrine cells we aimed to use MIA to comprehensively describe β-cell states along-</x:v>
      </x:c>
      <x:c r="L88" s="23" t="str">
        <x:v>pending</x:v>
      </x:c>
    </x:row>
    <x:row r="89">
      <x:c r="A89" s="26" t="n">
        <x:v>42</x:v>
      </x:c>
      <x:c r="B89" s="10" t="str">
        <x:v>DOI_10.1038_s41586-024-07069-w</x:v>
      </x:c>
      <x:c r="C89" s="10" t="str">
        <x:v>A single-cell time-lapse of mouse prenatal development from gastrula to birth.</x:v>
      </x:c>
      <x:c r="D89" s="10" t="str">
        <x:v>Enteric neuron</x:v>
      </x:c>
      <x:c r="E89" s="10" t="str">
        <x:v>Enteric neuron</x:v>
      </x:c>
      <x:c r="F89" s="10" t="str">
        <x:v>neuron</x:v>
      </x:c>
      <x:c r="G89" s="10" t="str">
        <x:v>L1</x:v>
      </x:c>
      <x:c r="H89" s="10" t="str">
        <x:v>embryo</x:v>
      </x:c>
      <x:c r="I89" s="10" t="str">
        <x:v>detected</x:v>
      </x:c>
      <x:c r="J89" s="33" t="str">
        <x:v>Markdown line 2257</x:v>
      </x:c>
      <x:c r="K89" s="33" t="str">
        <x:v>121 - Enteric neurons</x:v>
      </x:c>
      <x:c r="L89" s="23" t="str">
        <x:v>pending</x:v>
      </x:c>
    </x:row>
    <x:row r="90">
      <x:c r="A90" s="26" t="n">
        <x:v>42</x:v>
      </x:c>
      <x:c r="B90" s="10" t="str">
        <x:v>DOI_10.1038_s41586-024-07069-w</x:v>
      </x:c>
      <x:c r="C90" s="10" t="str">
        <x:v>A single-cell time-lapse of mouse prenatal development from gastrula to birth.</x:v>
      </x:c>
      <x:c r="D90" s="10" t="str">
        <x:v>Parasympathetic neuron</x:v>
      </x:c>
      <x:c r="E90" s="10" t="str">
        <x:v>Parasympathetic neuron</x:v>
      </x:c>
      <x:c r="F90" s="10" t="str">
        <x:v>neuron</x:v>
      </x:c>
      <x:c r="G90" s="10" t="str">
        <x:v>L1</x:v>
      </x:c>
      <x:c r="H90" s="10" t="str">
        <x:v>embryo</x:v>
      </x:c>
      <x:c r="I90" s="10" t="str">
        <x:v>detected</x:v>
      </x:c>
      <x:c r="J90" s="33" t="str">
        <x:v>Markdown line 2261</x:v>
      </x:c>
      <x:c r="K90" s="33" t="str">
        <x:v>125 - Parasympathetic neurons</x:v>
      </x:c>
      <x:c r="L90" s="23" t="str">
        <x:v>pending</x:v>
      </x:c>
    </x:row>
    <x:row r="91">
      <x:c r="A91" s="26" t="n">
        <x:v>42</x:v>
      </x:c>
      <x:c r="B91" s="10" t="str">
        <x:v>DOI_10.1038_s41586-024-07069-w</x:v>
      </x:c>
      <x:c r="C91" s="10" t="str">
        <x:v>A single-cell time-lapse of mouse prenatal development from gastrula to birth.</x:v>
      </x:c>
      <x:c r="D91" s="10" t="str">
        <x:v>Peripheral nervous system neuron</x:v>
      </x:c>
      <x:c r="E91" s="10" t="str">
        <x:v>Peripheral nervous system neuron</x:v>
      </x:c>
      <x:c r="F91" s="10" t="str">
        <x:v>neuron</x:v>
      </x:c>
      <x:c r="G91" s="10" t="str">
        <x:v>L1</x:v>
      </x:c>
      <x:c r="H91" s="10" t="str">
        <x:v>embryo</x:v>
      </x:c>
      <x:c r="I91" s="10" t="str">
        <x:v>detected</x:v>
      </x:c>
      <x:c r="J91" s="33" t="str">
        <x:v>Markdown line 261</x:v>
      </x:c>
      <x:c r="K91" s="33" t="str">
        <x:v>Neural crest (PNS neurons)</x:v>
      </x:c>
      <x:c r="L91" s="23" t="str">
        <x:v>pending</x:v>
      </x:c>
    </x:row>
    <x:row r="92">
      <x:c r="A92" s="26" t="n">
        <x:v>42</x:v>
      </x:c>
      <x:c r="B92" s="10" t="str">
        <x:v>DOI_10.1038_s41586-024-07069-w</x:v>
      </x:c>
      <x:c r="C92" s="10" t="str">
        <x:v>A single-cell time-lapse of mouse prenatal development from gastrula to birth.</x:v>
      </x:c>
      <x:c r="D92" s="10" t="str">
        <x:v>Sensory neuron (DRG)</x:v>
      </x:c>
      <x:c r="E92" s="10" t="str">
        <x:v>Sensory neuron (DRG)</x:v>
      </x:c>
      <x:c r="F92" s="10" t="str">
        <x:v>neuron</x:v>
      </x:c>
      <x:c r="G92" s="10" t="str">
        <x:v>L1</x:v>
      </x:c>
      <x:c r="H92" s="10" t="str">
        <x:v>embryo</x:v>
      </x:c>
      <x:c r="I92" s="10" t="str">
        <x:v>detected</x:v>
      </x:c>
      <x:c r="J92" s="33" t="str">
        <x:v>Markdown line 279</x:v>
      </x:c>
      <x:c r="K92" s="33" t="str">
        <x:v>Olfactory sensory neurons</x:v>
      </x:c>
      <x:c r="L92" s="23" t="str">
        <x:v>pending</x:v>
      </x:c>
    </x:row>
    <x:row r="93">
      <x:c r="A93" s="26" t="n">
        <x:v>42</x:v>
      </x:c>
      <x:c r="B93" s="10" t="str">
        <x:v>DOI_10.1038_s41586-024-07069-w</x:v>
      </x:c>
      <x:c r="C93" s="10" t="str">
        <x:v>A single-cell time-lapse of mouse prenatal development from gastrula to birth.</x:v>
      </x:c>
      <x:c r="D93" s="10" t="str">
        <x:v>Sympathetic neuron</x:v>
      </x:c>
      <x:c r="E93" s="10" t="str">
        <x:v>Sympathetic neuron</x:v>
      </x:c>
      <x:c r="F93" s="10" t="str">
        <x:v>neuron</x:v>
      </x:c>
      <x:c r="G93" s="10" t="str">
        <x:v>L1</x:v>
      </x:c>
      <x:c r="H93" s="10" t="str">
        <x:v>embryo</x:v>
      </x:c>
      <x:c r="I93" s="10" t="str">
        <x:v>detected</x:v>
      </x:c>
      <x:c r="J93" s="33" t="str">
        <x:v>Markdown line 2261</x:v>
      </x:c>
      <x:c r="K93" s="33" t="str">
        <x:v>125 - Parasympathetic neurons</x:v>
      </x:c>
      <x:c r="L93" s="23" t="str">
        <x:v>pending</x:v>
      </x:c>
    </x:row>
    <x:row r="94">
      <x:c r="A94" s="26" t="n">
        <x:v>42</x:v>
      </x:c>
      <x:c r="B94" s="10" t="str">
        <x:v>DOI_10.1038_s41586-024-07069-w</x:v>
      </x:c>
      <x:c r="C94" s="10" t="str">
        <x:v>A single-cell time-lapse of mouse prenatal development from gastrula to birth.</x:v>
      </x:c>
      <x:c r="D94" s="10" t="str">
        <x:v>Schwann cell precursor</x:v>
      </x:c>
      <x:c r="E94" s="10" t="str">
        <x:v>Schwann cell precursor</x:v>
      </x:c>
      <x:c r="F94" s="10" t="str">
        <x:v>peripheral_glia</x:v>
      </x:c>
      <x:c r="G94" s="10" t="str">
        <x:v>L2</x:v>
      </x:c>
      <x:c r="H94" s="10" t="str">
        <x:v>embryo</x:v>
      </x:c>
      <x:c r="I94" s="10" t="str">
        <x:v>detected</x:v>
      </x:c>
      <x:c r="J94" s="33" t="str">
        <x:v>Markdown line 2250</x:v>
      </x:c>
      <x:c r="K94" s="33" t="str">
        <x:v>114 - Myelinating Schwann cells</x:v>
      </x:c>
      <x:c r="L94" s="23" t="str">
        <x:v>pending</x:v>
      </x:c>
    </x:row>
    <x:row r="95">
      <x:c r="A95" s="26" t="n">
        <x:v>42</x:v>
      </x:c>
      <x:c r="B95" s="10" t="str">
        <x:v>DOI_10.1038_s41586-024-07069-w</x:v>
      </x:c>
      <x:c r="C95" s="10" t="str">
        <x:v>A single-cell time-lapse of mouse prenatal development from gastrula to birth.</x:v>
      </x:c>
      <x:c r="D95" s="10" t="str">
        <x:v>Myelinating Schwann cell</x:v>
      </x:c>
      <x:c r="E95" s="10" t="str">
        <x:v>Myelinating Schwann cell</x:v>
      </x:c>
      <x:c r="F95" s="10" t="str">
        <x:v>peripheral_glia</x:v>
      </x:c>
      <x:c r="G95" s="10" t="str">
        <x:v>L2</x:v>
      </x:c>
      <x:c r="H95" s="10" t="str">
        <x:v>embryo</x:v>
      </x:c>
      <x:c r="I95" s="10" t="str">
        <x:v>detected</x:v>
      </x:c>
      <x:c r="J95" s="33" t="str">
        <x:v>Markdown line 2250</x:v>
      </x:c>
      <x:c r="K95" s="33" t="str">
        <x:v>114 - Myelinating Schwann cells</x:v>
      </x:c>
      <x:c r="L95" s="23" t="str">
        <x:v>pending</x:v>
      </x:c>
    </x:row>
    <x:row r="96">
      <x:c r="A96" s="26" t="n">
        <x:v>42</x:v>
      </x:c>
      <x:c r="B96" s="10" t="str">
        <x:v>DOI_10.1038_s41586-024-07069-w</x:v>
      </x:c>
      <x:c r="C96" s="10" t="str">
        <x:v>A single-cell time-lapse of mouse prenatal development from gastrula to birth.</x:v>
      </x:c>
      <x:c r="D96" s="10" t="str">
        <x:v>Satellite glial cell</x:v>
      </x:c>
      <x:c r="E96" s="10" t="str">
        <x:v>Satellite glial cell</x:v>
      </x:c>
      <x:c r="F96" s="10" t="str">
        <x:v>peripheral_glia</x:v>
      </x:c>
      <x:c r="G96" s="10" t="str">
        <x:v>L2</x:v>
      </x:c>
      <x:c r="H96" s="10" t="str">
        <x:v>embryo</x:v>
      </x:c>
      <x:c r="I96" s="10" t="str">
        <x:v>detected</x:v>
      </x:c>
      <x:c r="J96" s="33" t="str">
        <x:v>Markdown line 2254</x:v>
      </x:c>
      <x:c r="K96" s="33" t="str">
        <x:v>118 - Satellite glial cells</x:v>
      </x:c>
      <x:c r="L96" s="23" t="str">
        <x:v>pending</x:v>
      </x:c>
    </x:row>
    <x:row r="97">
      <x:c r="A97" s="26" t="n">
        <x:v>42</x:v>
      </x:c>
      <x:c r="B97" s="10" t="str">
        <x:v>DOI_10.1038_s41586-024-07069-w</x:v>
      </x:c>
      <x:c r="C97" s="10" t="str">
        <x:v>A single-cell time-lapse of mouse prenatal development from gastrula to birth.</x:v>
      </x:c>
      <x:c r="D97" s="10" t="str">
        <x:v>Intestinal enteroendocrine cell</x:v>
      </x:c>
      <x:c r="E97" s="10" t="str">
        <x:v>Intestinal enteroendocrine cell</x:v>
      </x:c>
      <x:c r="F97" s="10" t="str">
        <x:v>neuroendocrine</x:v>
      </x:c>
      <x:c r="G97" s="10" t="str">
        <x:v>L4</x:v>
      </x:c>
      <x:c r="H97" s="10" t="str">
        <x:v>embryo</x:v>
      </x:c>
      <x:c r="I97" s="10" t="str">
        <x:v>detected</x:v>
      </x:c>
      <x:c r="J97" s="33" t="str">
        <x:v>Markdown line 2236</x:v>
      </x:c>
      <x:c r="K97" s="33" t="str">
        <x:v>100 - Intestinal enteroendocrine cells</x:v>
      </x:c>
      <x:c r="L97" s="23" t="str">
        <x:v>pending</x:v>
      </x:c>
    </x:row>
    <x:row r="98">
      <x:c r="A98" s="26" t="n">
        <x:v>42</x:v>
      </x:c>
      <x:c r="B98" s="10" t="str">
        <x:v>DOI_10.1038_s41586-024-07069-w</x:v>
      </x:c>
      <x:c r="C98" s="10" t="str">
        <x:v>A single-cell time-lapse of mouse prenatal development from gastrula to birth.</x:v>
      </x:c>
      <x:c r="D98" s="10" t="str">
        <x:v>schwann</x:v>
      </x:c>
      <x:c r="E98" s="10" t="str">
        <x:v>schwann</x:v>
      </x:c>
      <x:c r="F98" s="10" t="str">
        <x:v>peripheral_glia</x:v>
      </x:c>
      <x:c r="G98" s="10" t="str">
        <x:v>L2</x:v>
      </x:c>
      <x:c r="H98" s="10" t="str">
        <x:v>embryo</x:v>
      </x:c>
      <x:c r="I98" s="10" t="str">
        <x:v>detected</x:v>
      </x:c>
      <x:c r="J98" s="33" t="str">
        <x:v>Markdown line 2250</x:v>
      </x:c>
      <x:c r="K98" s="33" t="str">
        <x:v>114 - Myelinating Schwann cells</x:v>
      </x:c>
      <x:c r="L98" s="23" t="str">
        <x:v>pending</x:v>
      </x:c>
    </x:row>
    <x:row r="99">
      <x:c r="A99" s="26" t="n">
        <x:v>42</x:v>
      </x:c>
      <x:c r="B99" s="10" t="str">
        <x:v>DOI_10.1038_s41586-024-07069-w</x:v>
      </x:c>
      <x:c r="C99" s="10" t="str">
        <x:v>A single-cell time-lapse of mouse prenatal development from gastrula to birth.</x:v>
      </x:c>
      <x:c r="D99" s="10" t="str">
        <x:v>satellite glia</x:v>
      </x:c>
      <x:c r="E99" s="10" t="str">
        <x:v>satellite glia</x:v>
      </x:c>
      <x:c r="F99" s="10" t="str">
        <x:v>peripheral_glia</x:v>
      </x:c>
      <x:c r="G99" s="10" t="str">
        <x:v>L2</x:v>
      </x:c>
      <x:c r="H99" s="10" t="str">
        <x:v>embryo</x:v>
      </x:c>
      <x:c r="I99" s="10" t="str">
        <x:v>detected</x:v>
      </x:c>
      <x:c r="J99" s="33" t="str">
        <x:v>Markdown line 2254</x:v>
      </x:c>
      <x:c r="K99" s="33" t="str">
        <x:v>118 - Satellite glial cells</x:v>
      </x:c>
      <x:c r="L99" s="23" t="str">
        <x:v>pending</x:v>
      </x:c>
    </x:row>
    <x:row r="100">
      <x:c r="A100" s="26" t="n">
        <x:v>42</x:v>
      </x:c>
      <x:c r="B100" s="10" t="str">
        <x:v>DOI_10.1038_s41586-024-07069-w</x:v>
      </x:c>
      <x:c r="C100" s="10" t="str">
        <x:v>A single-cell time-lapse of mouse prenatal development from gastrula to birth.</x:v>
      </x:c>
      <x:c r="D100" s="10" t="str">
        <x:v>neuroendocrine</x:v>
      </x:c>
      <x:c r="E100" s="10" t="str">
        <x:v>neuroendocrine</x:v>
      </x:c>
      <x:c r="F100" s="10" t="str">
        <x:v>neuroendocrine</x:v>
      </x:c>
      <x:c r="G100" s="10" t="str">
        <x:v>L4</x:v>
      </x:c>
      <x:c r="H100" s="10" t="str">
        <x:v>embryo</x:v>
      </x:c>
      <x:c r="I100" s="10" t="str">
        <x:v>detected</x:v>
      </x:c>
      <x:c r="J100" s="33" t="str">
        <x:v>Markdown line 2217</x:v>
      </x:c>
      <x:c r="K100" s="33" t="str">
        <x:v>81 - Amacrine cells</x:v>
      </x:c>
      <x:c r="L100" s="23" t="str">
        <x:v>pending</x:v>
      </x:c>
    </x:row>
    <x:row r="101">
      <x:c r="A101" s="26" t="n">
        <x:v>42</x:v>
      </x:c>
      <x:c r="B101" s="10" t="str">
        <x:v>DOI_10.1038_s41586-024-07069-w</x:v>
      </x:c>
      <x:c r="C101" s="10" t="str">
        <x:v>A single-cell time-lapse of mouse prenatal development from gastrula to birth.</x:v>
      </x:c>
      <x:c r="D101" s="10" t="str">
        <x:v>enteroendocrine</x:v>
      </x:c>
      <x:c r="E101" s="10" t="str">
        <x:v>enteroendocrine</x:v>
      </x:c>
      <x:c r="F101" s="10" t="str">
        <x:v>neuroendocrine</x:v>
      </x:c>
      <x:c r="G101" s="10" t="str">
        <x:v>L4</x:v>
      </x:c>
      <x:c r="H101" s="10" t="str">
        <x:v>embryo</x:v>
      </x:c>
      <x:c r="I101" s="10" t="str">
        <x:v>detected</x:v>
      </x:c>
      <x:c r="J101" s="33" t="str">
        <x:v>Markdown line 2236</x:v>
      </x:c>
      <x:c r="K101" s="33" t="str">
        <x:v>100 - Intestinal enteroendocrine cells</x:v>
      </x:c>
      <x:c r="L101" s="23" t="str">
        <x:v>pending</x:v>
      </x:c>
    </x:row>
    <x:row r="102">
      <x:c r="A102" s="26" t="n">
        <x:v>42</x:v>
      </x:c>
      <x:c r="B102" s="10" t="str">
        <x:v>DOI_10.1038_s41586-024-07069-w</x:v>
      </x:c>
      <x:c r="C102" s="10" t="str">
        <x:v>A single-cell time-lapse of mouse prenatal development from gastrula to birth.</x:v>
      </x:c>
      <x:c r="D102" s="10" t="str">
        <x:v>sensory neuron</x:v>
      </x:c>
      <x:c r="E102" s="10" t="str">
        <x:v>sensory neuron</x:v>
      </x:c>
      <x:c r="F102" s="10" t="str">
        <x:v>neuron</x:v>
      </x:c>
      <x:c r="G102" s="10" t="str">
        <x:v>L1</x:v>
      </x:c>
      <x:c r="H102" s="10" t="str">
        <x:v>embryo</x:v>
      </x:c>
      <x:c r="I102" s="10" t="str">
        <x:v>detected</x:v>
      </x:c>
      <x:c r="J102" s="33" t="str">
        <x:v>Markdown line 279</x:v>
      </x:c>
      <x:c r="K102" s="33" t="str">
        <x:v>Olfactory sensory neurons</x:v>
      </x:c>
      <x:c r="L102" s="23" t="str">
        <x:v>pending</x:v>
      </x:c>
    </x:row>
    <x:row r="103">
      <x:c r="A103" s="27" t="n">
        <x:v>44</x:v>
      </x:c>
      <x:c r="B103" s="28" t="str">
        <x:v>DOI_10.1038_s42003-024-07315-x</x:v>
      </x:c>
      <x:c r="C103" s="28" t="str">
        <x:v>Cross-species single-cell RNA-seq analysis reveals disparate and conserved cardiac and extracardiac inflammatory responses upon heart injury.</x:v>
      </x:c>
      <x:c r="D103" s="28" t="str">
        <x:v>neuroendocrine</x:v>
      </x:c>
      <x:c r="E103" s="28" t="str">
        <x:v>neuroendocrine</x:v>
      </x:c>
      <x:c r="F103" s="28" t="str">
        <x:v>neuroendocrine</x:v>
      </x:c>
      <x:c r="G103" s="28" t="str">
        <x:v>L4</x:v>
      </x:c>
      <x:c r="H103" s="28" t="str">
        <x:v>blood</x:v>
      </x:c>
      <x:c r="I103" s="28" t="str">
        <x:v>detected</x:v>
      </x:c>
      <x:c r="J103" s="34" t="str">
        <x:v>Markdown line 130</x:v>
      </x:c>
      <x:c r="K103" s="34" t="str">
        <x:v>from non-muscle cells including immune cells21,22. Cryoinjury of the zeb-</x:v>
      </x:c>
      <x:c r="L103" s="29" t="str">
        <x:v>pending</x:v>
      </x:c>
    </x:row>
  </x:sheetData>
  <x:pageMargins left="0.7" right="0.7" top="0.75" bottom="0.75" header="0.3" footer="0.3"/>
  <x:tableParts count="1">
    <x:tablePart xmlns:r="http://schemas.openxmlformats.org/officeDocument/2006/relationships" r:id="Rf1e1b998b90443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44" hidden="0" customWidth="1"/>
    <x:col min="4" max="4" width="28" hidden="0" customWidth="1"/>
    <x:col min="5" max="5" width="60" hidden="0" customWidth="1"/>
    <x:col min="6" max="6" width="28" hidden="0" customWidth="1"/>
    <x:col min="7" max="7" width="20" hidden="0" customWidth="1"/>
    <x:col min="8" max="8" width="16" hidden="0" customWidth="1"/>
    <x:col min="9" max="9" width="28" hidden="0" customWidth="1"/>
    <x:col min="10" max="10" width="28" hidden="0" customWidth="1"/>
    <x:col min="11" max="11" width="32" hidden="0" customWidth="1"/>
    <x:col min="12" max="12" width="70" hidden="0" customWidth="1"/>
    <x:col min="13" max="13" width="18" hidden="0" customWidth="1"/>
  </x:cols>
  <x:sheetData>
    <x:row r="1">
      <x:c r="A1" s="30" t="str">
        <x:v>task_no</x:v>
      </x:c>
      <x:c r="B1" s="31" t="str">
        <x:v>paper_id</x:v>
      </x:c>
      <x:c r="C1" s="31" t="str">
        <x:v>title_original</x:v>
      </x:c>
      <x:c r="D1" s="31" t="str">
        <x:v>analysis_stage</x:v>
      </x:c>
      <x:c r="E1" s="31" t="str">
        <x:v>method_original</x:v>
      </x:c>
      <x:c r="F1" s="31" t="str">
        <x:v>method_normalized</x:v>
      </x:c>
      <x:c r="G1" s="31" t="str">
        <x:v>software</x:v>
      </x:c>
      <x:c r="H1" s="31" t="str">
        <x:v>software_version</x:v>
      </x:c>
      <x:c r="I1" s="31" t="str">
        <x:v>threshold</x:v>
      </x:c>
      <x:c r="J1" s="31" t="str">
        <x:v>multiple_testing</x:v>
      </x:c>
      <x:c r="K1" s="31" t="str">
        <x:v>source_locator</x:v>
      </x:c>
      <x:c r="L1" s="31" t="str">
        <x:v>evidence_snippet</x:v>
      </x:c>
      <x:c r="M1" s="32" t="str">
        <x:v>review_status</x:v>
      </x:c>
    </x:row>
    <x:row r="2">
      <x:c r="A2" s="26" t="n">
        <x:v>1</x:v>
      </x:c>
      <x:c r="B2" s="10" t="str">
        <x:v>DOI_10.1038_s41586-021-03710-0</x:v>
      </x:c>
      <x:c r="C2" s="10" t="str">
        <x:v>Dysregulation of brain and choroid plexus cell types in severe COVID-19.</x:v>
      </x:c>
      <x:c r="D2" s="10" t="str">
        <x:v>quality_control</x:v>
      </x:c>
      <x:c r="E2" s="33" t="str">
        <x:v>|     |     |     |     |     |     | 2.5 | P2RY12 |     |     | C1QC |</x:v>
      </x:c>
      <x:c r="F2" s="33" t="str">
        <x:v>QC</x:v>
      </x:c>
      <x:c r="G2" s="33" t="str"/>
      <x:c r="H2" s="33" t="str"/>
      <x:c r="I2" s="33" t="str"/>
      <x:c r="J2" s="33" t="str"/>
      <x:c r="K2" s="33" t="str">
        <x:v>Markdown line 293</x:v>
      </x:c>
      <x:c r="L2" s="33" t="str">
        <x:v>|     |     |     |     |     |     | 2.5 | P2RY12 |     |     | C1QC |</x:v>
      </x:c>
      <x:c r="M2" s="23" t="str">
        <x:v>pending</x:v>
      </x:c>
    </x:row>
    <x:row r="3">
      <x:c r="A3" s="26" t="n">
        <x:v>1</x:v>
      </x:c>
      <x:c r="B3" s="10" t="str">
        <x:v>DOI_10.1038_s41586-021-03710-0</x:v>
      </x:c>
      <x:c r="C3" s="10" t="str">
        <x:v>Dysregulation of brain and choroid plexus cell types in severe COVID-19.</x:v>
      </x:c>
      <x:c r="D3" s="10" t="str">
        <x:v>normalization_integration</x:v>
      </x:c>
      <x:c r="E3" s="33" t="str">
        <x:v>those of IFITM3 (NQO1), to assess the robustness of snRNA-seq thresholds.   Circles and edges are normalized to the number of cells for a given cell type and</x:v>
      </x:c>
      <x:c r="F3" s="33" t="str">
        <x:v>normalized</x:v>
      </x:c>
      <x:c r="G3" s="33" t="str"/>
      <x:c r="H3" s="33" t="str"/>
      <x:c r="I3" s="33" t="str">
        <x:v>thresholds</x:v>
      </x:c>
      <x:c r="J3" s="33" t="str"/>
      <x:c r="K3" s="33" t="str">
        <x:v>Markdown line 258</x:v>
      </x:c>
      <x:c r="L3" s="33" t="str">
        <x:v>those of IFITM3 (NQO1), to assess the robustness of snRNA-seq thresholds.   Circles and edges are normalized to the number of cells for a given cell type and</x:v>
      </x:c>
      <x:c r="M3" s="23" t="str">
        <x:v>pending</x:v>
      </x:c>
    </x:row>
    <x:row r="4">
      <x:c r="A4" s="26" t="n">
        <x:v>1</x:v>
      </x:c>
      <x:c r="B4" s="10" t="str">
        <x:v>DOI_10.1038_s41586-021-03710-0</x:v>
      </x:c>
      <x:c r="C4" s="10" t="str">
        <x:v>Dysregulation of brain and choroid plexus cell types in severe COVID-19.</x:v>
      </x:c>
      <x:c r="D4" s="10" t="str">
        <x:v>dimension_reduction_clustering</x:v>
      </x:c>
      <x:c r="E4" s="33" t="str">
        <x:v>UMAP 1</x:v>
      </x:c>
      <x:c r="F4" s="33" t="str">
        <x:v>UMAP</x:v>
      </x:c>
      <x:c r="G4" s="33" t="str"/>
      <x:c r="H4" s="33" t="str"/>
      <x:c r="I4" s="33" t="str"/>
      <x:c r="J4" s="33" t="str"/>
      <x:c r="K4" s="33" t="str">
        <x:v>Markdown line 129</x:v>
      </x:c>
      <x:c r="L4" s="33" t="str">
        <x:v>UMAP 1</x:v>
      </x:c>
      <x:c r="M4" s="23" t="str">
        <x:v>pending</x:v>
      </x:c>
    </x:row>
    <x:row r="5">
      <x:c r="A5" s="26" t="n">
        <x:v>1</x:v>
      </x:c>
      <x:c r="B5" s="10" t="str">
        <x:v>DOI_10.1038_s41586-021-03710-0</x:v>
      </x:c>
      <x:c r="C5" s="10" t="str">
        <x:v>Dysregulation of brain and choroid plexus cell types in severe COVID-19.</x:v>
      </x:c>
      <x:c r="D5" s="10" t="str">
        <x:v>differential_expression</x:v>
      </x:c>
      <x:c r="E5" s="33" t="str">
        <x:v>states that have previously been reported in human neurodegenerative disease4–6.</x:v>
      </x:c>
      <x:c r="F5" s="33" t="str">
        <x:v>DEG</x:v>
      </x:c>
      <x:c r="G5" s="33" t="str"/>
      <x:c r="H5" s="33" t="str"/>
      <x:c r="I5" s="33" t="str"/>
      <x:c r="J5" s="33" t="str"/>
      <x:c r="K5" s="33" t="str">
        <x:v>Markdown line 24</x:v>
      </x:c>
      <x:c r="L5" s="33" t="str">
        <x:v>states that have previously been reported in human neurodegenerative disease4–6.</x:v>
      </x:c>
      <x:c r="M5" s="23" t="str">
        <x:v>pending</x:v>
      </x:c>
    </x:row>
    <x:row r="6">
      <x:c r="A6" s="26" t="n">
        <x:v>1</x:v>
      </x:c>
      <x:c r="B6" s="10" t="str">
        <x:v>DOI_10.1038_s41586-021-03710-0</x:v>
      </x:c>
      <x:c r="C6" s="10" t="str">
        <x:v>Dysregulation of brain and choroid plexus cell types in severe COVID-19.</x:v>
      </x:c>
      <x:c r="D6" s="10" t="str">
        <x:v>enrichment</x:v>
      </x:c>
      <x:c r="E6" s="33" t="str">
        <x:v>|     |     |     | sllec enummi fo tnec reP 2.5 |     |     | 100 |     |     |     | Pseudotime |</x:v>
      </x:c>
      <x:c r="F6" s="33" t="str">
        <x:v>pseudotime</x:v>
      </x:c>
      <x:c r="G6" s="33" t="str"/>
      <x:c r="H6" s="33" t="str"/>
      <x:c r="I6" s="33" t="str"/>
      <x:c r="J6" s="33" t="str"/>
      <x:c r="K6" s="33" t="str">
        <x:v>Markdown line 310</x:v>
      </x:c>
      <x:c r="L6" s="33" t="str">
        <x:v>|     |     |     | sllec enummi fo tnec reP 2.5 |     |     | 100 |     |     |     | Pseudotime |</x:v>
      </x:c>
      <x:c r="M6" s="23" t="str">
        <x:v>pending</x:v>
      </x:c>
    </x:row>
    <x:row r="7">
      <x:c r="A7" s="26" t="n">
        <x:v>1</x:v>
      </x:c>
      <x:c r="B7" s="10" t="str">
        <x:v>DOI_10.1038_s41586-021-03710-0</x:v>
      </x:c>
      <x:c r="C7" s="10" t="str">
        <x:v>Dysregulation of brain and choroid plexus cell types in severe COVID-19.</x:v>
      </x:c>
      <x:c r="D7" s="10" t="str">
        <x:v>multiple_testing</x:v>
      </x:c>
      <x:c r="E7" s="33" t="str">
        <x:v>change &gt; 0.25 (absolute value) and adjusted P value &lt; 0.05 (Bonferroni limitans brain-barrier cells.</x:v>
      </x:c>
      <x:c r="F7" s="33" t="str">
        <x:v>Bonferroni</x:v>
      </x:c>
      <x:c r="G7" s="33" t="str"/>
      <x:c r="H7" s="33" t="str"/>
      <x:c r="I7" s="33" t="str">
        <x:v>adjusted P value &lt; 0</x:v>
      </x:c>
      <x:c r="J7" s="33" t="str">
        <x:v>change &gt; 0.25 (absolute value) and adjusted P value &lt; 0.05 (Bonferroni limitans brain-barrier cells.</x:v>
      </x:c>
      <x:c r="K7" s="33" t="str">
        <x:v>Markdown line 188</x:v>
      </x:c>
      <x:c r="L7" s="33" t="str">
        <x:v>change &gt; 0.25 (absolute value) and adjusted P value &lt; 0.05 (Bonferroni limitans brain-barrier cells.</x:v>
      </x:c>
      <x:c r="M7" s="23" t="str">
        <x:v>pending</x:v>
      </x:c>
    </x:row>
    <x:row r="8">
      <x:c r="A8" s="26" t="n">
        <x:v>1</x:v>
      </x:c>
      <x:c r="B8" s="10" t="str">
        <x:v>DOI_10.1038_s41586-021-03710-0</x:v>
      </x:c>
      <x:c r="C8" s="10" t="str">
        <x:v>Dysregulation of brain and choroid plexus cell types in severe COVID-19.</x:v>
      </x:c>
      <x:c r="D8" s="10" t="str">
        <x:v>software</x:v>
      </x:c>
      <x:c r="E8" s="33" t="str">
        <x:v>tissue was filtered through a 100-μm cell strainer (Falcon, 352360), removed in Seurat 3.2.152; and (3) after scTransform normalization and</x:v>
      </x:c>
      <x:c r="F8" s="33" t="str">
        <x:v>Seurat</x:v>
      </x:c>
      <x:c r="G8" s="33" t="str">
        <x:v>Seurat</x:v>
      </x:c>
      <x:c r="H8" s="33" t="str">
        <x:v>3.2.152</x:v>
      </x:c>
      <x:c r="I8" s="33" t="str"/>
      <x:c r="J8" s="33" t="str"/>
      <x:c r="K8" s="33" t="str">
        <x:v>Markdown line 635</x:v>
      </x:c>
      <x:c r="L8" s="33" t="str">
        <x:v>tissue was filtered through a 100-μm cell strainer (Falcon, 352360), removed in Seurat 3.2.152; and (3) after scTransform normalization and</x:v>
      </x:c>
      <x:c r="M8" s="23" t="str">
        <x:v>pending</x:v>
      </x:c>
    </x:row>
    <x:row r="9">
      <x:c r="A9" s="26" t="n">
        <x:v>4</x:v>
      </x:c>
      <x:c r="B9" s="10" t="str">
        <x:v>DOI_10.1038_s41586-020-2922-4</x:v>
      </x:c>
      <x:c r="C9" s="10" t="str">
        <x:v>A molecular cell atlas of the human lung from single-cell RNA sequencing.</x:v>
      </x:c>
      <x:c r="D9" s="10" t="str">
        <x:v>quality_control</x:v>
      </x:c>
      <x:c r="E9" s="33" t="str">
        <x:v>Sequencing read alignments and quality control in R. There were no clusters that lacked expression of canonical marker</x:v>
      </x:c>
      <x:c r="F9" s="33" t="str">
        <x:v>quality control</x:v>
      </x:c>
      <x:c r="G9" s="33" t="str"/>
      <x:c r="H9" s="33" t="str"/>
      <x:c r="I9" s="33" t="str"/>
      <x:c r="J9" s="33" t="str"/>
      <x:c r="K9" s="33" t="str">
        <x:v>Markdown line 670</x:v>
      </x:c>
      <x:c r="L9" s="33" t="str">
        <x:v>Sequencing read alignments and quality control in R. There were no clusters that lacked expression of canonical marker</x:v>
      </x:c>
      <x:c r="M9" s="23" t="str">
        <x:v>pending</x:v>
      </x:c>
    </x:row>
    <x:row r="10">
      <x:c r="A10" s="26" t="n">
        <x:v>4</x:v>
      </x:c>
      <x:c r="B10" s="10" t="str">
        <x:v>DOI_10.1038_s41586-020-2922-4</x:v>
      </x:c>
      <x:c r="C10" s="10" t="str">
        <x:v>A molecular cell atlas of the human lung from single-cell RNA sequencing.</x:v>
      </x:c>
      <x:c r="D10" s="10" t="str">
        <x:v>normalization_integration</x:v>
      </x:c>
      <x:c r="E10" s="33" t="str">
        <x:v>Real-Time PCR Detection System (Biorad). Plate pools were normalized (536851), ACVRL1 (559221), SERPINA1 (435441), HHIP (464811), SLC7A10</x:v>
      </x:c>
      <x:c r="F10" s="33" t="str">
        <x:v>normalized</x:v>
      </x:c>
      <x:c r="G10" s="33" t="str"/>
      <x:c r="H10" s="33" t="str"/>
      <x:c r="I10" s="33" t="str"/>
      <x:c r="J10" s="33" t="str"/>
      <x:c r="K10" s="33" t="str">
        <x:v>Markdown line 663</x:v>
      </x:c>
      <x:c r="L10" s="33" t="str">
        <x:v>Real-Time PCR Detection System (Biorad). Plate pools were normalized (536851), ACVRL1 (559221), SERPINA1 (435441), HHIP (464811), SLC7A10</x:v>
      </x:c>
      <x:c r="M10" s="23" t="str">
        <x:v>pending</x:v>
      </x:c>
    </x:row>
    <x:row r="11">
      <x:c r="A11" s="26" t="n">
        <x:v>4</x:v>
      </x:c>
      <x:c r="B11" s="10" t="str">
        <x:v>DOI_10.1038_s41586-020-2922-4</x:v>
      </x:c>
      <x:c r="C11" s="10" t="str">
        <x:v>A molecular cell atlas of the human lung from single-cell RNA sequencing.</x:v>
      </x:c>
      <x:c r="D11" s="10" t="str">
        <x:v>dimension_reduction_clustering</x:v>
      </x:c>
      <x:c r="E11" s="33" t="str">
        <x:v>dation for pulmonary medicine. More recently, cell-type-specific into epithelial (EPCAM+), endothelial/immune (CD31+CD45+) and stro-</x:v>
      </x:c>
      <x:c r="F11" s="33" t="str">
        <x:v>PCA</x:v>
      </x:c>
      <x:c r="G11" s="33" t="str"/>
      <x:c r="H11" s="33" t="str"/>
      <x:c r="I11" s="33" t="str"/>
      <x:c r="J11" s="33" t="str"/>
      <x:c r="K11" s="33" t="str">
        <x:v>Markdown line 32</x:v>
      </x:c>
      <x:c r="L11" s="33" t="str">
        <x:v>dation for pulmonary medicine. More recently, cell-type-specific into epithelial (EPCAM+), endothelial/immune (CD31+CD45+) and stro-</x:v>
      </x:c>
      <x:c r="M11" s="23" t="str">
        <x:v>pending</x:v>
      </x:c>
    </x:row>
    <x:row r="12">
      <x:c r="A12" s="26" t="n">
        <x:v>4</x:v>
      </x:c>
      <x:c r="B12" s="10" t="str">
        <x:v>DOI_10.1038_s41586-020-2922-4</x:v>
      </x:c>
      <x:c r="C12" s="10" t="str">
        <x:v>A molecular cell atlas of the human lung from single-cell RNA sequencing.</x:v>
      </x:c>
      <x:c r="D12" s="10" t="str">
        <x:v>differential_expression</x:v>
      </x:c>
      <x:c r="E12" s="33" t="str">
        <x:v>state-of-the-art study19. ers and the ascertained panels of differentially expressed genes were</x:v>
      </x:c>
      <x:c r="F12" s="33" t="str">
        <x:v>differentially expressed</x:v>
      </x:c>
      <x:c r="G12" s="33" t="str"/>
      <x:c r="H12" s="33" t="str"/>
      <x:c r="I12" s="33" t="str"/>
      <x:c r="J12" s="33" t="str"/>
      <x:c r="K12" s="33" t="str">
        <x:v>Markdown line 87</x:v>
      </x:c>
      <x:c r="L12" s="33" t="str">
        <x:v>state-of-the-art study19. ers and the ascertained panels of differentially expressed genes were</x:v>
      </x:c>
      <x:c r="M12" s="23" t="str">
        <x:v>pending</x:v>
      </x:c>
    </x:row>
    <x:row r="13">
      <x:c r="A13" s="26" t="n">
        <x:v>4</x:v>
      </x:c>
      <x:c r="B13" s="10" t="str">
        <x:v>DOI_10.1038_s41586-020-2922-4</x:v>
      </x:c>
      <x:c r="C13" s="10" t="str">
        <x:v>A molecular cell atlas of the human lung from single-cell RNA sequencing.</x:v>
      </x:c>
      <x:c r="D13" s="10" t="str">
        <x:v>enrichment</x:v>
      </x:c>
      <x:c r="E13" s="33" t="str">
        <x:v>Interactions between cell types were predicted using CellPhoneDB for each gene probed if its nucleus had at least three associated expres-</x:v>
      </x:c>
      <x:c r="F13" s="33" t="str">
        <x:v>CellPhoneDB</x:v>
      </x:c>
      <x:c r="G13" s="33" t="str"/>
      <x:c r="H13" s="33" t="str"/>
      <x:c r="I13" s="33" t="str"/>
      <x:c r="J13" s="33" t="str"/>
      <x:c r="K13" s="33" t="str">
        <x:v>Markdown line 756</x:v>
      </x:c>
      <x:c r="L13" s="33" t="str">
        <x:v>Interactions between cell types were predicted using CellPhoneDB for each gene probed if its nucleus had at least three associated expres-</x:v>
      </x:c>
      <x:c r="M13" s="23" t="str">
        <x:v>pending</x:v>
      </x:c>
    </x:row>
    <x:row r="14">
      <x:c r="A14" s="26" t="n">
        <x:v>4</x:v>
      </x:c>
      <x:c r="B14" s="10" t="str">
        <x:v>DOI_10.1038_s41586-020-2922-4</x:v>
      </x:c>
      <x:c r="C14" s="10" t="str">
        <x:v>A molecular cell atlas of the human lung from single-cell RNA sequencing.</x:v>
      </x:c>
      <x:c r="D14" s="10" t="str">
        <x:v>abundance_proportion</x:v>
      </x:c>
      <x:c r="E14" s="33" t="str">
        <x:v>(light red) were found only in one subject. Bar graphs show relative abundance  from top row to bottom: two canonical dendritic markers, four myeloid</x:v>
      </x:c>
      <x:c r="F14" s="33" t="str">
        <x:v>abundance</x:v>
      </x:c>
      <x:c r="G14" s="33" t="str"/>
      <x:c r="H14" s="33" t="str"/>
      <x:c r="I14" s="33" t="str"/>
      <x:c r="J14" s="33" t="str"/>
      <x:c r="K14" s="33" t="str">
        <x:v>Markdown line 210</x:v>
      </x:c>
      <x:c r="L14" s="33" t="str">
        <x:v>(light red) were found only in one subject. Bar graphs show relative abundance  from top row to bottom: two canonical dendritic markers, four myeloid</x:v>
      </x:c>
      <x:c r="M14" s="23" t="str">
        <x:v>pending</x:v>
      </x:c>
    </x:row>
    <x:row r="15">
      <x:c r="A15" s="26" t="n">
        <x:v>4</x:v>
      </x:c>
      <x:c r="B15" s="10" t="str">
        <x:v>DOI_10.1038_s41586-020-2922-4</x:v>
      </x:c>
      <x:c r="C15" s="10" t="str">
        <x:v>A molecular cell atlas of the human lung from single-cell RNA sequencing.</x:v>
      </x:c>
      <x:c r="D15" s="10" t="str">
        <x:v>multiple_testing</x:v>
      </x:c>
      <x:c r="E15" s="33" t="str">
        <x:v>false discovery rates (FDR) for each cell type (n = 58) using indicated number participants. e, Dot plot of expression of enriched transcription factors in each</x:v>
      </x:c>
      <x:c r="F15" s="33" t="str">
        <x:v>FDR</x:v>
      </x:c>
      <x:c r="G15" s="33" t="str"/>
      <x:c r="H15" s="33" t="str"/>
      <x:c r="I15" s="33" t="str">
        <x:v>FDR) for each cell type (n = 58) using indicated number participants</x:v>
      </x:c>
      <x:c r="J15" s="33" t="str">
        <x:v>false discovery rates (FDR) for each cell type (n = 58) using indicated number participants. e, Dot plot of expression of enriched transcription factors in each</x:v>
      </x:c>
      <x:c r="K15" s="33" t="str">
        <x:v>Markdown line 965</x:v>
      </x:c>
      <x:c r="L15" s="33" t="str">
        <x:v>false discovery rates (FDR) for each cell type (n = 58) using indicated number participants. e, Dot plot of expression of enriched transcription factors in each</x:v>
      </x:c>
      <x:c r="M15" s="23" t="str">
        <x:v>pending</x:v>
      </x:c>
    </x:row>
    <x:row r="16">
      <x:c r="A16" s="26" t="n">
        <x:v>4</x:v>
      </x:c>
      <x:c r="B16" s="10" t="str">
        <x:v>DOI_10.1038_s41586-020-2922-4</x:v>
      </x:c>
      <x:c r="C16" s="10" t="str">
        <x:v>A molecular cell atlas of the human lung from single-cell RNA sequencing.</x:v>
      </x:c>
      <x:c r="D16" s="10" t="str">
        <x:v>software</x:v>
      </x:c>
      <x:c r="E16" s="33" t="str">
        <x:v>10x Genomics) using Cell Ranger (version 2.0, 10x Genomics). Cells (for example, proximal versus distal, alveolar versus adventitial) and</x:v>
      </x:c>
      <x:c r="F16" s="33" t="str">
        <x:v>Cell Ranger</x:v>
      </x:c>
      <x:c r="G16" s="33" t="str">
        <x:v>Cell Ranger</x:v>
      </x:c>
      <x:c r="H16" s="33" t="str"/>
      <x:c r="I16" s="33" t="str"/>
      <x:c r="J16" s="33" t="str"/>
      <x:c r="K16" s="33" t="str">
        <x:v>Markdown line 673</x:v>
      </x:c>
      <x:c r="L16" s="33" t="str">
        <x:v>10x Genomics) using Cell Ranger (version 2.0, 10x Genomics). Cells (for example, proximal versus distal, alveolar versus adventitial) and</x:v>
      </x:c>
      <x:c r="M16" s="23" t="str">
        <x:v>pending</x:v>
      </x:c>
    </x:row>
    <x:row r="17">
      <x:c r="A17" s="26" t="n">
        <x:v>5</x:v>
      </x:c>
      <x:c r="B17" s="10" t="str">
        <x:v>DOI_10.1038_s41588-022-01243-4</x:v>
      </x:c>
      <x:c r="C17" s="10" t="str">
        <x:v>A spatially resolved atlas of the human lung characterizes a gland-associated immune niche.</x:v>
      </x:c>
      <x:c r="D17" s="10" t="str">
        <x:v>quality_control</x:v>
      </x:c>
      <x:c r="E17" s="33" t="str">
        <x:v>filtered nuclei subjected to QC filters, pass QC nuclei were processed tive to distinctly separate mucous-only glands, as the transcripts from</x:v>
      </x:c>
      <x:c r="F17" s="33" t="str">
        <x:v>QC</x:v>
      </x:c>
      <x:c r="G17" s="33" t="str"/>
      <x:c r="H17" s="33" t="str"/>
      <x:c r="I17" s="33" t="str"/>
      <x:c r="J17" s="33" t="str"/>
      <x:c r="K17" s="33" t="str">
        <x:v>Markdown line 1134</x:v>
      </x:c>
      <x:c r="L17" s="33" t="str">
        <x:v>filtered nuclei subjected to QC filters, pass QC nuclei were processed tive to distinctly separate mucous-only glands, as the transcripts from</x:v>
      </x:c>
      <x:c r="M17" s="23" t="str">
        <x:v>pending</x:v>
      </x:c>
    </x:row>
    <x:row r="18">
      <x:c r="A18" s="26" t="n">
        <x:v>5</x:v>
      </x:c>
      <x:c r="B18" s="10" t="str">
        <x:v>DOI_10.1038_s41588-022-01243-4</x:v>
      </x:c>
      <x:c r="C18" s="10" t="str">
        <x:v>A spatially resolved atlas of the human lung characterizes a gland-associated immune niche.</x:v>
      </x:c>
      <x:c r="D18" s="10" t="str">
        <x:v>normalization_integration</x:v>
      </x:c>
      <x:c r="E18" s="33" t="str">
        <x:v>lungcellatlas.org). Using computational data integration and analysis,</x:v>
      </x:c>
      <x:c r="F18" s="33" t="str">
        <x:v>integration</x:v>
      </x:c>
      <x:c r="G18" s="33" t="str"/>
      <x:c r="H18" s="33" t="str"/>
      <x:c r="I18" s="33" t="str"/>
      <x:c r="J18" s="33" t="str"/>
      <x:c r="K18" s="33" t="str">
        <x:v>Markdown line 32</x:v>
      </x:c>
      <x:c r="L18" s="33" t="str">
        <x:v>lungcellatlas.org). Using computational data integration and analysis,</x:v>
      </x:c>
      <x:c r="M18" s="23" t="str">
        <x:v>pending</x:v>
      </x:c>
    </x:row>
    <x:row r="19">
      <x:c r="A19" s="26" t="n">
        <x:v>5</x:v>
      </x:c>
      <x:c r="B19" s="10" t="str">
        <x:v>DOI_10.1038_s41588-022-01243-4</x:v>
      </x:c>
      <x:c r="C19" s="10" t="str">
        <x:v>A spatially resolved atlas of the human lung characterizes a gland-associated immune niche.</x:v>
      </x:c>
      <x:c r="D19" s="10" t="str">
        <x:v>dimension_reduction_clustering</x:v>
      </x:c>
      <x:c r="E19" s="33" t="str">
        <x:v>variance) on gene expression (Extended Data Fig. 1c). identified the following four new clusters relating to airway periph-</x:v>
      </x:c>
      <x:c r="F19" s="33" t="str">
        <x:v>cluster</x:v>
      </x:c>
      <x:c r="G19" s="33" t="str"/>
      <x:c r="H19" s="33" t="str"/>
      <x:c r="I19" s="33" t="str"/>
      <x:c r="J19" s="33" t="str"/>
      <x:c r="K19" s="33" t="str">
        <x:v>Markdown line 102</x:v>
      </x:c>
      <x:c r="L19" s="33" t="str">
        <x:v>variance) on gene expression (Extended Data Fig. 1c). identified the following four new clusters relating to airway periph-</x:v>
      </x:c>
      <x:c r="M19" s="23" t="str">
        <x:v>pending</x:v>
      </x:c>
    </x:row>
    <x:row r="20">
      <x:c r="A20" s="26" t="n">
        <x:v>5</x:v>
      </x:c>
      <x:c r="B20" s="10" t="str">
        <x:v>DOI_10.1038_s41588-022-01243-4</x:v>
      </x:c>
      <x:c r="C20" s="10" t="str">
        <x:v>A spatially resolved atlas of the human lung characterizes a gland-associated immune niche.</x:v>
      </x:c>
      <x:c r="D20" s="10" t="str">
        <x:v>differential_expression</x:v>
      </x:c>
      <x:c r="E20" s="33" t="str">
        <x:v>suspension and spatial gene expression analysis, as well as automated its newly defined marker genes, this population can also be detected in</x:v>
      </x:c>
      <x:c r="F20" s="33" t="str">
        <x:v>gene expression analysis</x:v>
      </x:c>
      <x:c r="G20" s="33" t="str"/>
      <x:c r="H20" s="33" t="str"/>
      <x:c r="I20" s="33" t="str"/>
      <x:c r="J20" s="33" t="str"/>
      <x:c r="K20" s="33" t="str">
        <x:v>Markdown line 66</x:v>
      </x:c>
      <x:c r="L20" s="33" t="str">
        <x:v>suspension and spatial gene expression analysis, as well as automated its newly defined marker genes, this population can also be detected in</x:v>
      </x:c>
      <x:c r="M20" s="23" t="str">
        <x:v>pending</x:v>
      </x:c>
    </x:row>
    <x:row r="21">
      <x:c r="A21" s="26" t="n">
        <x:v>5</x:v>
      </x:c>
      <x:c r="B21" s="10" t="str">
        <x:v>DOI_10.1038_s41588-022-01243-4</x:v>
      </x:c>
      <x:c r="C21" s="10" t="str">
        <x:v>A spatially resolved atlas of the human lung characterizes a gland-associated immune niche.</x:v>
      </x:c>
      <x:c r="D21" s="10" t="str">
        <x:v>enrichment</x:v>
      </x:c>
      <x:c r="E21" s="33" t="str">
        <x:v>cell types mapped to their known locations such as ciliated epithelial in PC-fibros, placing these as an intermediate cell type in a trajectory</x:v>
      </x:c>
      <x:c r="F21" s="33" t="str">
        <x:v>trajectory</x:v>
      </x:c>
      <x:c r="G21" s="33" t="str"/>
      <x:c r="H21" s="33" t="str"/>
      <x:c r="I21" s="33" t="str"/>
      <x:c r="J21" s="33" t="str"/>
      <x:c r="K21" s="33" t="str">
        <x:v>Markdown line 94</x:v>
      </x:c>
      <x:c r="L21" s="33" t="str">
        <x:v>cell types mapped to their known locations such as ciliated epithelial in PC-fibros, placing these as an intermediate cell type in a trajectory</x:v>
      </x:c>
      <x:c r="M21" s="23" t="str">
        <x:v>pending</x:v>
      </x:c>
    </x:row>
    <x:row r="22">
      <x:c r="A22" s="26" t="n">
        <x:v>5</x:v>
      </x:c>
      <x:c r="B22" s="10" t="str">
        <x:v>DOI_10.1038_s41588-022-01243-4</x:v>
      </x:c>
      <x:c r="C22" s="10" t="str">
        <x:v>A spatially resolved atlas of the human lung characterizes a gland-associated immune niche.</x:v>
      </x:c>
      <x:c r="D22" s="10" t="str">
        <x:v>abundance_proportion</x:v>
      </x:c>
      <x:c r="E22" s="33" t="str">
        <x:v>types from suspension data in which abundance could explain the supporting cell2location mapping of PC-fibro (Fig. 2g). We identified</x:v>
      </x:c>
      <x:c r="F22" s="33" t="str">
        <x:v>abundance</x:v>
      </x:c>
      <x:c r="G22" s="33" t="str"/>
      <x:c r="H22" s="33" t="str"/>
      <x:c r="I22" s="33" t="str"/>
      <x:c r="J22" s="33" t="str"/>
      <x:c r="K22" s="33" t="str">
        <x:v>Markdown line 92</x:v>
      </x:c>
      <x:c r="L22" s="33" t="str">
        <x:v>types from suspension data in which abundance could explain the supporting cell2location mapping of PC-fibro (Fig. 2g). We identified</x:v>
      </x:c>
      <x:c r="M22" s="23" t="str">
        <x:v>pending</x:v>
      </x:c>
    </x:row>
    <x:row r="23">
      <x:c r="A23" s="26" t="n">
        <x:v>5</x:v>
      </x:c>
      <x:c r="B23" s="10" t="str">
        <x:v>DOI_10.1038_s41588-022-01243-4</x:v>
      </x:c>
      <x:c r="C23" s="10" t="str">
        <x:v>A spatially resolved atlas of the human lung characterizes a gland-associated immune niche.</x:v>
      </x:c>
      <x:c r="D23" s="10" t="str">
        <x:v>multiple_testing</x:v>
      </x:c>
      <x:c r="E23" s="33" t="str">
        <x:v>clustering reveals 11 fibroblast populations in airways and lungs on UMAP,  types are marked in red (Wald test, BH multiple testing correction over 76 cell</x:v>
      </x:c>
      <x:c r="F23" s="33" t="str">
        <x:v>multiple testing</x:v>
      </x:c>
      <x:c r="G23" s="33" t="str"/>
      <x:c r="H23" s="33" t="str"/>
      <x:c r="I23" s="33" t="str"/>
      <x:c r="J23" s="33" t="str">
        <x:v>clustering reveals 11 fibroblast populations in airways and lungs on UMAP,  types are marked in red (Wald test, BH multiple testing correction over 76 cell</x:v>
      </x:c>
      <x:c r="K23" s="33" t="str">
        <x:v>Markdown line 308</x:v>
      </x:c>
      <x:c r="L23" s="33" t="str">
        <x:v>clustering reveals 11 fibroblast populations in airways and lungs on UMAP,  types are marked in red (Wald test, BH multiple testing correction over 76 cell</x:v>
      </x:c>
      <x:c r="M23" s="23" t="str">
        <x:v>pending</x:v>
      </x:c>
    </x:row>
    <x:row r="24">
      <x:c r="A24" s="26" t="n">
        <x:v>5</x:v>
      </x:c>
      <x:c r="B24" s="10" t="str">
        <x:v>DOI_10.1038_s41588-022-01243-4</x:v>
      </x:c>
      <x:c r="C24" s="10" t="str">
        <x:v>A spatially resolved atlas of the human lung characterizes a gland-associated immune niche.</x:v>
      </x:c>
      <x:c r="D24" s="10" t="str">
        <x:v>software</x:v>
      </x:c>
      <x:c r="E24" s="33" t="str">
        <x:v>gene expression libraries were mapped with Cell Ranger 3.0.2, and The model was trained until convergence (40,000 iterations).</x:v>
      </x:c>
      <x:c r="F24" s="33" t="str">
        <x:v>Cell Ranger</x:v>
      </x:c>
      <x:c r="G24" s="33" t="str">
        <x:v>Cell Ranger</x:v>
      </x:c>
      <x:c r="H24" s="33" t="str">
        <x:v>3.0.2</x:v>
      </x:c>
      <x:c r="I24" s="33" t="str"/>
      <x:c r="J24" s="33" t="str"/>
      <x:c r="K24" s="33" t="str">
        <x:v>Markdown line 1120</x:v>
      </x:c>
      <x:c r="L24" s="33" t="str">
        <x:v>gene expression libraries were mapped with Cell Ranger 3.0.2, and The model was trained until convergence (40,000 iterations).</x:v>
      </x:c>
      <x:c r="M24" s="23" t="str">
        <x:v>pending</x:v>
      </x:c>
    </x:row>
    <x:row r="25">
      <x:c r="A25" s="26" t="n">
        <x:v>6</x:v>
      </x:c>
      <x:c r="B25" s="10" t="str">
        <x:v>DOI_10.1164_rccm.202207-1384oc</x:v>
      </x:c>
      <x:c r="C25" s="10" t="str">
        <x:v>A Unique Cellular Organization of Human Distal Airways and Its Disarray in Chronic Obstructive Pulmonary Disease.</x:v>
      </x:c>
      <x:c r="D25" s="10" t="str">
        <x:v>quality_control</x:v>
      </x:c>
      <x:c r="E25" s="33" t="str">
        <x:v>atsingle-cellresolution.Usingthisapproach, analyzedusingSeuratversion4(14),doublets</x:v>
      </x:c>
      <x:c r="F25" s="33" t="str">
        <x:v>doublet</x:v>
      </x:c>
      <x:c r="G25" s="33" t="str"/>
      <x:c r="H25" s="33" t="str">
        <x:v>4</x:v>
      </x:c>
      <x:c r="I25" s="33" t="str"/>
      <x:c r="J25" s="33" t="str"/>
      <x:c r="K25" s="33" t="str">
        <x:v>Markdown line 113</x:v>
      </x:c>
      <x:c r="L25" s="33" t="str">
        <x:v>atsingle-cellresolution.Usingthisapproach, analyzedusingSeuratversion4(14),doublets</x:v>
      </x:c>
      <x:c r="M25" s="23" t="str">
        <x:v>pending</x:v>
      </x:c>
    </x:row>
    <x:row r="26">
      <x:c r="A26" s="26" t="n">
        <x:v>6</x:v>
      </x:c>
      <x:c r="B26" s="10" t="str">
        <x:v>DOI_10.1164_rccm.202207-1384oc</x:v>
      </x:c>
      <x:c r="C26" s="10" t="str">
        <x:v>A Unique Cellular Organization of Human Distal Airways and Its Disarray in Chronic Obstructive Pulmonary Disease.</x:v>
      </x:c>
      <x:c r="D26" s="10" t="str">
        <x:v>normalization_integration</x:v>
      </x:c>
      <x:c r="E26" s="33" t="str">
        <x:v>Expression(normalizedlogUMI)</x:v>
      </x:c>
      <x:c r="F26" s="33" t="str">
        <x:v>normalized</x:v>
      </x:c>
      <x:c r="G26" s="33" t="str"/>
      <x:c r="H26" s="33" t="str"/>
      <x:c r="I26" s="33" t="str"/>
      <x:c r="J26" s="33" t="str"/>
      <x:c r="K26" s="33" t="str">
        <x:v>Markdown line 464</x:v>
      </x:c>
      <x:c r="L26" s="33" t="str">
        <x:v>Expression(normalizedlogUMI)</x:v>
      </x:c>
      <x:c r="M26" s="23" t="str">
        <x:v>pending</x:v>
      </x:c>
    </x:row>
    <x:row r="27">
      <x:c r="A27" s="26" t="n">
        <x:v>6</x:v>
      </x:c>
      <x:c r="B27" s="10" t="str">
        <x:v>DOI_10.1164_rccm.202207-1384oc</x:v>
      </x:c>
      <x:c r="C27" s="10" t="str">
        <x:v>A Unique Cellular Organization of Human Distal Airways and Its Disarray in Chronic Obstructive Pulmonary Disease.</x:v>
      </x:c>
      <x:c r="D27" s="10" t="str">
        <x:v>dimension_reduction_clustering</x:v>
      </x:c>
      <x:c r="E27" s="33" t="str">
        <x:v>secretorycells(TASCs),auniqueepithelial removed,andcellclusterswereannotatedon</x:v>
      </x:c>
      <x:c r="F27" s="33" t="str">
        <x:v>cluster</x:v>
      </x:c>
      <x:c r="G27" s="33" t="str"/>
      <x:c r="H27" s="33" t="str"/>
      <x:c r="I27" s="33" t="str"/>
      <x:c r="J27" s="33" t="str"/>
      <x:c r="K27" s="33" t="str">
        <x:v>Markdown line 116</x:v>
      </x:c>
      <x:c r="L27" s="33" t="str">
        <x:v>secretorycells(TASCs),auniqueepithelial removed,andcellclusterswereannotatedon</x:v>
      </x:c>
      <x:c r="M27" s="23" t="str">
        <x:v>pending</x:v>
      </x:c>
    </x:row>
    <x:row r="28">
      <x:c r="A28" s="26" t="n">
        <x:v>6</x:v>
      </x:c>
      <x:c r="B28" s="10" t="str">
        <x:v>DOI_10.1164_rccm.202207-1384oc</x:v>
      </x:c>
      <x:c r="C28" s="10" t="str">
        <x:v>A Unique Cellular Organization of Human Distal Airways and Its Disarray in Chronic Obstructive Pulmonary Disease.</x:v>
      </x:c>
      <x:c r="D28" s="10" t="str">
        <x:v>differential_expression</x:v>
      </x:c>
      <x:c r="E28" s="33" t="str">
        <x:v>Figure2.(Continued).differentiallyexpressedgenes(DEGs)identifiedbycomparingall(upper)terminalairway-enrichedsecretorycells</x:v>
      </x:c>
      <x:c r="F28" s="33" t="str">
        <x:v>DEG</x:v>
      </x:c>
      <x:c r="G28" s="33" t="str"/>
      <x:c r="H28" s="33" t="str"/>
      <x:c r="I28" s="33" t="str"/>
      <x:c r="J28" s="33" t="str"/>
      <x:c r="K28" s="33" t="str">
        <x:v>Markdown line 540</x:v>
      </x:c>
      <x:c r="L28" s="33" t="str">
        <x:v>Figure2.(Continued).differentiallyexpressedgenes(DEGs)identifiedbycomparingall(upper)terminalairway-enrichedsecretorycells</x:v>
      </x:c>
      <x:c r="M28" s="23" t="str">
        <x:v>pending</x:v>
      </x:c>
    </x:row>
    <x:row r="29">
      <x:c r="A29" s="26" t="n">
        <x:v>6</x:v>
      </x:c>
      <x:c r="B29" s="10" t="str">
        <x:v>DOI_10.1164_rccm.202207-1384oc</x:v>
      </x:c>
      <x:c r="C29" s="10" t="str">
        <x:v>A Unique Cellular Organization of Human Distal Airways and Its Disarray in Chronic Obstructive Pulmonary Disease.</x:v>
      </x:c>
      <x:c r="D29" s="10" t="str">
        <x:v>multiple_testing</x:v>
      </x:c>
      <x:c r="E29" s="33" t="str">
        <x:v>-logFDR g-GOBiologicalProcess</x:v>
      </x:c>
      <x:c r="F29" s="33" t="str">
        <x:v>FDR</x:v>
      </x:c>
      <x:c r="G29" s="33" t="str"/>
      <x:c r="H29" s="33" t="str"/>
      <x:c r="I29" s="33" t="str">
        <x:v>FDR g-GOBiologicalProcess</x:v>
      </x:c>
      <x:c r="J29" s="33" t="str">
        <x:v>-logFDR g-GOBiologicalProcess</x:v>
      </x:c>
      <x:c r="K29" s="33" t="str">
        <x:v>Markdown line 690</x:v>
      </x:c>
      <x:c r="L29" s="33" t="str">
        <x:v>-logFDR g-GOBiologicalProcess</x:v>
      </x:c>
      <x:c r="M29" s="23" t="str">
        <x:v>pending</x:v>
      </x:c>
    </x:row>
    <x:row r="30">
      <x:c r="A30" s="26" t="n">
        <x:v>6</x:v>
      </x:c>
      <x:c r="B30" s="10" t="str">
        <x:v>DOI_10.1164_rccm.202207-1384oc</x:v>
      </x:c>
      <x:c r="C30" s="10" t="str">
        <x:v>A Unique Cellular Organization of Human Distal Airways and Its Disarray in Chronic Obstructive Pulmonary Disease.</x:v>
      </x:c>
      <x:c r="D30" s="10" t="str">
        <x:v>software</x:v>
      </x:c>
      <x:c r="E30" s="33" t="str">
        <x:v>atsingle-cellresolution.Usingthisapproach, analyzedusingSeuratversion4(14),doublets</x:v>
      </x:c>
      <x:c r="F30" s="33" t="str">
        <x:v>Seurat</x:v>
      </x:c>
      <x:c r="G30" s="33" t="str">
        <x:v>Seurat</x:v>
      </x:c>
      <x:c r="H30" s="33" t="str">
        <x:v>4</x:v>
      </x:c>
      <x:c r="I30" s="33" t="str"/>
      <x:c r="J30" s="33" t="str"/>
      <x:c r="K30" s="33" t="str">
        <x:v>Markdown line 113</x:v>
      </x:c>
      <x:c r="L30" s="33" t="str">
        <x:v>atsingle-cellresolution.Usingthisapproach, analyzedusingSeuratversion4(14),doublets</x:v>
      </x:c>
      <x:c r="M30" s="23" t="str">
        <x:v>pending</x:v>
      </x:c>
    </x:row>
    <x:row r="31">
      <x:c r="A31" s="26" t="n">
        <x:v>7</x:v>
      </x:c>
      <x:c r="B31" s="10" t="str">
        <x:v>DOI_10.1038_s41586-021-04345-x</x:v>
      </x:c>
      <x:c r="C31" s="10" t="str">
        <x:v>Local and systemic responses to SARS-CoV-2 infection in children and adults.</x:v>
      </x:c>
      <x:c r="D31" s="10" t="str">
        <x:v>quality_control</x:v>
      </x:c>
      <x:c r="E31" s="33" t="str">
        <x:v>134 (cid:916)(cid:925)(cid:928)(cid:932)(cid:918)(cid:932)(cid:933)(cid:849)(cid:933)(cid:928)(cid:849)(cid:918)(cid:932)(cid:933)(cid:922)(cid:926)(cid:914)(cid:933)(cid:918)(cid:917)(cid:849)(cid:928)(cid:927)(cid:932)(cid:918)(cid:933)(cid:849)(cid:928)(cid:919)(cid:849)(cid:922)(cid:927)(cid:919</x:v>
      </x:c>
      <x:c r="F31" s="33" t="str">
        <x:v>filtering</x:v>
      </x:c>
      <x:c r="G31" s="33" t="str"/>
      <x:c r="H31" s="33" t="str"/>
      <x:c r="I31" s="33" t="str"/>
      <x:c r="J31" s="33" t="str"/>
      <x:c r="K31" s="33" t="str">
        <x:v>Markdown line 144</x:v>
      </x:c>
      <x:c r="L31" s="33" t="str">
        <x:v>134 (cid:916)(cid:925)(cid:928)(cid:932)(cid:918)(cid:932)(cid:933)(cid:849)(cid:933)(cid:928)(cid:849)(cid:918)(cid:932)(cid:933)(cid:922)(cid:926)(cid:914)(cid:933)(cid:918)(cid:917)(cid:849)(cid:928)(cid:927)(cid:932)(cid:918)(cid:933)(cid:849)(cid:928)(cid:919)(cid:849)(cid:922)(cid:927)(cid:919)(cid:918)(cid:916)(cid:933)(cid:922)(cid:928)(cid:927)(cid:849)(cid:857)Fig. 1e). After filtering ambient RNA,</x:v>
      </x:c>
      <x:c r="M31" s="23" t="str">
        <x:v>pending</x:v>
      </x:c>
    </x:row>
    <x:row r="32">
      <x:c r="A32" s="26" t="n">
        <x:v>7</x:v>
      </x:c>
      <x:c r="B32" s="10" t="str">
        <x:v>DOI_10.1038_s41586-021-04345-x</x:v>
      </x:c>
      <x:c r="C32" s="10" t="str">
        <x:v>Local and systemic responses to SARS-CoV-2 infection in children and adults.</x:v>
      </x:c>
      <x:c r="D32" s="10" t="str">
        <x:v>normalization_integration</x:v>
      </x:c>
      <x:c r="E32" s="33" t="str">
        <x:v>871 Quality control, normalization and clustering</x:v>
      </x:c>
      <x:c r="F32" s="33" t="str">
        <x:v>normalization</x:v>
      </x:c>
      <x:c r="G32" s="33" t="str"/>
      <x:c r="H32" s="33" t="str"/>
      <x:c r="I32" s="33" t="str"/>
      <x:c r="J32" s="33" t="str"/>
      <x:c r="K32" s="33" t="str">
        <x:v>Markdown line 933</x:v>
      </x:c>
      <x:c r="L32" s="33" t="str">
        <x:v>871 Quality control, normalization and clustering</x:v>
      </x:c>
      <x:c r="M32" s="23" t="str">
        <x:v>pending</x:v>
      </x:c>
    </x:row>
    <x:row r="33">
      <x:c r="A33" s="26" t="n">
        <x:v>7</x:v>
      </x:c>
      <x:c r="B33" s="10" t="str">
        <x:v>DOI_10.1038_s41586-021-04345-x</x:v>
      </x:c>
      <x:c r="C33" s="10" t="str">
        <x:v>Local and systemic responses to SARS-CoV-2 infection in children and adults.</x:v>
      </x:c>
      <x:c r="D33" s="10" t="str">
        <x:v>dimension_reduction_clustering</x:v>
      </x:c>
      <x:c r="E33" s="33" t="str">
        <x:v>127 monocytes fall into clearly distinct clusters, annotated by their highly expressed markers as mono</x:v>
      </x:c>
      <x:c r="F33" s="33" t="str">
        <x:v>cluster</x:v>
      </x:c>
      <x:c r="G33" s="33" t="str"/>
      <x:c r="H33" s="33" t="str"/>
      <x:c r="I33" s="33" t="str"/>
      <x:c r="J33" s="33" t="str"/>
      <x:c r="K33" s="33" t="str">
        <x:v>Markdown line 135</x:v>
      </x:c>
      <x:c r="L33" s="33" t="str">
        <x:v>127 monocytes fall into clearly distinct clusters, annotated by their highly expressed markers as mono</x:v>
      </x:c>
      <x:c r="M33" s="23" t="str">
        <x:v>pending</x:v>
      </x:c>
    </x:row>
    <x:row r="34">
      <x:c r="A34" s="26" t="n">
        <x:v>7</x:v>
      </x:c>
      <x:c r="B34" s="10" t="str">
        <x:v>DOI_10.1038_s41586-021-04345-x</x:v>
      </x:c>
      <x:c r="C34" s="10" t="str">
        <x:v>Local and systemic responses to SARS-CoV-2 infection in children and adults.</x:v>
      </x:c>
      <x:c r="D34" s="10" t="str">
        <x:v>differential_expression</x:v>
      </x:c>
      <x:c r="E34" s="33" t="str">
        <x:v>957 Differential expression analysis in airway data</x:v>
      </x:c>
      <x:c r="F34" s="33" t="str">
        <x:v>differential expression</x:v>
      </x:c>
      <x:c r="G34" s="33" t="str"/>
      <x:c r="H34" s="33" t="str"/>
      <x:c r="I34" s="33" t="str"/>
      <x:c r="J34" s="33" t="str"/>
      <x:c r="K34" s="33" t="str">
        <x:v>Markdown line 1025</x:v>
      </x:c>
      <x:c r="L34" s="33" t="str">
        <x:v>957 Differential expression analysis in airway data</x:v>
      </x:c>
      <x:c r="M34" s="23" t="str">
        <x:v>pending</x:v>
      </x:c>
    </x:row>
    <x:row r="35">
      <x:c r="A35" s="26" t="n">
        <x:v>7</x:v>
      </x:c>
      <x:c r="B35" s="10" t="str">
        <x:v>DOI_10.1038_s41586-021-04345-x</x:v>
      </x:c>
      <x:c r="C35" s="10" t="str">
        <x:v>Local and systemic responses to SARS-CoV-2 infection in children and adults.</x:v>
      </x:c>
      <x:c r="D35" s="10" t="str">
        <x:v>enrichment</x:v>
      </x:c>
      <x:c r="E35" s="33" t="str">
        <x:v>126 differentiation trajectory (Fig. 1d) similar to the one reported in mouse27. Additionally,</x:v>
      </x:c>
      <x:c r="F35" s="33" t="str">
        <x:v>trajectory</x:v>
      </x:c>
      <x:c r="G35" s="33" t="str"/>
      <x:c r="H35" s="33" t="str"/>
      <x:c r="I35" s="33" t="str"/>
      <x:c r="J35" s="33" t="str"/>
      <x:c r="K35" s="33" t="str">
        <x:v>Markdown line 134</x:v>
      </x:c>
      <x:c r="L35" s="33" t="str">
        <x:v>126 differentiation trajectory (Fig. 1d) similar to the one reported in mouse27. Additionally,</x:v>
      </x:c>
      <x:c r="M35" s="23" t="str">
        <x:v>pending</x:v>
      </x:c>
    </x:row>
    <x:row r="36">
      <x:c r="A36" s="26" t="n">
        <x:v>7</x:v>
      </x:c>
      <x:c r="B36" s="10" t="str">
        <x:v>DOI_10.1038_s41586-021-04345-x</x:v>
      </x:c>
      <x:c r="C36" s="10" t="str">
        <x:v>Local and systemic responses to SARS-CoV-2 infection in children and adults.</x:v>
      </x:c>
      <x:c r="D36" s="10" t="str">
        <x:v>abundance_proportion</x:v>
      </x:c>
      <x:c r="E36" s="33" t="str">
        <x:v>165 In children epithelial cell proportions did not change, but in the immune compartment IL6+</x:v>
      </x:c>
      <x:c r="F36" s="33" t="str">
        <x:v>cell proportion</x:v>
      </x:c>
      <x:c r="G36" s="33" t="str"/>
      <x:c r="H36" s="33" t="str"/>
      <x:c r="I36" s="33" t="str"/>
      <x:c r="J36" s="33" t="str"/>
      <x:c r="K36" s="33" t="str">
        <x:v>Markdown line 177</x:v>
      </x:c>
      <x:c r="L36" s="33" t="str">
        <x:v>165 In children epithelial cell proportions did not change, but in the immune compartment IL6+</x:v>
      </x:c>
      <x:c r="M36" s="23" t="str">
        <x:v>pending</x:v>
      </x:c>
    </x:row>
    <x:row r="37">
      <x:c r="A37" s="26" t="n">
        <x:v>7</x:v>
      </x:c>
      <x:c r="B37" s="10" t="str">
        <x:v>DOI_10.1038_s41586-021-04345-x</x:v>
      </x:c>
      <x:c r="C37" s="10" t="str">
        <x:v>Local and systemic responses to SARS-CoV-2 infection in children and adults.</x:v>
      </x:c>
      <x:c r="D37" s="10" t="str">
        <x:v>multiple_testing</x:v>
      </x:c>
      <x:c r="E37" s="33" t="str">
        <x:v>942 generated based on the first 30 harmony-adjusted principal components. The first 30 harmony-</x:v>
      </x:c>
      <x:c r="F37" s="33" t="str">
        <x:v>adjusted p</x:v>
      </x:c>
      <x:c r="G37" s="33" t="str"/>
      <x:c r="H37" s="33" t="str"/>
      <x:c r="I37" s="33" t="str">
        <x:v>adjusted principal components</x:v>
      </x:c>
      <x:c r="J37" s="33" t="str">
        <x:v>942 generated based on the first 30 harmony-adjusted principal components. The first 30 harmony-</x:v>
      </x:c>
      <x:c r="K37" s="33" t="str">
        <x:v>Markdown line 1008</x:v>
      </x:c>
      <x:c r="L37" s="33" t="str">
        <x:v>942 generated based on the first 30 harmony-adjusted principal components. The first 30 harmony-</x:v>
      </x:c>
      <x:c r="M37" s="23" t="str">
        <x:v>pending</x:v>
      </x:c>
    </x:row>
    <x:row r="38">
      <x:c r="A38" s="26" t="n">
        <x:v>7</x:v>
      </x:c>
      <x:c r="B38" s="10" t="str">
        <x:v>DOI_10.1038_s41586-021-04345-x</x:v>
      </x:c>
      <x:c r="C38" s="10" t="str">
        <x:v>Local and systemic responses to SARS-CoV-2 infection in children and adults.</x:v>
      </x:c>
      <x:c r="D38" s="10" t="str">
        <x:v>software</x:v>
      </x:c>
      <x:c r="E38" s="33" t="str">
        <x:v>837 SCANPY protocol60, and overclustering was achieved by performing an additional clustering of</x:v>
      </x:c>
      <x:c r="F38" s="33" t="str">
        <x:v>Scanpy</x:v>
      </x:c>
      <x:c r="G38" s="33" t="str">
        <x:v>Scanpy</x:v>
      </x:c>
      <x:c r="H38" s="33" t="str"/>
      <x:c r="I38" s="33" t="str"/>
      <x:c r="J38" s="33" t="str"/>
      <x:c r="K38" s="33" t="str">
        <x:v>Markdown line 896</x:v>
      </x:c>
      <x:c r="L38" s="33" t="str">
        <x:v>837 SCANPY protocol60, and overclustering was achieved by performing an additional clustering of</x:v>
      </x:c>
      <x:c r="M38" s="23" t="str">
        <x:v>pending</x:v>
      </x:c>
    </x:row>
    <x:row r="39">
      <x:c r="A39" s="26" t="n">
        <x:v>8</x:v>
      </x:c>
      <x:c r="B39" s="10" t="str">
        <x:v>DOI_10.1016_j.jcf.2025.01.016</x:v>
      </x:c>
      <x:c r="C39" s="10" t="str">
        <x:v>Evidence for altered immune-structural cell crosstalk in cystic fibrosis revealed by single cell transcriptomics.</x:v>
      </x:c>
      <x:c r="D39" s="10" t="str">
        <x:v>quality_control</x:v>
      </x:c>
      <x:c r="E39" s="33" t="str">
        <x:v>contain cells with 200 or more expressed genes, &lt;25 % mitochondrial</x:v>
      </x:c>
      <x:c r="F39" s="33" t="str">
        <x:v>mitochondrial</x:v>
      </x:c>
      <x:c r="G39" s="33" t="str"/>
      <x:c r="H39" s="33" t="str"/>
      <x:c r="I39" s="33" t="str"/>
      <x:c r="J39" s="33" t="str"/>
      <x:c r="K39" s="33" t="str">
        <x:v>Markdown line 876; section Current address: Department of Genetics, University of Groningen, University Medical Center Groningen, Groningen, Netherlands.</x:v>
      </x:c>
      <x:c r="L39" s="33" t="str">
        <x:v>contain cells with 200 or more expressed genes, &lt;25 % mitochondrial</x:v>
      </x:c>
      <x:c r="M39" s="23" t="str">
        <x:v>pending</x:v>
      </x:c>
    </x:row>
    <x:row r="40">
      <x:c r="A40" s="26" t="n">
        <x:v>8</x:v>
      </x:c>
      <x:c r="B40" s="10" t="str">
        <x:v>DOI_10.1016_j.jcf.2025.01.016</x:v>
      </x:c>
      <x:c r="C40" s="10" t="str">
        <x:v>Evidence for altered immune-structural cell crosstalk in cystic fibrosis revealed by single cell transcriptomics.</x:v>
      </x:c>
      <x:c r="D40" s="10" t="str">
        <x:v>normalization_integration</x:v>
      </x:c>
      <x:c r="E40" s="33" t="str">
        <x:v>generation and integration yielded a new single cell transcriptome atlas</x:v>
      </x:c>
      <x:c r="F40" s="33" t="str">
        <x:v>integration</x:v>
      </x:c>
      <x:c r="G40" s="33" t="str"/>
      <x:c r="H40" s="33" t="str"/>
      <x:c r="I40" s="33" t="str"/>
      <x:c r="J40" s="33" t="str"/>
      <x:c r="K40" s="33" t="str">
        <x:v>Markdown line 215; section Current address: Department of Genetics, University of Groningen, University Medical Center Groningen, Groningen, Netherlands.</x:v>
      </x:c>
      <x:c r="L40" s="33" t="str">
        <x:v>generation and integration yielded a new single cell transcriptome atlas</x:v>
      </x:c>
      <x:c r="M40" s="23" t="str">
        <x:v>pending</x:v>
      </x:c>
    </x:row>
    <x:row r="41">
      <x:c r="A41" s="26" t="n">
        <x:v>8</x:v>
      </x:c>
      <x:c r="B41" s="10" t="str">
        <x:v>DOI_10.1016_j.jcf.2025.01.016</x:v>
      </x:c>
      <x:c r="C41" s="10" t="str">
        <x:v>Evidence for altered immune-structural cell crosstalk in cystic fibrosis revealed by single cell transcriptomics.</x:v>
      </x:c>
      <x:c r="D41" s="10" t="str">
        <x:v>dimension_reduction_clustering</x:v>
      </x:c>
      <x:c r="E41" s="33" t="str">
        <x:v>[29] to facilitate cluster annotation, resulted in the identification of 17</x:v>
      </x:c>
      <x:c r="F41" s="33" t="str">
        <x:v>cluster</x:v>
      </x:c>
      <x:c r="G41" s="33" t="str"/>
      <x:c r="H41" s="33" t="str"/>
      <x:c r="I41" s="33" t="str"/>
      <x:c r="J41" s="33" t="str"/>
      <x:c r="K41" s="33" t="str">
        <x:v>Markdown line 207; section Current address: Department of Genetics, University of Groningen, University Medical Center Groningen, Groningen, Netherlands.</x:v>
      </x:c>
      <x:c r="L41" s="33" t="str">
        <x:v>[29] to facilitate cluster annotation, resulted in the identification of 17</x:v>
      </x:c>
      <x:c r="M41" s="23" t="str">
        <x:v>pending</x:v>
      </x:c>
    </x:row>
    <x:row r="42">
      <x:c r="A42" s="26" t="n">
        <x:v>8</x:v>
      </x:c>
      <x:c r="B42" s="10" t="str">
        <x:v>DOI_10.1016_j.jcf.2025.01.016</x:v>
      </x:c>
      <x:c r="C42" s="10" t="str">
        <x:v>Evidence for altered immune-structural cell crosstalk in cystic fibrosis revealed by single cell transcriptomics.</x:v>
      </x:c>
      <x:c r="D42" s="10" t="str">
        <x:v>differential_expression</x:v>
      </x:c>
      <x:c r="E42" s="33" t="str">
        <x:v>T cell exhibited the most DEGs, with 106 upregulated</x:v>
      </x:c>
      <x:c r="F42" s="33" t="str">
        <x:v>DEG</x:v>
      </x:c>
      <x:c r="G42" s="33" t="str"/>
      <x:c r="H42" s="33" t="str"/>
      <x:c r="I42" s="33" t="str"/>
      <x:c r="J42" s="33" t="str"/>
      <x:c r="K42" s="33" t="str">
        <x:v>Markdown line 388; section Current address: Department of Genetics, University of Groningen, University Medical Center Groningen, Groningen, Netherlands.</x:v>
      </x:c>
      <x:c r="L42" s="33" t="str">
        <x:v>T cell exhibited the most DEGs, with 106 upregulated</x:v>
      </x:c>
      <x:c r="M42" s="23" t="str">
        <x:v>pending</x:v>
      </x:c>
    </x:row>
    <x:row r="43">
      <x:c r="A43" s="26" t="n">
        <x:v>8</x:v>
      </x:c>
      <x:c r="B43" s="10" t="str">
        <x:v>DOI_10.1016_j.jcf.2025.01.016</x:v>
      </x:c>
      <x:c r="C43" s="10" t="str">
        <x:v>Evidence for altered immune-structural cell crosstalk in cystic fibrosis revealed by single cell transcriptomics.</x:v>
      </x:c>
      <x:c r="D43" s="10" t="str">
        <x:v>enrichment</x:v>
      </x:c>
      <x:c r="E43" s="33" t="str">
        <x:v>Fig. 3A). Gene ontology (GO) enrichment analysis revealed a striking</x:v>
      </x:c>
      <x:c r="F43" s="33" t="str">
        <x:v>enrichment analysis</x:v>
      </x:c>
      <x:c r="G43" s="33" t="str"/>
      <x:c r="H43" s="33" t="str"/>
      <x:c r="I43" s="33" t="str"/>
      <x:c r="J43" s="33" t="str"/>
      <x:c r="K43" s="33" t="str">
        <x:v>Markdown line 433; section Current address: Department of Genetics, University of Groningen, University Medical Center Groningen, Groningen, Netherlands.</x:v>
      </x:c>
      <x:c r="L43" s="33" t="str">
        <x:v>Fig. 3A). Gene ontology (GO) enrichment analysis revealed a striking</x:v>
      </x:c>
      <x:c r="M43" s="23" t="str">
        <x:v>pending</x:v>
      </x:c>
    </x:row>
    <x:row r="44">
      <x:c r="A44" s="26" t="n">
        <x:v>8</x:v>
      </x:c>
      <x:c r="B44" s="10" t="str">
        <x:v>DOI_10.1016_j.jcf.2025.01.016</x:v>
      </x:c>
      <x:c r="C44" s="10" t="str">
        <x:v>Evidence for altered immune-structural cell crosstalk in cystic fibrosis revealed by single cell transcriptomics.</x:v>
      </x:c>
      <x:c r="D44" s="10" t="str">
        <x:v>abundance_proportion</x:v>
      </x:c>
      <x:c r="E44" s="33" t="str">
        <x:v>gland cells and endothelial cells, and a higher abundance of ciliated cells, monocytes, macrophages and T cells.</x:v>
      </x:c>
      <x:c r="F44" s="33" t="str">
        <x:v>abundance</x:v>
      </x:c>
      <x:c r="G44" s="33" t="str"/>
      <x:c r="H44" s="33" t="str"/>
      <x:c r="I44" s="33" t="str"/>
      <x:c r="J44" s="33" t="str"/>
      <x:c r="K44" s="33" t="str">
        <x:v>Markdown line 57</x:v>
      </x:c>
      <x:c r="L44" s="33" t="str">
        <x:v>gland cells and endothelial cells, and a higher abundance of ciliated cells, monocytes, macrophages and T cells.</x:v>
      </x:c>
      <x:c r="M44" s="23" t="str">
        <x:v>pending</x:v>
      </x:c>
    </x:row>
    <x:row r="45">
      <x:c r="A45" s="26" t="n">
        <x:v>8</x:v>
      </x:c>
      <x:c r="B45" s="10" t="str">
        <x:v>DOI_10.1016_j.jcf.2025.01.016</x:v>
      </x:c>
      <x:c r="C45" s="10" t="str">
        <x:v>Evidence for altered immune-structural cell crosstalk in cystic fibrosis revealed by single cell transcriptomics.</x:v>
      </x:c>
      <x:c r="D45" s="10" t="str">
        <x:v>multiple_testing</x:v>
      </x:c>
      <x:c r="E45" s="33" t="str">
        <x:v>shared (connected circles) differentially expressed genes (DEGs, FDR&lt;0.05) detected in CF versus HC bronchial epithelial subsets (A) and lymphocytes (B). (C-E) Left-</x:v>
      </x:c>
      <x:c r="F45" s="33" t="str">
        <x:v>FDR</x:v>
      </x:c>
      <x:c r="G45" s="33" t="str"/>
      <x:c r="H45" s="33" t="str"/>
      <x:c r="I45" s="33" t="str">
        <x:v>FDR&lt;0</x:v>
      </x:c>
      <x:c r="J45" s="33" t="str">
        <x:v>shared (connected circles) differentially expressed genes (DEGs, FDR&lt;0.05) detected in CF versus HC bronchial epithelial subsets (A) and lymphocytes (B). (C-E) Left-</x:v>
      </x:c>
      <x:c r="K45" s="33" t="str">
        <x:v>Markdown line 589; section Current address: Department of Genetics, University of Groningen, University Medical Center Groningen, Groningen, Netherlands.</x:v>
      </x:c>
      <x:c r="L45" s="33" t="str">
        <x:v>shared (connected circles) differentially expressed genes (DEGs, FDR&lt;0.05) detected in CF versus HC bronchial epithelial subsets (A) and lymphocytes (B). (C-E) Left-</x:v>
      </x:c>
      <x:c r="M45" s="23" t="str">
        <x:v>pending</x:v>
      </x:c>
    </x:row>
    <x:row r="46">
      <x:c r="A46" s="26" t="n">
        <x:v>8</x:v>
      </x:c>
      <x:c r="B46" s="10" t="str">
        <x:v>DOI_10.1016_j.jcf.2025.01.016</x:v>
      </x:c>
      <x:c r="C46" s="10" t="str">
        <x:v>Evidence for altered immune-structural cell crosstalk in cystic fibrosis revealed by single cell transcriptomics.</x:v>
      </x:c>
      <x:c r="D46" s="10" t="str">
        <x:v>software</x:v>
      </x:c>
      <x:c r="E46" s="33" t="str">
        <x:v>formed using Seurat version 4.3.0 [74]. Samples were filtered to only</x:v>
      </x:c>
      <x:c r="F46" s="33" t="str">
        <x:v>Seurat</x:v>
      </x:c>
      <x:c r="G46" s="33" t="str">
        <x:v>Seurat</x:v>
      </x:c>
      <x:c r="H46" s="33" t="str">
        <x:v>4.3.0</x:v>
      </x:c>
      <x:c r="I46" s="33" t="str"/>
      <x:c r="J46" s="33" t="str"/>
      <x:c r="K46" s="33" t="str">
        <x:v>Markdown line 875; section Current address: Department of Genetics, University of Groningen, University Medical Center Groningen, Groningen, Netherlands.</x:v>
      </x:c>
      <x:c r="L46" s="33" t="str">
        <x:v>formed using Seurat version 4.3.0 [74]. Samples were filtered to only</x:v>
      </x:c>
      <x:c r="M46" s="23" t="str">
        <x:v>pending</x:v>
      </x:c>
    </x:row>
    <x:row r="47">
      <x:c r="A47" s="26" t="n">
        <x:v>9</x:v>
      </x:c>
      <x:c r="B47" s="10" t="str">
        <x:v>DOI_10.1016_j.cell.2022.11.005</x:v>
      </x:c>
      <x:c r="C47" s="10" t="str">
        <x:v>A human fetal lung cell atlas uncovers proximal-distal gradients of differentiation and key regulators of epithelial fates.</x:v>
      </x:c>
      <x:c r="D47" s="10" t="str">
        <x:v>quality_control</x:v>
      </x:c>
      <x:c r="E47" s="33" t="str">
        <x:v>andS1D),removalofdoublet-drivenclusters(FiguresS1E,S1G, closely with adjacent stalk cells (SOX9LO/-, PDPNLO, HOPXLO)</x:v>
      </x:c>
      <x:c r="F47" s="33" t="str">
        <x:v>doublet</x:v>
      </x:c>
      <x:c r="G47" s="33" t="str"/>
      <x:c r="H47" s="33" t="str"/>
      <x:c r="I47" s="33" t="str"/>
      <x:c r="J47" s="33" t="str"/>
      <x:c r="K47" s="33" t="str">
        <x:v>Markdown line 136</x:v>
      </x:c>
      <x:c r="L47" s="33" t="str">
        <x:v>andS1D),removalofdoublet-drivenclusters(FiguresS1E,S1G, closely with adjacent stalk cells (SOX9LO/-, PDPNLO, HOPXLO)</x:v>
      </x:c>
      <x:c r="M47" s="23" t="str">
        <x:v>pending</x:v>
      </x:c>
    </x:row>
    <x:row r="48">
      <x:c r="A48" s="26" t="n">
        <x:v>9</x:v>
      </x:c>
      <x:c r="B48" s="10" t="str">
        <x:v>DOI_10.1016_j.cell.2022.11.005</x:v>
      </x:c>
      <x:c r="C48" s="10" t="str">
        <x:v>A human fetal lung cell atlas uncovers proximal-distal gradients of differentiation and key regulators of epithelial fates.</x:v>
      </x:c>
      <x:c r="D48" s="10" t="str">
        <x:v>normalization_integration</x:v>
      </x:c>
      <x:c r="E48" s="33" t="str">
        <x:v>analysisathttps://lungcellatlas.org. S1N, and S1N’). Data integration and logistic regression-based</x:v>
      </x:c>
      <x:c r="F48" s="33" t="str">
        <x:v>integration</x:v>
      </x:c>
      <x:c r="G48" s="33" t="str"/>
      <x:c r="H48" s="33" t="str"/>
      <x:c r="I48" s="33" t="str"/>
      <x:c r="J48" s="33" t="str"/>
      <x:c r="K48" s="33" t="str">
        <x:v>Markdown line 122</x:v>
      </x:c>
      <x:c r="L48" s="33" t="str">
        <x:v>analysisathttps://lungcellatlas.org. S1N, and S1N’). Data integration and logistic regression-based</x:v>
      </x:c>
      <x:c r="M48" s="23" t="str">
        <x:v>pending</x:v>
      </x:c>
    </x:row>
    <x:row r="49">
      <x:c r="A49" s="26" t="n">
        <x:v>9</x:v>
      </x:c>
      <x:c r="B49" s="10" t="str">
        <x:v>DOI_10.1016_j.cell.2022.11.005</x:v>
      </x:c>
      <x:c r="C49" s="10" t="str">
        <x:v>A human fetal lung cell atlas uncovers proximal-distal gradients of differentiation and key regulators of epithelial fates.</x:v>
      </x:c>
      <x:c r="D49" s="10" t="str">
        <x:v>dimension_reduction_clustering</x:v>
      </x:c>
      <x:c r="E49" s="33" t="str">
        <x:v>bronchiolar(airway,(cid:1)5–16pcw)andlater(from(cid:1)16pcw)into approximation and projection(UMAP)(Figure1A), onwhich we</x:v>
      </x:c>
      <x:c r="F49" s="33" t="str">
        <x:v>UMAP</x:v>
      </x:c>
      <x:c r="G49" s="33" t="str"/>
      <x:c r="H49" s="33" t="str"/>
      <x:c r="I49" s="33" t="str"/>
      <x:c r="J49" s="33" t="str"/>
      <x:c r="K49" s="33" t="str">
        <x:v>Markdown line 93</x:v>
      </x:c>
      <x:c r="L49" s="33" t="str">
        <x:v>bronchiolar(airway,(cid:1)5–16pcw)andlater(from(cid:1)16pcw)into approximation and projection(UMAP)(Figure1A), onwhich we</x:v>
      </x:c>
      <x:c r="M49" s="23" t="str">
        <x:v>pending</x:v>
      </x:c>
    </x:row>
    <x:row r="50">
      <x:c r="A50" s="26" t="n">
        <x:v>9</x:v>
      </x:c>
      <x:c r="B50" s="10" t="str">
        <x:v>DOI_10.1016_j.cell.2022.11.005</x:v>
      </x:c>
      <x:c r="C50" s="10" t="str">
        <x:v>A human fetal lung cell atlas uncovers proximal-distal gradients of differentiation and key regulators of epithelial fates.</x:v>
      </x:c>
      <x:c r="D50" s="10" t="str">
        <x:v>differential_expression</x:v>
      </x:c>
      <x:c r="E50" s="33" t="str">
        <x:v>Differential expression of ASCL1 and NEUROD1 defines A- jorityofthemNeonGreen-3xNLSexpressingorganoidcellspro-</x:v>
      </x:c>
      <x:c r="F50" s="33" t="str">
        <x:v>differential expression</x:v>
      </x:c>
      <x:c r="G50" s="33" t="str"/>
      <x:c r="H50" s="33" t="str"/>
      <x:c r="I50" s="33" t="str"/>
      <x:c r="J50" s="33" t="str"/>
      <x:c r="K50" s="33" t="str">
        <x:v>Markdown line 506</x:v>
      </x:c>
      <x:c r="L50" s="33" t="str">
        <x:v>Differential expression of ASCL1 and NEUROD1 defines A- jorityofthemNeonGreen-3xNLSexpressingorganoidcellspro-</x:v>
      </x:c>
      <x:c r="M50" s="23" t="str">
        <x:v>pending</x:v>
      </x:c>
    </x:row>
    <x:row r="51">
      <x:c r="A51" s="26" t="n">
        <x:v>9</x:v>
      </x:c>
      <x:c r="B51" s="10" t="str">
        <x:v>DOI_10.1016_j.cell.2022.11.005</x:v>
      </x:c>
      <x:c r="C51" s="10" t="str">
        <x:v>A human fetal lung cell atlas uncovers proximal-distal gradients of differentiation and key regulators of epithelial fates.</x:v>
      </x:c>
      <x:c r="D51" s="10" t="str">
        <x:v>enrichment</x:v>
      </x:c>
      <x:c r="E51" s="33" t="str">
        <x:v>Asingle-cellatlasofhumanlungdevelopment Adifferentiationtrajectoryofairwayprogenitorstates</x:v>
      </x:c>
      <x:c r="F51" s="33" t="str">
        <x:v>trajectory</x:v>
      </x:c>
      <x:c r="G51" s="33" t="str"/>
      <x:c r="H51" s="33" t="str"/>
      <x:c r="I51" s="33" t="str"/>
      <x:c r="J51" s="33" t="str"/>
      <x:c r="K51" s="33" t="str">
        <x:v>Markdown line 125</x:v>
      </x:c>
      <x:c r="L51" s="33" t="str">
        <x:v>Asingle-cellatlasofhumanlungdevelopment Adifferentiationtrajectoryofairwayprogenitorstates</x:v>
      </x:c>
      <x:c r="M51" s="23" t="str">
        <x:v>pending</x:v>
      </x:c>
    </x:row>
    <x:row r="52">
      <x:c r="A52" s="26" t="n">
        <x:v>9</x:v>
      </x:c>
      <x:c r="B52" s="10" t="str">
        <x:v>DOI_10.1016_j.cell.2022.11.005</x:v>
      </x:c>
      <x:c r="C52" s="10" t="str">
        <x:v>A human fetal lung cell atlas uncovers proximal-distal gradients of differentiation and key regulators of epithelial fates.</x:v>
      </x:c>
      <x:c r="D52" s="10" t="str">
        <x:v>abundance_proportion</x:v>
      </x:c>
      <x:c r="E52" s="33" t="str">
        <x:v>Scoresareconservativeestimatesofcell-typeabundancepervoxel.</x:v>
      </x:c>
      <x:c r="F52" s="33" t="str">
        <x:v>abundance</x:v>
      </x:c>
      <x:c r="G52" s="33" t="str"/>
      <x:c r="H52" s="33" t="str"/>
      <x:c r="I52" s="33" t="str"/>
      <x:c r="J52" s="33" t="str"/>
      <x:c r="K52" s="33" t="str">
        <x:v>Markdown line 340</x:v>
      </x:c>
      <x:c r="L52" s="33" t="str">
        <x:v>Scoresareconservativeestimatesofcell-typeabundancepervoxel.</x:v>
      </x:c>
      <x:c r="M52" s="23" t="str">
        <x:v>pending</x:v>
      </x:c>
    </x:row>
    <x:row r="53">
      <x:c r="A53" s="26" t="n">
        <x:v>9</x:v>
      </x:c>
      <x:c r="B53" s="10" t="str">
        <x:v>DOI_10.1016_j.cell.2022.11.005</x:v>
      </x:c>
      <x:c r="C53" s="10" t="str">
        <x:v>A human fetal lung cell atlas uncovers proximal-distal gradients of differentiation and key regulators of epithelial fates.</x:v>
      </x:c>
      <x:c r="D53" s="10" t="str">
        <x:v>multiple_testing</x:v>
      </x:c>
      <x:c r="E53" s="33" t="str">
        <x:v>against cell type categories. For proximal/distal biases, Fisher exact test was used for each cell type and Benjamini-Hochberg</x:v>
      </x:c>
      <x:c r="F53" s="33" t="str">
        <x:v>Benjamini</x:v>
      </x:c>
      <x:c r="G53" s="33" t="str"/>
      <x:c r="H53" s="33" t="str"/>
      <x:c r="I53" s="33" t="str"/>
      <x:c r="J53" s="33" t="str">
        <x:v>against cell type categories. For proximal/distal biases, Fisher exact test was used for each cell type and Benjamini-Hochberg</x:v>
      </x:c>
      <x:c r="K53" s="33" t="str">
        <x:v>Markdown line 1455</x:v>
      </x:c>
      <x:c r="L53" s="33" t="str">
        <x:v>against cell type categories. For proximal/distal biases, Fisher exact test was used for each cell type and Benjamini-Hochberg</x:v>
      </x:c>
      <x:c r="M53" s="23" t="str">
        <x:v>pending</x:v>
      </x:c>
    </x:row>
    <x:row r="54">
      <x:c r="A54" s="26" t="n">
        <x:v>9</x:v>
      </x:c>
      <x:c r="B54" s="10" t="str">
        <x:v>DOI_10.1016_j.cell.2022.11.005</x:v>
      </x:c>
      <x:c r="C54" s="10" t="str">
        <x:v>A human fetal lung cell atlas uncovers proximal-distal gradients of differentiation and key regulators of epithelial fates.</x:v>
      </x:c>
      <x:c r="D54" s="10" t="str">
        <x:v>software</x:v>
      </x:c>
      <x:c r="E54" s="33" t="str">
        <x:v>(D)UMAPvisualizingthepredictedepithelialcelllineagetrajectoryusingscvelo;inset:developmentalage.</x:v>
      </x:c>
      <x:c r="F54" s="33" t="str">
        <x:v>scVelo</x:v>
      </x:c>
      <x:c r="G54" s="33" t="str">
        <x:v>scVelo</x:v>
      </x:c>
      <x:c r="H54" s="33" t="str"/>
      <x:c r="I54" s="33" t="str"/>
      <x:c r="J54" s="33" t="str"/>
      <x:c r="K54" s="33" t="str">
        <x:v>Markdown line 208</x:v>
      </x:c>
      <x:c r="L54" s="33" t="str">
        <x:v>(D)UMAPvisualizingthepredictedepithelialcelllineagetrajectoryusingscvelo;inset:developmentalage.</x:v>
      </x:c>
      <x:c r="M54" s="23" t="str">
        <x:v>pending</x:v>
      </x:c>
    </x:row>
    <x:row r="55">
      <x:c r="A55" s="26" t="n">
        <x:v>10</x:v>
      </x:c>
      <x:c r="B55" s="10" t="str">
        <x:v>DOI_10.1016_j.healun.2026.02.1666</x:v>
      </x:c>
      <x:c r="C55" s="10" t="str">
        <x:v>Human lung allografts experience persistent fibrogenic shift following acute cellular rejection.</x:v>
      </x:c>
      <x:c r="D55" s="10" t="str">
        <x:v>normalization_integration</x:v>
      </x:c>
      <x:c r="E55" s="33" t="str">
        <x:v>entiation (EMT/EndoMT).14 Type II Interferon (IFN-γ) sig- batch correction for chemistry differences. Cell types were</x:v>
      </x:c>
      <x:c r="F55" s="33" t="str">
        <x:v>batch correction</x:v>
      </x:c>
      <x:c r="G55" s="33" t="str"/>
      <x:c r="H55" s="33" t="str"/>
      <x:c r="I55" s="33" t="str"/>
      <x:c r="J55" s="33" t="str"/>
      <x:c r="K55" s="33" t="str">
        <x:v>Markdown line 92</x:v>
      </x:c>
      <x:c r="L55" s="33" t="str">
        <x:v>entiation (EMT/EndoMT).14 Type II Interferon (IFN-γ) sig- batch correction for chemistry differences. Cell types were</x:v>
      </x:c>
      <x:c r="M55" s="23" t="str">
        <x:v>pending</x:v>
      </x:c>
    </x:row>
    <x:row r="56">
      <x:c r="A56" s="26" t="n">
        <x:v>10</x:v>
      </x:c>
      <x:c r="B56" s="10" t="str">
        <x:v>DOI_10.1016_j.healun.2026.02.1666</x:v>
      </x:c>
      <x:c r="C56" s="10" t="str">
        <x:v>Human lung allografts experience persistent fibrogenic shift following acute cellular rejection.</x:v>
      </x:c>
      <x:c r="D56" s="10" t="str">
        <x:v>dimension_reduction_clustering</x:v>
      </x:c>
      <x:c r="E56" s="33" t="str">
        <x:v>factor; TGF-β, transforming growth factor beta; TNF, tumor necrosis factor; IFN-II, type 2 interferon; UMAP, uniform manifold approximation and</x:v>
      </x:c>
      <x:c r="F56" s="33" t="str">
        <x:v>UMAP</x:v>
      </x:c>
      <x:c r="G56" s="33" t="str"/>
      <x:c r="H56" s="33" t="str"/>
      <x:c r="I56" s="33" t="str"/>
      <x:c r="J56" s="33" t="str"/>
      <x:c r="K56" s="33" t="str">
        <x:v>Markdown line 39</x:v>
      </x:c>
      <x:c r="L56" s="33" t="str">
        <x:v>factor; TGF-β, transforming growth factor beta; TNF, tumor necrosis factor; IFN-II, type 2 interferon; UMAP, uniform manifold approximation and</x:v>
      </x:c>
      <x:c r="M56" s="23" t="str">
        <x:v>pending</x:v>
      </x:c>
    </x:row>
    <x:row r="57">
      <x:c r="A57" s="26" t="n">
        <x:v>10</x:v>
      </x:c>
      <x:c r="B57" s="10" t="str">
        <x:v>DOI_10.1016_j.healun.2026.02.1666</x:v>
      </x:c>
      <x:c r="C57" s="10" t="str">
        <x:v>Human lung allografts experience persistent fibrogenic shift following acute cellular rejection.</x:v>
      </x:c>
      <x:c r="D57" s="10" t="str">
        <x:v>differential_expression</x:v>
      </x:c>
      <x:c r="E57" s="33" t="str">
        <x:v>Speckle. Differential expression used pseudobulk aggregation</x:v>
      </x:c>
      <x:c r="F57" s="33" t="str">
        <x:v>differential expression</x:v>
      </x:c>
      <x:c r="G57" s="33" t="str"/>
      <x:c r="H57" s="33" t="str"/>
      <x:c r="I57" s="33" t="str"/>
      <x:c r="J57" s="33" t="str"/>
      <x:c r="K57" s="33" t="str">
        <x:v>Markdown line 96</x:v>
      </x:c>
      <x:c r="L57" s="33" t="str">
        <x:v>Speckle. Differential expression used pseudobulk aggregation</x:v>
      </x:c>
      <x:c r="M57" s="23" t="str">
        <x:v>pending</x:v>
      </x:c>
    </x:row>
    <x:row r="58">
      <x:c r="A58" s="26" t="n">
        <x:v>10</x:v>
      </x:c>
      <x:c r="B58" s="10" t="str">
        <x:v>DOI_10.1016_j.healun.2026.02.1666</x:v>
      </x:c>
      <x:c r="C58" s="10" t="str">
        <x:v>Human lung allografts experience persistent fibrogenic shift following acute cellular rejection.</x:v>
      </x:c>
      <x:c r="D58" s="10" t="str">
        <x:v>enrichment</x:v>
      </x:c>
      <x:c r="E58" s="33" t="str">
        <x:v>Natural killer cells; MEASUREMENTS AND MAIN RESULTS: Gene set enrichment analysis revealed persistent TGF-β sig-</x:v>
      </x:c>
      <x:c r="F58" s="33" t="str">
        <x:v>gene set enrichment</x:v>
      </x:c>
      <x:c r="G58" s="33" t="str"/>
      <x:c r="H58" s="33" t="str"/>
      <x:c r="I58" s="33" t="str"/>
      <x:c r="J58" s="33" t="str"/>
      <x:c r="K58" s="33" t="str">
        <x:v>Markdown line 27</x:v>
      </x:c>
      <x:c r="L58" s="33" t="str">
        <x:v>Natural killer cells; MEASUREMENTS AND MAIN RESULTS: Gene set enrichment analysis revealed persistent TGF-β sig-</x:v>
      </x:c>
      <x:c r="M58" s="23" t="str">
        <x:v>pending</x:v>
      </x:c>
    </x:row>
    <x:row r="59">
      <x:c r="A59" s="26" t="n">
        <x:v>10</x:v>
      </x:c>
      <x:c r="B59" s="10" t="str">
        <x:v>DOI_10.1016_j.healun.2026.02.1666</x:v>
      </x:c>
      <x:c r="C59" s="10" t="str">
        <x:v>Human lung allografts experience persistent fibrogenic shift following acute cellular rejection.</x:v>
      </x:c>
      <x:c r="D59" s="10" t="str">
        <x:v>abundance_proportion</x:v>
      </x:c>
      <x:c r="E59" s="33" t="str">
        <x:v>genic cell partitions that excluded epithelial and endothelial Differential cell composition analysis revealed significantly</x:v>
      </x:c>
      <x:c r="F59" s="33" t="str">
        <x:v>cell composition</x:v>
      </x:c>
      <x:c r="G59" s="33" t="str"/>
      <x:c r="H59" s="33" t="str"/>
      <x:c r="I59" s="33" t="str"/>
      <x:c r="J59" s="33" t="str"/>
      <x:c r="K59" s="33" t="str">
        <x:v>Markdown line 696</x:v>
      </x:c>
      <x:c r="L59" s="33" t="str">
        <x:v>genic cell partitions that excluded epithelial and endothelial Differential cell composition analysis revealed significantly</x:v>
      </x:c>
      <x:c r="M59" s="23" t="str">
        <x:v>pending</x:v>
      </x:c>
    </x:row>
    <x:row r="60">
      <x:c r="A60" s="26" t="n">
        <x:v>10</x:v>
      </x:c>
      <x:c r="B60" s="10" t="str">
        <x:v>DOI_10.1016_j.healun.2026.02.1666</x:v>
      </x:c>
      <x:c r="C60" s="10" t="str">
        <x:v>Human lung allografts experience persistent fibrogenic shift following acute cellular rejection.</x:v>
      </x:c>
      <x:c r="D60" s="10" t="str">
        <x:v>multiple_testing</x:v>
      </x:c>
      <x:c r="E60" s="33" t="str">
        <x:v>comparisons achieved adjusted p (P ) &lt; 0.001, demon- pathways, including collagen biosynthesis, collagen cross-</x:v>
      </x:c>
      <x:c r="F60" s="33" t="str">
        <x:v>adjusted p</x:v>
      </x:c>
      <x:c r="G60" s="33" t="str"/>
      <x:c r="H60" s="33" t="str"/>
      <x:c r="I60" s="33" t="str">
        <x:v>adjusted p (P ) &lt; 0</x:v>
      </x:c>
      <x:c r="J60" s="33" t="str">
        <x:v>comparisons achieved adjusted p (P ) &lt; 0.001, demon- pathways, including collagen biosynthesis, collagen cross-</x:v>
      </x:c>
      <x:c r="K60" s="33" t="str">
        <x:v>Markdown line 654</x:v>
      </x:c>
      <x:c r="L60" s="33" t="str">
        <x:v>comparisons achieved adjusted p (P ) &lt; 0.001, demon- pathways, including collagen biosynthesis, collagen cross-</x:v>
      </x:c>
      <x:c r="M60" s="23" t="str">
        <x:v>pending</x:v>
      </x:c>
    </x:row>
    <x:row r="61">
      <x:c r="A61" s="26" t="n">
        <x:v>10</x:v>
      </x:c>
      <x:c r="B61" s="10" t="str">
        <x:v>DOI_10.1016_j.healun.2026.02.1666</x:v>
      </x:c>
      <x:c r="C61" s="10" t="str">
        <x:v>Human lung allografts experience persistent fibrogenic shift following acute cellular rejection.</x:v>
      </x:c>
      <x:c r="D61" s="10" t="str">
        <x:v>software</x:v>
      </x:c>
      <x:c r="E61" s="33" t="str">
        <x:v>were processed with Cell Ranger, with analysis in Seurat with</x:v>
      </x:c>
      <x:c r="F61" s="33" t="str">
        <x:v>Seurat</x:v>
      </x:c>
      <x:c r="G61" s="33" t="str">
        <x:v>Seurat</x:v>
      </x:c>
      <x:c r="H61" s="33" t="str"/>
      <x:c r="I61" s="33" t="str"/>
      <x:c r="J61" s="33" t="str"/>
      <x:c r="K61" s="33" t="str">
        <x:v>Markdown line 90</x:v>
      </x:c>
      <x:c r="L61" s="33" t="str">
        <x:v>were processed with Cell Ranger, with analysis in Seurat with</x:v>
      </x:c>
      <x:c r="M61" s="23" t="str">
        <x:v>pending</x:v>
      </x:c>
    </x:row>
    <x:row r="62">
      <x:c r="A62" s="26" t="n">
        <x:v>11</x:v>
      </x:c>
      <x:c r="B62" s="10" t="str">
        <x:v>DOI_10.7554_elife.62522</x:v>
      </x:c>
      <x:c r="C62" s="10" t="str">
        <x:v>Single-cell multiomic profiling of human lungs reveals cell-type-specific and age-dynamic control of SARS-CoV2 host genes.</x:v>
      </x:c>
      <x:c r="D62" s="10" t="str">
        <x:v>quality_control</x:v>
      </x:c>
      <x:c r="E62" s="33" t="str">
        <x:v>After batch correction and filtering of low-quality nuclei and likely doublets, we clustered and ana-</x:v>
      </x:c>
      <x:c r="F62" s="33" t="str">
        <x:v>doublet</x:v>
      </x:c>
      <x:c r="G62" s="33" t="str"/>
      <x:c r="H62" s="33" t="str"/>
      <x:c r="I62" s="33" t="str"/>
      <x:c r="J62" s="33" t="str"/>
      <x:c r="K62" s="33" t="str">
        <x:v>Markdown line 142</x:v>
      </x:c>
      <x:c r="L62" s="33" t="str">
        <x:v>After batch correction and filtering of low-quality nuclei and likely doublets, we clustered and ana-</x:v>
      </x:c>
      <x:c r="M62" s="23" t="str">
        <x:v>pending</x:v>
      </x:c>
    </x:row>
    <x:row r="63">
      <x:c r="A63" s="26" t="n">
        <x:v>11</x:v>
      </x:c>
      <x:c r="B63" s="10" t="str">
        <x:v>DOI_10.7554_elife.62522</x:v>
      </x:c>
      <x:c r="C63" s="10" t="str">
        <x:v>Single-cell multiomic profiling of human lungs reveals cell-type-specific and age-dynamic control of SARS-CoV2 host genes.</x:v>
      </x:c>
      <x:c r="D63" s="10" t="str">
        <x:v>normalization_integration</x:v>
      </x:c>
      <x:c r="E63" s="33" t="str">
        <x:v>After batch correction and filtering of low-quality nuclei and likely doublets, we clustered and ana-</x:v>
      </x:c>
      <x:c r="F63" s="33" t="str">
        <x:v>batch correction</x:v>
      </x:c>
      <x:c r="G63" s="33" t="str"/>
      <x:c r="H63" s="33" t="str"/>
      <x:c r="I63" s="33" t="str"/>
      <x:c r="J63" s="33" t="str"/>
      <x:c r="K63" s="33" t="str">
        <x:v>Markdown line 142</x:v>
      </x:c>
      <x:c r="L63" s="33" t="str">
        <x:v>After batch correction and filtering of low-quality nuclei and likely doublets, we clustered and ana-</x:v>
      </x:c>
      <x:c r="M63" s="23" t="str">
        <x:v>pending</x:v>
      </x:c>
    </x:row>
    <x:row r="64">
      <x:c r="A64" s="26" t="n">
        <x:v>11</x:v>
      </x:c>
      <x:c r="B64" s="10" t="str">
        <x:v>DOI_10.7554_elife.62522</x:v>
      </x:c>
      <x:c r="C64" s="10" t="str">
        <x:v>Single-cell multiomic profiling of human lungs reveals cell-type-specific and age-dynamic control of SARS-CoV2 host genes.</x:v>
      </x:c>
      <x:c r="D64" s="10" t="str">
        <x:v>dimension_reduction_clustering</x:v>
      </x:c>
      <x:c r="E64" s="33" t="str">
        <x:v>After batch correction and filtering of low-quality nuclei and likely doublets, we clustered and ana-</x:v>
      </x:c>
      <x:c r="F64" s="33" t="str">
        <x:v>cluster</x:v>
      </x:c>
      <x:c r="G64" s="33" t="str"/>
      <x:c r="H64" s="33" t="str"/>
      <x:c r="I64" s="33" t="str"/>
      <x:c r="J64" s="33" t="str"/>
      <x:c r="K64" s="33" t="str">
        <x:v>Markdown line 142</x:v>
      </x:c>
      <x:c r="L64" s="33" t="str">
        <x:v>After batch correction and filtering of low-quality nuclei and likely doublets, we clustered and ana-</x:v>
      </x:c>
      <x:c r="M64" s="23" t="str">
        <x:v>pending</x:v>
      </x:c>
    </x:row>
    <x:row r="65">
      <x:c r="A65" s="26" t="n">
        <x:v>11</x:v>
      </x:c>
      <x:c r="B65" s="10" t="str">
        <x:v>DOI_10.7554_elife.62522</x:v>
      </x:c>
      <x:c r="C65" s="10" t="str">
        <x:v>Single-cell multiomic profiling of human lungs reveals cell-type-specific and age-dynamic control of SARS-CoV2 host genes.</x:v>
      </x:c>
      <x:c r="D65" s="10" t="str">
        <x:v>differential_expression</x:v>
      </x:c>
      <x:c r="E65" s="33" t="str">
        <x:v>EllinghausD,DegenhardtF,BujandaL,ButiM,AlbillosA,InvernizziP,Ferna´ndezJ,PratiD,BaselliG,AsseltaR,</x:v>
      </x:c>
      <x:c r="F65" s="33" t="str">
        <x:v>DEG</x:v>
      </x:c>
      <x:c r="G65" s="33" t="str"/>
      <x:c r="H65" s="33" t="str"/>
      <x:c r="I65" s="33" t="str"/>
      <x:c r="J65" s="33" t="str"/>
      <x:c r="K65" s="33" t="str">
        <x:v>Markdown line 1187</x:v>
      </x:c>
      <x:c r="L65" s="33" t="str">
        <x:v>EllinghausD,DegenhardtF,BujandaL,ButiM,AlbillosA,InvernizziP,Ferna´ndezJ,PratiD,BaselliG,AsseltaR,</x:v>
      </x:c>
      <x:c r="M65" s="23" t="str">
        <x:v>pending</x:v>
      </x:c>
    </x:row>
    <x:row r="66">
      <x:c r="A66" s="26" t="n">
        <x:v>11</x:v>
      </x:c>
      <x:c r="B66" s="10" t="str">
        <x:v>DOI_10.7554_elife.62522</x:v>
      </x:c>
      <x:c r="C66" s="10" t="str">
        <x:v>Single-cell multiomic profiling of human lungs reveals cell-type-specific and age-dynamic control of SARS-CoV2 host genes.</x:v>
      </x:c>
      <x:c r="D66" s="10" t="str">
        <x:v>enrichment</x:v>
      </x:c>
      <x:c r="E66" s="33" t="str">
        <x:v>. Supplementary file 6. De novo motif enrichment analysis of peaks increasing with age inAT2 cells</x:v>
      </x:c>
      <x:c r="F66" s="33" t="str">
        <x:v>enrichment analysis</x:v>
      </x:c>
      <x:c r="G66" s="33" t="str"/>
      <x:c r="H66" s="33" t="str"/>
      <x:c r="I66" s="33" t="str"/>
      <x:c r="J66" s="33" t="str"/>
      <x:c r="K66" s="33" t="str">
        <x:v>Markdown line 1087</x:v>
      </x:c>
      <x:c r="L66" s="33" t="str">
        <x:v>. Supplementary file 6. De novo motif enrichment analysis of peaks increasing with age inAT2 cells</x:v>
      </x:c>
      <x:c r="M66" s="23" t="str">
        <x:v>pending</x:v>
      </x:c>
    </x:row>
    <x:row r="67">
      <x:c r="A67" s="26" t="n">
        <x:v>11</x:v>
      </x:c>
      <x:c r="B67" s="10" t="str">
        <x:v>DOI_10.7554_elife.62522</x:v>
      </x:c>
      <x:c r="C67" s="10" t="str">
        <x:v>Single-cell multiomic profiling of human lungs reveals cell-type-specific and age-dynamic control of SARS-CoV2 host genes.</x:v>
      </x:c>
      <x:c r="D67" s="10" t="str">
        <x:v>abundance_proportion</x:v>
      </x:c>
      <x:c r="E67" s="33" t="str">
        <x:v>like cell proportion (p=4.09 (cid:2) 10(cid:0)3, p=8.00 (cid:2) 10(cid:0)4) (Figure 5E), supporting the possibility that</x:v>
      </x:c>
      <x:c r="F67" s="33" t="str">
        <x:v>cell proportion</x:v>
      </x:c>
      <x:c r="G67" s="33" t="str"/>
      <x:c r="H67" s="33" t="str"/>
      <x:c r="I67" s="33" t="str"/>
      <x:c r="J67" s="33" t="str"/>
      <x:c r="K67" s="33" t="str">
        <x:v>Markdown line 439</x:v>
      </x:c>
      <x:c r="L67" s="33" t="str">
        <x:v>like cell proportion (p=4.09 (cid:2) 10(cid:0)3, p=8.00 (cid:2) 10(cid:0)4) (Figure 5E), supporting the possibility that</x:v>
      </x:c>
      <x:c r="M67" s="23" t="str">
        <x:v>pending</x:v>
      </x:c>
    </x:row>
    <x:row r="68">
      <x:c r="A68" s="26" t="n">
        <x:v>11</x:v>
      </x:c>
      <x:c r="B68" s="10" t="str">
        <x:v>DOI_10.7554_elife.62522</x:v>
      </x:c>
      <x:c r="C68" s="10" t="str">
        <x:v>Single-cell multiomic profiling of human lungs reveals cell-type-specific and age-dynamic control of SARS-CoV2 host genes.</x:v>
      </x:c>
      <x:c r="D68" s="10" t="str">
        <x:v>multiple_testing</x:v>
      </x:c>
      <x:c r="E68" s="33" t="str">
        <x:v>stage).(E)K-meansclusteranalysis(K=5)ofrelativeaccessibilityscores(seeMaterialsandmethods)for22,845age-dynamicpeaks(FDR&lt;0.05,</x:v>
      </x:c>
      <x:c r="F68" s="33" t="str">
        <x:v>FDR</x:v>
      </x:c>
      <x:c r="G68" s="33" t="str"/>
      <x:c r="H68" s="33" t="str"/>
      <x:c r="I68" s="33" t="str">
        <x:v>FDR&lt;0</x:v>
      </x:c>
      <x:c r="J68" s="33" t="str">
        <x:v>stage).(E)K-meansclusteranalysis(K=5)ofrelativeaccessibilityscores(seeMaterialsandmethods)for22,845age-dynamicpeaks(FDR&lt;0.05,</x:v>
      </x:c>
      <x:c r="K68" s="33" t="str">
        <x:v>Markdown line 265</x:v>
      </x:c>
      <x:c r="L68" s="33" t="str">
        <x:v>stage).(E)K-meansclusteranalysis(K=5)ofrelativeaccessibilityscores(seeMaterialsandmethods)for22,845age-dynamicpeaks(FDR&lt;0.05,</x:v>
      </x:c>
      <x:c r="M68" s="23" t="str">
        <x:v>pending</x:v>
      </x:c>
    </x:row>
    <x:row r="69">
      <x:c r="A69" s="26" t="n">
        <x:v>11</x:v>
      </x:c>
      <x:c r="B69" s="10" t="str">
        <x:v>DOI_10.7554_elife.62522</x:v>
      </x:c>
      <x:c r="C69" s="10" t="str">
        <x:v>Single-cell multiomic profiling of human lungs reveals cell-type-specific and age-dynamic control of SARS-CoV2 host genes.</x:v>
      </x:c>
      <x:c r="D69" s="10" t="str">
        <x:v>software</x:v>
      </x:c>
      <x:c r="E69" s="33" t="str">
        <x:v>| Software, | Seuratv3.1.4 | https://satijalab. | RRID:SCR_016341 |     |</x:v>
      </x:c>
      <x:c r="F69" s="33" t="str">
        <x:v>Seurat</x:v>
      </x:c>
      <x:c r="G69" s="33" t="str">
        <x:v>Seurat</x:v>
      </x:c>
      <x:c r="H69" s="33" t="str">
        <x:v>3.1.4</x:v>
      </x:c>
      <x:c r="I69" s="33" t="str"/>
      <x:c r="J69" s="33" t="str"/>
      <x:c r="K69" s="33" t="str">
        <x:v>Markdown line 583</x:v>
      </x:c>
      <x:c r="L69" s="33" t="str">
        <x:v>| Software, | Seuratv3.1.4 | https://satijalab. | RRID:SCR_016341 |     |</x:v>
      </x:c>
      <x:c r="M69" s="23" t="str">
        <x:v>pending</x:v>
      </x:c>
    </x:row>
    <x:row r="70">
      <x:c r="A70" s="26" t="n">
        <x:v>12</x:v>
      </x:c>
      <x:c r="B70" s="10" t="str">
        <x:v>DOI_10.1038_s44318-024-00328-6</x:v>
      </x:c>
      <x:c r="C70" s="10" t="str">
        <x:v>A novel human fetal lung-derived alveolar organoid model reveals mechanisms of surfactant protein C maturation relevant to interstitial lung disease.</x:v>
      </x:c>
      <x:c r="D70" s="10" t="str">
        <x:v>quality_control</x:v>
      </x:c>
      <x:c r="E70" s="33" t="str">
        <x:v>Doublets</x:v>
      </x:c>
      <x:c r="F70" s="33" t="str">
        <x:v>doublet</x:v>
      </x:c>
      <x:c r="G70" s="33" t="str"/>
      <x:c r="H70" s="33" t="str"/>
      <x:c r="I70" s="33" t="str"/>
      <x:c r="J70" s="33" t="str"/>
      <x:c r="K70" s="33" t="str">
        <x:v>Markdown line 78</x:v>
      </x:c>
      <x:c r="L70" s="33" t="str">
        <x:v>Doublets</x:v>
      </x:c>
      <x:c r="M70" s="23" t="str">
        <x:v>pending</x:v>
      </x:c>
    </x:row>
    <x:row r="71">
      <x:c r="A71" s="26" t="n">
        <x:v>12</x:v>
      </x:c>
      <x:c r="B71" s="10" t="str">
        <x:v>DOI_10.1038_s44318-024-00328-6</x:v>
      </x:c>
      <x:c r="C71" s="10" t="str">
        <x:v>A novel human fetal lung-derived alveolar organoid model reveals mechanisms of surfactant protein C maturation relevant to interstitial lung disease.</x:v>
      </x:c>
      <x:c r="D71" s="10" t="str">
        <x:v>normalization_integration</x:v>
      </x:c>
      <x:c r="E71" s="33" t="str">
        <x:v>(C),andimmunofluorescenceimagingwithCAV1,E-cadherin,β-actin,andDAPI(nuclei);scalebar,50μm(D).ForRT-qPCR,datawerenormalizedtofdAT2organoidsin</x:v>
      </x:c>
      <x:c r="F71" s="33" t="str">
        <x:v>normalized</x:v>
      </x:c>
      <x:c r="G71" s="33" t="str"/>
      <x:c r="H71" s="33" t="str"/>
      <x:c r="I71" s="33" t="str"/>
      <x:c r="J71" s="33" t="str"/>
      <x:c r="K71" s="33" t="str">
        <x:v>Markdown line 414</x:v>
      </x:c>
      <x:c r="L71" s="33" t="str">
        <x:v>(C),andimmunofluorescenceimagingwithCAV1,E-cadherin,β-actin,andDAPI(nuclei);scalebar,50μm(D).ForRT-qPCR,datawerenormalizedtofdAT2organoidsin</x:v>
      </x:c>
      <x:c r="M71" s="23" t="str">
        <x:v>pending</x:v>
      </x:c>
    </x:row>
    <x:row r="72">
      <x:c r="A72" s="26" t="n">
        <x:v>12</x:v>
      </x:c>
      <x:c r="B72" s="10" t="str">
        <x:v>DOI_10.1038_s44318-024-00328-6</x:v>
      </x:c>
      <x:c r="C72" s="10" t="str">
        <x:v>A novel human fetal lung-derived alveolar organoid model reveals mechanisms of surfactant protein C maturation relevant to interstitial lung disease.</x:v>
      </x:c>
      <x:c r="D72" s="10" t="str">
        <x:v>dimension_reduction_clustering</x:v>
      </x:c>
      <x:c r="E72" s="33" t="str">
        <x:v>UMAP1</x:v>
      </x:c>
      <x:c r="F72" s="33" t="str">
        <x:v>UMAP</x:v>
      </x:c>
      <x:c r="G72" s="33" t="str"/>
      <x:c r="H72" s="33" t="str"/>
      <x:c r="I72" s="33" t="str"/>
      <x:c r="J72" s="33" t="str"/>
      <x:c r="K72" s="33" t="str">
        <x:v>Markdown line 53</x:v>
      </x:c>
      <x:c r="L72" s="33" t="str">
        <x:v>UMAP1</x:v>
      </x:c>
      <x:c r="M72" s="23" t="str">
        <x:v>pending</x:v>
      </x:c>
    </x:row>
    <x:row r="73">
      <x:c r="A73" s="26" t="n">
        <x:v>12</x:v>
      </x:c>
      <x:c r="B73" s="10" t="str">
        <x:v>DOI_10.1038_s44318-024-00328-6</x:v>
      </x:c>
      <x:c r="C73" s="10" t="str">
        <x:v>A novel human fetal lung-derived alveolar organoid model reveals mechanisms of surfactant protein C maturation relevant to interstitial lung disease.</x:v>
      </x:c>
      <x:c r="D73" s="10" t="str">
        <x:v>differential_expression</x:v>
      </x:c>
      <x:c r="E73" s="33" t="str">
        <x:v>Jacobetal,2017.(M–O)HeatmapofDEGsassociatedwithtypicalAT2cellfate(M),trafficking(N),andimmuneresponse(O).Alistoftrafficking-relatedgeneswas</x:v>
      </x:c>
      <x:c r="F73" s="33" t="str">
        <x:v>DEG</x:v>
      </x:c>
      <x:c r="G73" s="33" t="str"/>
      <x:c r="H73" s="33" t="str"/>
      <x:c r="I73" s="33" t="str"/>
      <x:c r="J73" s="33" t="str"/>
      <x:c r="K73" s="33" t="str">
        <x:v>Markdown line 269</x:v>
      </x:c>
      <x:c r="L73" s="33" t="str">
        <x:v>Jacobetal,2017.(M–O)HeatmapofDEGsassociatedwithtypicalAT2cellfate(M),trafficking(N),andimmuneresponse(O).Alistoftrafficking-relatedgeneswas</x:v>
      </x:c>
      <x:c r="M73" s="23" t="str">
        <x:v>pending</x:v>
      </x:c>
    </x:row>
    <x:row r="74">
      <x:c r="A74" s="26" t="n">
        <x:v>12</x:v>
      </x:c>
      <x:c r="B74" s="10" t="str">
        <x:v>DOI_10.1038_s44318-024-00328-6</x:v>
      </x:c>
      <x:c r="C74" s="10" t="str">
        <x:v>A novel human fetal lung-derived alveolar organoid model reveals mechanisms of surfactant protein C maturation relevant to interstitial lung disease.</x:v>
      </x:c>
      <x:c r="D74" s="10" t="str">
        <x:v>enrichment</x:v>
      </x:c>
      <x:c r="E74" s="33" t="str">
        <x:v>progenitor organoids (Lim et al, 2023) (Fig. 1L). Our fdAT2 set enrichment analysis (GSEA) of &gt;2000 DEGs showed that the</x:v>
      </x:c>
      <x:c r="F74" s="33" t="str">
        <x:v>enrichment analysis</x:v>
      </x:c>
      <x:c r="G74" s="33" t="str"/>
      <x:c r="H74" s="33" t="str"/>
      <x:c r="I74" s="33" t="str"/>
      <x:c r="J74" s="33" t="str"/>
      <x:c r="K74" s="33" t="str">
        <x:v>Markdown line 439</x:v>
      </x:c>
      <x:c r="L74" s="33" t="str">
        <x:v>progenitor organoids (Lim et al, 2023) (Fig. 1L). Our fdAT2 set enrichment analysis (GSEA) of &gt;2000 DEGs showed that the</x:v>
      </x:c>
      <x:c r="M74" s="23" t="str">
        <x:v>pending</x:v>
      </x:c>
    </x:row>
    <x:row r="75">
      <x:c r="A75" s="26" t="n">
        <x:v>12</x:v>
      </x:c>
      <x:c r="B75" s="10" t="str">
        <x:v>DOI_10.1038_s44318-024-00328-6</x:v>
      </x:c>
      <x:c r="C75" s="10" t="str">
        <x:v>A novel human fetal lung-derived alveolar organoid model reveals mechanisms of surfactant protein C maturation relevant to interstitial lung disease.</x:v>
      </x:c>
      <x:c r="D75" s="10" t="str">
        <x:v>abundance_proportion</x:v>
      </x:c>
      <x:c r="E75" s="33" t="str">
        <x:v>abundanceinCRISPRi-depletedorganoidsasmeasuredbyfluorescenceintensity.Mean±SD;minimum3organoidsperlineandminimum3biologicallyindependentlines</x:v>
      </x:c>
      <x:c r="F75" s="33" t="str">
        <x:v>abundance</x:v>
      </x:c>
      <x:c r="G75" s="33" t="str"/>
      <x:c r="H75" s="33" t="str"/>
      <x:c r="I75" s="33" t="str"/>
      <x:c r="J75" s="33" t="str"/>
      <x:c r="K75" s="33" t="str">
        <x:v>Markdown line 636</x:v>
      </x:c>
      <x:c r="L75" s="33" t="str">
        <x:v>abundanceinCRISPRi-depletedorganoidsasmeasuredbyfluorescenceintensity.Mean±SD;minimum3organoidsperlineandminimum3biologicallyindependentlines</x:v>
      </x:c>
      <x:c r="M75" s="23" t="str">
        <x:v>pending</x:v>
      </x:c>
    </x:row>
    <x:row r="76">
      <x:c r="A76" s="26" t="n">
        <x:v>12</x:v>
      </x:c>
      <x:c r="B76" s="10" t="str">
        <x:v>DOI_10.1038_s44318-024-00328-6</x:v>
      </x:c>
      <x:c r="C76" s="10" t="str">
        <x:v>A novel human fetal lung-derived alveolar organoid model reveals mechanisms of surfactant protein C maturation relevant to interstitial lung disease.</x:v>
      </x:c>
      <x:c r="D76" s="10" t="str">
        <x:v>software</x:v>
      </x:c>
      <x:c r="E76" s="33" t="str">
        <x:v>Seuratpackage(v4.0) experimental protocols. Mice were bred and maintained under</x:v>
      </x:c>
      <x:c r="F76" s="33" t="str">
        <x:v>Seurat</x:v>
      </x:c>
      <x:c r="G76" s="33" t="str">
        <x:v>Seurat</x:v>
      </x:c>
      <x:c r="H76" s="33" t="str"/>
      <x:c r="I76" s="33" t="str"/>
      <x:c r="J76" s="33" t="str"/>
      <x:c r="K76" s="33" t="str">
        <x:v>Markdown line 1003</x:v>
      </x:c>
      <x:c r="L76" s="33" t="str">
        <x:v>Seuratpackage(v4.0) experimental protocols. Mice were bred and maintained under</x:v>
      </x:c>
      <x:c r="M76" s="23" t="str">
        <x:v>pending</x:v>
      </x:c>
    </x:row>
    <x:row r="77">
      <x:c r="A77" s="26" t="n">
        <x:v>13</x:v>
      </x:c>
      <x:c r="B77" s="10" t="str">
        <x:v>DOI_10.1126_sciimmunol.adf9988</x:v>
      </x:c>
      <x:c r="C77" s="10" t="str">
        <x:v>Early human lung immune cell development and its role in epithelial cell fate.</x:v>
      </x:c>
      <x:c r="D77" s="10" t="str">
        <x:v>quality_control</x:v>
      </x:c>
      <x:c r="E77" s="33" t="str">
        <x:v>protein measurement, with quality control metrics given in Fig S2A,B. We also performed</x:v>
      </x:c>
      <x:c r="F77" s="33" t="str">
        <x:v>quality control</x:v>
      </x:c>
      <x:c r="G77" s="33" t="str"/>
      <x:c r="H77" s="33" t="str"/>
      <x:c r="I77" s="33" t="str"/>
      <x:c r="J77" s="33" t="str"/>
      <x:c r="K77" s="33" t="str">
        <x:v>Markdown line 489</x:v>
      </x:c>
      <x:c r="L77" s="33" t="str">
        <x:v>protein measurement, with quality control metrics given in Fig S2A,B. We also performed</x:v>
      </x:c>
      <x:c r="M77" s="23" t="str">
        <x:v>pending</x:v>
      </x:c>
    </x:row>
    <x:row r="78">
      <x:c r="A78" s="26" t="n">
        <x:v>13</x:v>
      </x:c>
      <x:c r="B78" s="10" t="str">
        <x:v>DOI_10.1126_sciimmunol.adf9988</x:v>
      </x:c>
      <x:c r="C78" s="10" t="str">
        <x:v>Early human lung immune cell development and its role in epithelial cell fate.</x:v>
      </x:c>
      <x:c r="D78" s="10" t="str">
        <x:v>dimension_reduction_clustering</x:v>
      </x:c>
      <x:c r="E78" s="33" t="str">
        <x:v>We annotated and curated the clusters of the single-cell transcriptomic profiles across all</x:v>
      </x:c>
      <x:c r="F78" s="33" t="str">
        <x:v>cluster</x:v>
      </x:c>
      <x:c r="G78" s="33" t="str"/>
      <x:c r="H78" s="33" t="str"/>
      <x:c r="I78" s="33" t="str"/>
      <x:c r="J78" s="33" t="str"/>
      <x:c r="K78" s="33" t="str">
        <x:v>Markdown line 500</x:v>
      </x:c>
      <x:c r="L78" s="33" t="str">
        <x:v>We annotated and curated the clusters of the single-cell transcriptomic profiles across all</x:v>
      </x:c>
      <x:c r="M78" s="23" t="str">
        <x:v>pending</x:v>
      </x:c>
    </x:row>
    <x:row r="79">
      <x:c r="A79" s="26" t="n">
        <x:v>13</x:v>
      </x:c>
      <x:c r="B79" s="10" t="str">
        <x:v>DOI_10.1126_sciimmunol.adf9988</x:v>
      </x:c>
      <x:c r="C79" s="10" t="str">
        <x:v>Early human lung immune cell development and its role in epithelial cell fate.</x:v>
      </x:c>
      <x:c r="D79" s="10" t="str">
        <x:v>differential_expression</x:v>
      </x:c>
      <x:c r="E79" s="33" t="str">
        <x:v>developmental stages. Lung ILCPs and intermediate NK cells differentially expressed genes</x:v>
      </x:c>
      <x:c r="F79" s="33" t="str">
        <x:v>differentially expressed</x:v>
      </x:c>
      <x:c r="G79" s="33" t="str"/>
      <x:c r="H79" s="33" t="str"/>
      <x:c r="I79" s="33" t="str"/>
      <x:c r="J79" s="33" t="str"/>
      <x:c r="K79" s="33" t="str">
        <x:v>Markdown line 985</x:v>
      </x:c>
      <x:c r="L79" s="33" t="str">
        <x:v>developmental stages. Lung ILCPs and intermediate NK cells differentially expressed genes</x:v>
      </x:c>
      <x:c r="M79" s="23" t="str">
        <x:v>pending</x:v>
      </x:c>
    </x:row>
    <x:row r="80">
      <x:c r="A80" s="26" t="n">
        <x:v>13</x:v>
      </x:c>
      <x:c r="B80" s="10" t="str">
        <x:v>DOI_10.1126_sciimmunol.adf9988</x:v>
      </x:c>
      <x:c r="C80" s="10" t="str">
        <x:v>Early human lung immune cell development and its role in epithelial cell fate.</x:v>
      </x:c>
      <x:c r="D80" s="10" t="str">
        <x:v>enrichment</x:v>
      </x:c>
      <x:c r="E80" s="33" t="str">
        <x:v>Data File S4). Trajectory analysis (Fig 3B) showed a linear trend that was consistent with</x:v>
      </x:c>
      <x:c r="F80" s="33" t="str">
        <x:v>trajectory</x:v>
      </x:c>
      <x:c r="G80" s="33" t="str"/>
      <x:c r="H80" s="33" t="str"/>
      <x:c r="I80" s="33" t="str"/>
      <x:c r="J80" s="33" t="str"/>
      <x:c r="K80" s="33" t="str">
        <x:v>Markdown line 731</x:v>
      </x:c>
      <x:c r="L80" s="33" t="str">
        <x:v>Data File S4). Trajectory analysis (Fig 3B) showed a linear trend that was consistent with</x:v>
      </x:c>
      <x:c r="M80" s="23" t="str">
        <x:v>pending</x:v>
      </x:c>
    </x:row>
    <x:row r="81">
      <x:c r="A81" s="26" t="n">
        <x:v>13</x:v>
      </x:c>
      <x:c r="B81" s="10" t="str">
        <x:v>DOI_10.1126_sciimmunol.adf9988</x:v>
      </x:c>
      <x:c r="C81" s="10" t="str">
        <x:v>Early human lung immune cell development and its role in epithelial cell fate.</x:v>
      </x:c>
      <x:c r="D81" s="10" t="str">
        <x:v>abundance_proportion</x:v>
      </x:c>
      <x:c r="E81" s="33" t="str">
        <x:v>significant increase in abundance of total T cells (CD3+), CD4+, CD8+ and regulatory T</x:v>
      </x:c>
      <x:c r="F81" s="33" t="str">
        <x:v>abundance</x:v>
      </x:c>
      <x:c r="G81" s="33" t="str"/>
      <x:c r="H81" s="33" t="str"/>
      <x:c r="I81" s="33" t="str"/>
      <x:c r="J81" s="33" t="str"/>
      <x:c r="K81" s="33" t="str">
        <x:v>Markdown line 600</x:v>
      </x:c>
      <x:c r="L81" s="33" t="str">
        <x:v>significant increase in abundance of total T cells (CD3+), CD4+, CD8+ and regulatory T</x:v>
      </x:c>
      <x:c r="M81" s="23" t="str">
        <x:v>pending</x:v>
      </x:c>
    </x:row>
    <x:row r="82">
      <x:c r="A82" s="26" t="n">
        <x:v>13</x:v>
      </x:c>
      <x:c r="B82" s="10" t="str">
        <x:v>DOI_10.1126_sciimmunol.adf9988</x:v>
      </x:c>
      <x:c r="C82" s="10" t="str">
        <x:v>Early human lung immune cell development and its role in epithelial cell fate.</x:v>
      </x:c>
      <x:c r="D82" s="10" t="str">
        <x:v>multiple_testing</x:v>
      </x:c>
      <x:c r="E82" s="33" t="str">
        <x:v>different lung cell type clusters. Only differential abundance neighborhoods at SpatialFDR</x:v>
      </x:c>
      <x:c r="F82" s="33" t="str">
        <x:v>FDR</x:v>
      </x:c>
      <x:c r="G82" s="33" t="str"/>
      <x:c r="H82" s="33" t="str"/>
      <x:c r="I82" s="33" t="str">
        <x:v>FDR</x:v>
      </x:c>
      <x:c r="J82" s="33" t="str">
        <x:v>different lung cell type clusters. Only differential abundance neighborhoods at SpatialFDR</x:v>
      </x:c>
      <x:c r="K82" s="33" t="str">
        <x:v>Markdown line 3811; section MR/R006237/1) Human Developmental Biology Resource (www.hdbr.org), approved</x:v>
      </x:c>
      <x:c r="L82" s="33" t="str">
        <x:v>different lung cell type clusters. Only differential abundance neighborhoods at SpatialFDR</x:v>
      </x:c>
      <x:c r="M82" s="23" t="str">
        <x:v>pending</x:v>
      </x:c>
    </x:row>
    <x:row r="83">
      <x:c r="A83" s="26" t="n">
        <x:v>13</x:v>
      </x:c>
      <x:c r="B83" s="10" t="str">
        <x:v>DOI_10.1126_sciimmunol.adf9988</x:v>
      </x:c>
      <x:c r="C83" s="10" t="str">
        <x:v>Early human lung immune cell development and its role in epithelial cell fate.</x:v>
      </x:c>
      <x:c r="D83" s="10" t="str">
        <x:v>software</x:v>
      </x:c>
      <x:c r="E83" s="33" t="str">
        <x:v>with an implementation of EmptyDrops extracted from Cell Ranger 3.0.2 (distributed as</x:v>
      </x:c>
      <x:c r="F83" s="33" t="str">
        <x:v>Cell Ranger</x:v>
      </x:c>
      <x:c r="G83" s="33" t="str">
        <x:v>Cell Ranger</x:v>
      </x:c>
      <x:c r="H83" s="33" t="str">
        <x:v>3.0.2</x:v>
      </x:c>
      <x:c r="I83" s="33" t="str"/>
      <x:c r="J83" s="33" t="str"/>
      <x:c r="K83" s="33" t="str">
        <x:v>Markdown line 1976; section MR/R006237/1) Human Developmental Biology Resource (www.hdbr.org), approved</x:v>
      </x:c>
      <x:c r="L83" s="33" t="str">
        <x:v>with an implementation of EmptyDrops extracted from Cell Ranger 3.0.2 (distributed as</x:v>
      </x:c>
      <x:c r="M83" s="23" t="str">
        <x:v>pending</x:v>
      </x:c>
    </x:row>
    <x:row r="84">
      <x:c r="A84" s="26" t="n">
        <x:v>14</x:v>
      </x:c>
      <x:c r="B84" s="10" t="str">
        <x:v>DOI_10.1038_s41591-023-02327-2</x:v>
      </x:c>
      <x:c r="C84" s="10" t="str">
        <x:v>An integrated cell atlas of the lung in health and disease.</x:v>
      </x:c>
      <x:c r="D84" s="10" t="str">
        <x:v>quality_control</x:v>
      </x:c>
      <x:c r="E84" s="33" t="str">
        <x:v>between studies and clusters of doublets (Methods). Most clusters (61</x:v>
      </x:c>
      <x:c r="F84" s="33" t="str">
        <x:v>doublet</x:v>
      </x:c>
      <x:c r="G84" s="33" t="str"/>
      <x:c r="H84" s="33" t="str"/>
      <x:c r="I84" s="33" t="str"/>
      <x:c r="J84" s="33" t="str"/>
      <x:c r="K84" s="33" t="str">
        <x:v>Markdown line 93</x:v>
      </x:c>
      <x:c r="L84" s="33" t="str">
        <x:v>between studies and clusters of doublets (Methods). Most clusters (61</x:v>
      </x:c>
      <x:c r="M84" s="23" t="str">
        <x:v>pending</x:v>
      </x:c>
    </x:row>
    <x:row r="85">
      <x:c r="A85" s="26" t="n">
        <x:v>14</x:v>
      </x:c>
      <x:c r="B85" s="10" t="str">
        <x:v>DOI_10.1038_s41591-023-02327-2</x:v>
      </x:c>
      <x:c r="C85" s="10" t="str">
        <x:v>An integrated cell atlas of the lung in health and disease.</x:v>
      </x:c>
      <x:c r="D85" s="10" t="str">
        <x:v>normalization_integration</x:v>
      </x:c>
      <x:c r="E85" s="33" t="str">
        <x:v>data integration. Nonetheless, successful integration of the available</x:v>
      </x:c>
      <x:c r="F85" s="33" t="str">
        <x:v>integration</x:v>
      </x:c>
      <x:c r="G85" s="33" t="str"/>
      <x:c r="H85" s="33" t="str"/>
      <x:c r="I85" s="33" t="str"/>
      <x:c r="J85" s="33" t="str"/>
      <x:c r="K85" s="33" t="str">
        <x:v>Markdown line 60</x:v>
      </x:c>
      <x:c r="L85" s="33" t="str">
        <x:v>data integration. Nonetheless, successful integration of the available</x:v>
      </x:c>
      <x:c r="M85" s="23" t="str">
        <x:v>pending</x:v>
      </x:c>
    </x:row>
    <x:row r="86">
      <x:c r="A86" s="26" t="n">
        <x:v>14</x:v>
      </x:c>
      <x:c r="B86" s="10" t="str">
        <x:v>DOI_10.1038_s41591-023-02327-2</x:v>
      </x:c>
      <x:c r="C86" s="10" t="str">
        <x:v>An integrated cell atlas of the lung in health and disease.</x:v>
      </x:c>
      <x:c r="D86" s="10" t="str">
        <x:v>dimension_reduction_clustering</x:v>
      </x:c>
      <x:c r="E86" s="33" t="str">
        <x:v>tively clustered the HLCA core and investigated donor diversity and cell</x:v>
      </x:c>
      <x:c r="F86" s="33" t="str">
        <x:v>cluster</x:v>
      </x:c>
      <x:c r="G86" s="33" t="str"/>
      <x:c r="H86" s="33" t="str"/>
      <x:c r="I86" s="33" t="str"/>
      <x:c r="J86" s="33" t="str"/>
      <x:c r="K86" s="33" t="str">
        <x:v>Markdown line 86</x:v>
      </x:c>
      <x:c r="L86" s="33" t="str">
        <x:v>tively clustered the HLCA core and investigated donor diversity and cell</x:v>
      </x:c>
      <x:c r="M86" s="23" t="str">
        <x:v>pending</x:v>
      </x:c>
    </x:row>
    <x:row r="87">
      <x:c r="A87" s="26" t="n">
        <x:v>14</x:v>
      </x:c>
      <x:c r="B87" s="10" t="str">
        <x:v>DOI_10.1038_s41591-023-02327-2</x:v>
      </x:c>
      <x:c r="C87" s="10" t="str">
        <x:v>An integrated cell atlas of the lung in health and disease.</x:v>
      </x:c>
      <x:c r="D87" s="10" t="str">
        <x:v>differential_expression</x:v>
      </x:c>
      <x:c r="E87" s="33" t="str">
        <x:v>phatic endothelial cells are dominated by differential expression of</x:v>
      </x:c>
      <x:c r="F87" s="33" t="str">
        <x:v>differential expression</x:v>
      </x:c>
      <x:c r="G87" s="33" t="str"/>
      <x:c r="H87" s="33" t="str"/>
      <x:c r="I87" s="33" t="str"/>
      <x:c r="J87" s="33" t="str"/>
      <x:c r="K87" s="33" t="str">
        <x:v>Markdown line 293</x:v>
      </x:c>
      <x:c r="L87" s="33" t="str">
        <x:v>phatic endothelial cells are dominated by differential expression of</x:v>
      </x:c>
      <x:c r="M87" s="23" t="str">
        <x:v>pending</x:v>
      </x:c>
    </x:row>
    <x:row r="88">
      <x:c r="A88" s="26" t="n">
        <x:v>14</x:v>
      </x:c>
      <x:c r="B88" s="10" t="str">
        <x:v>DOI_10.1038_s41591-023-02327-2</x:v>
      </x:c>
      <x:c r="C88" s="10" t="str">
        <x:v>An integrated cell atlas of the lung in health and disease.</x:v>
      </x:c>
      <x:c r="D88" s="10" t="str">
        <x:v>enrichment</x:v>
      </x:c>
      <x:c r="E88" s="33" t="str">
        <x:v>Modeling gene-level interindividual variation and GSEA</x:v>
      </x:c>
      <x:c r="F88" s="33" t="str">
        <x:v>GSEA</x:v>
      </x:c>
      <x:c r="G88" s="33" t="str"/>
      <x:c r="H88" s="33" t="str"/>
      <x:c r="I88" s="33" t="str"/>
      <x:c r="J88" s="33" t="str"/>
      <x:c r="K88" s="33" t="str">
        <x:v>Markdown line 3434</x:v>
      </x:c>
      <x:c r="L88" s="33" t="str">
        <x:v>Modeling gene-level interindividual variation and GSEA</x:v>
      </x:c>
      <x:c r="M88" s="23" t="str">
        <x:v>pending</x:v>
      </x:c>
    </x:row>
    <x:row r="89">
      <x:c r="A89" s="26" t="n">
        <x:v>14</x:v>
      </x:c>
      <x:c r="B89" s="10" t="str">
        <x:v>DOI_10.1038_s41591-023-02327-2</x:v>
      </x:c>
      <x:c r="C89" s="10" t="str">
        <x:v>An integrated cell atlas of the lung in health and disease.</x:v>
      </x:c>
      <x:c r="D89" s="10" t="str">
        <x:v>abundance_proportion</x:v>
      </x:c>
      <x:c r="E89" s="33" t="str">
        <x:v>low abundance, these cells formed three separate clusters of the HLCA</x:v>
      </x:c>
      <x:c r="F89" s="33" t="str">
        <x:v>abundance</x:v>
      </x:c>
      <x:c r="G89" s="33" t="str"/>
      <x:c r="H89" s="33" t="str"/>
      <x:c r="I89" s="33" t="str"/>
      <x:c r="J89" s="33" t="str"/>
      <x:c r="K89" s="33" t="str">
        <x:v>Markdown line 239</x:v>
      </x:c>
      <x:c r="L89" s="33" t="str">
        <x:v>low abundance, these cells formed three separate clusters of the HLCA</x:v>
      </x:c>
      <x:c r="M89" s="23" t="str">
        <x:v>pending</x:v>
      </x:c>
    </x:row>
    <x:row r="90">
      <x:c r="A90" s="26" t="n">
        <x:v>14</x:v>
      </x:c>
      <x:c r="B90" s="10" t="str">
        <x:v>DOI_10.1038_s41591-023-02327-2</x:v>
      </x:c>
      <x:c r="C90" s="10" t="str">
        <x:v>An integrated cell atlas of the lung in health and disease.</x:v>
      </x:c>
      <x:c r="D90" s="10" t="str">
        <x:v>multiple_testing</x:v>
      </x:c>
      <x:c r="E90" s="33" t="str">
        <x:v>correlation-adjusted mean-rank gene set tests (Methods) and false discovery rate</x:v>
      </x:c>
      <x:c r="F90" s="33" t="str">
        <x:v>false discovery</x:v>
      </x:c>
      <x:c r="G90" s="33" t="str"/>
      <x:c r="H90" s="33" t="str"/>
      <x:c r="I90" s="33" t="str"/>
      <x:c r="J90" s="33" t="str">
        <x:v>correlation-adjusted mean-rank gene set tests (Methods) and false discovery rate</x:v>
      </x:c>
      <x:c r="K90" s="33" t="str">
        <x:v>Markdown line 1273</x:v>
      </x:c>
      <x:c r="L90" s="33" t="str">
        <x:v>correlation-adjusted mean-rank gene set tests (Methods) and false discovery rate</x:v>
      </x:c>
      <x:c r="M90" s="23" t="str">
        <x:v>pending</x:v>
      </x:c>
    </x:row>
    <x:row r="91">
      <x:c r="A91" s="26" t="n">
        <x:v>14</x:v>
      </x:c>
      <x:c r="B91" s="10" t="str">
        <x:v>DOI_10.1038_s41591-023-02327-2</x:v>
      </x:c>
      <x:c r="C91" s="10" t="str">
        <x:v>An integrated cell atlas of the lung in health and disease.</x:v>
      </x:c>
      <x:c r="D91" s="10" t="str">
        <x:v>software</x:v>
      </x:c>
      <x:c r="E91" s="33" t="str">
        <x:v>benchmarking, such as Harmony29 and Seurat’s RPCA30, failed to sepa-</x:v>
      </x:c>
      <x:c r="F91" s="33" t="str">
        <x:v>Seurat</x:v>
      </x:c>
      <x:c r="G91" s="33" t="str">
        <x:v>Seurat</x:v>
      </x:c>
      <x:c r="H91" s="33" t="str">
        <x:v>29</x:v>
      </x:c>
      <x:c r="I91" s="33" t="str"/>
      <x:c r="J91" s="33" t="str"/>
      <x:c r="K91" s="33" t="str">
        <x:v>Markdown line 245</x:v>
      </x:c>
      <x:c r="L91" s="33" t="str">
        <x:v>benchmarking, such as Harmony29 and Seurat’s RPCA30, failed to sepa-</x:v>
      </x:c>
      <x:c r="M91" s="23" t="str">
        <x:v>pending</x:v>
      </x:c>
    </x:row>
    <x:row r="92">
      <x:c r="A92" s="26" t="n">
        <x:v>15</x:v>
      </x:c>
      <x:c r="B92" s="10" t="str">
        <x:v>DOI_10.1038_s41467-023-40173-5</x:v>
      </x:c>
      <x:c r="C92" s="10" t="str">
        <x:v>Guided construction of single cell reference for human and mouse lung.</x:v>
      </x:c>
      <x:c r="D92" s="10" t="str">
        <x:v>quality_control</x:v>
      </x:c>
      <x:c r="E92" s="33" t="str">
        <x:v>(PROPEL,approvedbyUniversityofPennsylvaniaInstitutionalReview CCHMCLungMAPcohort),thefollowingqualitycontrol(QC)criteria</x:v>
      </x:c>
      <x:c r="F92" s="33" t="str">
        <x:v>QC</x:v>
      </x:c>
      <x:c r="G92" s="33" t="str"/>
      <x:c r="H92" s="33" t="str"/>
      <x:c r="I92" s="33" t="str"/>
      <x:c r="J92" s="33" t="str"/>
      <x:c r="K92" s="33" t="str">
        <x:v>Markdown line 589</x:v>
      </x:c>
      <x:c r="L92" s="33" t="str">
        <x:v>(PROPEL,approvedbyUniversityofPennsylvaniaInstitutionalReview CCHMCLungMAPcohort),thefollowingqualitycontrol(QC)criteria</x:v>
      </x:c>
      <x:c r="M92" s="23" t="str">
        <x:v>pending</x:v>
      </x:c>
    </x:row>
    <x:row r="93">
      <x:c r="A93" s="26" t="n">
        <x:v>15</x:v>
      </x:c>
      <x:c r="B93" s="10" t="str">
        <x:v>DOI_10.1038_s41467-023-40173-5</x:v>
      </x:c>
      <x:c r="C93" s="10" t="str">
        <x:v>Guided construction of single cell reference for human and mouse lung.</x:v>
      </x:c>
      <x:c r="D93" s="10" t="str">
        <x:v>normalization_integration</x:v>
      </x:c>
      <x:c r="E93" s="33" t="str">
        <x:v>tation,dataintegration,anddatasharing.Here,wedevelopacomputational</x:v>
      </x:c>
      <x:c r="F93" s="33" t="str">
        <x:v>integration</x:v>
      </x:c>
      <x:c r="G93" s="33" t="str"/>
      <x:c r="H93" s="33" t="str"/>
      <x:c r="I93" s="33" t="str"/>
      <x:c r="J93" s="33" t="str"/>
      <x:c r="K93" s="33" t="str">
        <x:v>Markdown line 25</x:v>
      </x:c>
      <x:c r="L93" s="33" t="str">
        <x:v>tation,dataintegration,anddatasharing.Here,wedevelopacomputational</x:v>
      </x:c>
      <x:c r="M93" s="23" t="str">
        <x:v>pending</x:v>
      </x:c>
    </x:row>
    <x:row r="94">
      <x:c r="A94" s="26" t="n">
        <x:v>15</x:v>
      </x:c>
      <x:c r="B94" s="10" t="str">
        <x:v>DOI_10.1038_s41467-023-40173-5</x:v>
      </x:c>
      <x:c r="C94" s="10" t="str">
        <x:v>Guided construction of single cell reference for human and mouse lung.</x:v>
      </x:c>
      <x:c r="D94" s="10" t="str">
        <x:v>dimension_reduction_clustering</x:v>
      </x:c>
      <x:c r="E94" s="33" t="str">
        <x:v>|     |     |     | Data integration |     |     | Candidate clusters            |     |                             | Seed cells |     |     |     | CellRef |     |</x:v>
      </x:c>
      <x:c r="F94" s="33" t="str">
        <x:v>cluster</x:v>
      </x:c>
      <x:c r="G94" s="33" t="str"/>
      <x:c r="H94" s="33" t="str"/>
      <x:c r="I94" s="33" t="str"/>
      <x:c r="J94" s="33" t="str"/>
      <x:c r="K94" s="33" t="str">
        <x:v>Markdown line 121</x:v>
      </x:c>
      <x:c r="L94" s="33" t="str">
        <x:v>|     |     |     | Data integration |     |     | Candidate clusters            |     |                             | Seed cells |     |     |     | CellRef |     |</x:v>
      </x:c>
      <x:c r="M94" s="23" t="str">
        <x:v>pending</x:v>
      </x:c>
    </x:row>
    <x:row r="95">
      <x:c r="A95" s="26" t="n">
        <x:v>15</x:v>
      </x:c>
      <x:c r="B95" s="10" t="str">
        <x:v>DOI_10.1038_s41467-023-40173-5</x:v>
      </x:c>
      <x:c r="C95" s="10" t="str">
        <x:v>Guided construction of single cell reference for human and mouse lung.</x:v>
      </x:c>
      <x:c r="D95" s="10" t="str">
        <x:v>differential_expression</x:v>
      </x:c>
      <x:c r="E95" s="33" t="str">
        <x:v>CConsistencyofcelltypepredictionsusingtheCellRefSeedandCellRefineach tiallyexpressedgenes(DEGs).HThenumberofDEGsforeachpredictedcelltype.</x:v>
      </x:c>
      <x:c r="F95" s="33" t="str">
        <x:v>DEG</x:v>
      </x:c>
      <x:c r="G95" s="33" t="str"/>
      <x:c r="H95" s="33" t="str"/>
      <x:c r="I95" s="33" t="str"/>
      <x:c r="J95" s="33" t="str"/>
      <x:c r="K95" s="33" t="str">
        <x:v>Markdown line 377</x:v>
      </x:c>
      <x:c r="L95" s="33" t="str">
        <x:v>CConsistencyofcelltypepredictionsusingtheCellRefSeedandCellRefineach tiallyexpressedgenes(DEGs).HThenumberofDEGsforeachpredictedcelltype.</x:v>
      </x:c>
      <x:c r="M95" s="23" t="str">
        <x:v>pending</x:v>
      </x:c>
    </x:row>
    <x:row r="96">
      <x:c r="A96" s="26" t="n">
        <x:v>15</x:v>
      </x:c>
      <x:c r="B96" s="10" t="str">
        <x:v>DOI_10.1038_s41467-023-40173-5</x:v>
      </x:c>
      <x:c r="C96" s="10" t="str">
        <x:v>Guided construction of single cell reference for human and mouse lung.</x:v>
      </x:c>
      <x:c r="D96" s="10" t="str">
        <x:v>enrichment</x:v>
      </x:c>
      <x:c r="E96" s="33" t="str">
        <x:v>ConstructionoftheLungMAPMouseLungDevelopmentCellRef enrichment analysis was performed using R package gprofiler2</x:v>
      </x:c>
      <x:c r="F96" s="33" t="str">
        <x:v>enrichment analysis</x:v>
      </x:c>
      <x:c r="G96" s="33" t="str"/>
      <x:c r="H96" s="33" t="str"/>
      <x:c r="I96" s="33" t="str"/>
      <x:c r="J96" s="33" t="str"/>
      <x:c r="K96" s="33" t="str">
        <x:v>Markdown line 751</x:v>
      </x:c>
      <x:c r="L96" s="33" t="str">
        <x:v>ConstructionoftheLungMAPMouseLungDevelopmentCellRef enrichment analysis was performed using R package gprofiler2</x:v>
      </x:c>
      <x:c r="M96" s="23" t="str">
        <x:v>pending</x:v>
      </x:c>
    </x:row>
    <x:row r="97">
      <x:c r="A97" s="26" t="n">
        <x:v>15</x:v>
      </x:c>
      <x:c r="B97" s="10" t="str">
        <x:v>DOI_10.1038_s41467-023-40173-5</x:v>
      </x:c>
      <x:c r="C97" s="10" t="str">
        <x:v>Guided construction of single cell reference for human and mouse lung.</x:v>
      </x:c>
      <x:c r="D97" s="10" t="str">
        <x:v>multiple_testing</x:v>
      </x:c>
      <x:c r="E97" s="33" t="str">
        <x:v>inLungMAPwebportalusingShinyCell32basedwebinterfaces(https:// were identified using widely accepted criteria (adjusted p value of</x:v>
      </x:c>
      <x:c r="F97" s="33" t="str">
        <x:v>adjusted p</x:v>
      </x:c>
      <x:c r="G97" s="33" t="str"/>
      <x:c r="H97" s="33" t="str"/>
      <x:c r="I97" s="33" t="str">
        <x:v>adjusted p value of</x:v>
      </x:c>
      <x:c r="J97" s="33" t="str">
        <x:v>inLungMAPwebportalusingShinyCell32basedwebinterfaces(https:// were identified using widely accepted criteria (adjusted p value of</x:v>
      </x:c>
      <x:c r="K97" s="33" t="str">
        <x:v>Markdown line 292</x:v>
      </x:c>
      <x:c r="L97" s="33" t="str">
        <x:v>inLungMAPwebportalusingShinyCell32basedwebinterfaces(https:// were identified using widely accepted criteria (adjusted p value of</x:v>
      </x:c>
      <x:c r="M97" s="23" t="str">
        <x:v>pending</x:v>
      </x:c>
    </x:row>
    <x:row r="98">
      <x:c r="A98" s="26" t="n">
        <x:v>15</x:v>
      </x:c>
      <x:c r="B98" s="10" t="str">
        <x:v>DOI_10.1038_s41467-023-40173-5</x:v>
      </x:c>
      <x:c r="C98" s="10" t="str">
        <x:v>Guided construction of single cell reference for human and mouse lung.</x:v>
      </x:c>
      <x:c r="D98" s="10" t="str">
        <x:v>software</x:v>
      </x:c>
      <x:c r="E98" s="33" t="str">
        <x:v>themutualnearestneighbor(MNN)matchingmethodinMonocle3, KLK11,SOX4).WecombinedSMGbasalandSMGductcellsintoone</x:v>
      </x:c>
      <x:c r="F98" s="33" t="str">
        <x:v>Monocle</x:v>
      </x:c>
      <x:c r="G98" s="33" t="str">
        <x:v>Monocle</x:v>
      </x:c>
      <x:c r="H98" s="33" t="str">
        <x:v>3</x:v>
      </x:c>
      <x:c r="I98" s="33" t="str"/>
      <x:c r="J98" s="33" t="str"/>
      <x:c r="K98" s="33" t="str">
        <x:v>Markdown line 163</x:v>
      </x:c>
      <x:c r="L98" s="33" t="str">
        <x:v>themutualnearestneighbor(MNN)matchingmethodinMonocle3, KLK11,SOX4).WecombinedSMGbasalandSMGductcellsintoone</x:v>
      </x:c>
      <x:c r="M98" s="23" t="str">
        <x:v>pending</x:v>
      </x:c>
    </x:row>
    <x:row r="99">
      <x:c r="A99" s="26" t="n">
        <x:v>16</x:v>
      </x:c>
      <x:c r="B99" s="10" t="str">
        <x:v>DOI_10.1038_s41588-024-01702-0</x:v>
      </x:c>
      <x:c r="C99" s="10" t="str">
        <x:v>Cell-type-specific and disease-associated expression quantitative trait loci in the human lung.</x:v>
      </x:c>
      <x:c r="D99" s="10" t="str">
        <x:v>quality_control</x:v>
      </x:c>
      <x:c r="E99" s="33" t="str">
        <x:v>quality control using the Seurat package10 (Methods and Supplemen- from TxDb. Out of the 63% of sc-eQTL SNPs (eSNPs) that overlapped</x:v>
      </x:c>
      <x:c r="F99" s="33" t="str">
        <x:v>quality control</x:v>
      </x:c>
      <x:c r="G99" s="33" t="str"/>
      <x:c r="H99" s="33" t="str"/>
      <x:c r="I99" s="33" t="str"/>
      <x:c r="J99" s="33" t="str"/>
      <x:c r="K99" s="33" t="str">
        <x:v>Markdown line 96</x:v>
      </x:c>
      <x:c r="L99" s="33" t="str">
        <x:v>quality control using the Seurat package10 (Methods and Supplemen- from TxDb. Out of the 63% of sc-eQTL SNPs (eSNPs) that overlapped</x:v>
      </x:c>
      <x:c r="M99" s="23" t="str">
        <x:v>pending</x:v>
      </x:c>
    </x:row>
    <x:row r="100">
      <x:c r="A100" s="26" t="n">
        <x:v>16</x:v>
      </x:c>
      <x:c r="B100" s="10" t="str">
        <x:v>DOI_10.1038_s41588-024-01702-0</x:v>
      </x:c>
      <x:c r="C100" s="10" t="str">
        <x:v>Cell-type-specific and disease-associated expression quantitative trait loci in the human lung.</x:v>
      </x:c>
      <x:c r="D100" s="10" t="str">
        <x:v>normalization_integration</x:v>
      </x:c>
      <x:c r="E100" s="33" t="str">
        <x:v>tation (Methods). We performed data integration, dimensionality eQTLs typically impact enhancers, while widely shared eQTLs impact</x:v>
      </x:c>
      <x:c r="F100" s="33" t="str">
        <x:v>integration</x:v>
      </x:c>
      <x:c r="G100" s="33" t="str"/>
      <x:c r="H100" s="33" t="str"/>
      <x:c r="I100" s="33" t="str"/>
      <x:c r="J100" s="33" t="str"/>
      <x:c r="K100" s="33" t="str">
        <x:v>Markdown line 94</x:v>
      </x:c>
      <x:c r="L100" s="33" t="str">
        <x:v>tation (Methods). We performed data integration, dimensionality eQTLs typically impact enhancers, while widely shared eQTLs impact</x:v>
      </x:c>
      <x:c r="M100" s="23" t="str">
        <x:v>pending</x:v>
      </x:c>
    </x:row>
    <x:row r="101">
      <x:c r="A101" s="26" t="n">
        <x:v>16</x:v>
      </x:c>
      <x:c r="B101" s="10" t="str">
        <x:v>DOI_10.1038_s41588-024-01702-0</x:v>
      </x:c>
      <x:c r="C101" s="10" t="str">
        <x:v>Cell-type-specific and disease-associated expression quantitative trait loci in the human lung.</x:v>
      </x:c>
      <x:c r="D101" s="10" t="str">
        <x:v>dimension_reduction_clustering</x:v>
      </x:c>
      <x:c r="E101" s="33" t="str">
        <x:v>lung tissue samples of 114 individuals (66 individuals with ILD and 48 visualized the top two principal components of the median pseudob-</x:v>
      </x:c>
      <x:c r="F101" s="33" t="str">
        <x:v>principal component</x:v>
      </x:c>
      <x:c r="G101" s="33" t="str"/>
      <x:c r="H101" s="33" t="str"/>
      <x:c r="I101" s="33" t="str"/>
      <x:c r="J101" s="33" t="str"/>
      <x:c r="K101" s="33" t="str">
        <x:v>Markdown line 65</x:v>
      </x:c>
      <x:c r="L101" s="33" t="str">
        <x:v>lung tissue samples of 114 individuals (66 individuals with ILD and 48 visualized the top two principal components of the median pseudob-</x:v>
      </x:c>
      <x:c r="M101" s="23" t="str">
        <x:v>pending</x:v>
      </x:c>
    </x:row>
    <x:row r="102">
      <x:c r="A102" s="26" t="n">
        <x:v>16</x:v>
      </x:c>
      <x:c r="B102" s="10" t="str">
        <x:v>DOI_10.1038_s41588-024-01702-0</x:v>
      </x:c>
      <x:c r="C102" s="10" t="str">
        <x:v>Cell-type-specific and disease-associated expression quantitative trait loci in the human lung.</x:v>
      </x:c>
      <x:c r="D102" s="10" t="str">
        <x:v>differential_expression</x:v>
      </x:c>
      <x:c r="E102" s="33" t="str">
        <x:v>positive indicates the common effect direction and negative indicates  showing a different direction or degree of effect in the two groups,</x:v>
      </x:c>
      <x:c r="F102" s="33" t="str">
        <x:v>DEG</x:v>
      </x:c>
      <x:c r="G102" s="33" t="str"/>
      <x:c r="H102" s="33" t="str"/>
      <x:c r="I102" s="33" t="str"/>
      <x:c r="J102" s="33" t="str"/>
      <x:c r="K102" s="33" t="str">
        <x:v>Markdown line 280</x:v>
      </x:c>
      <x:c r="L102" s="33" t="str">
        <x:v>positive indicates the common effect direction and negative indicates  showing a different direction or degree of effect in the two groups,</x:v>
      </x:c>
      <x:c r="M102" s="23" t="str">
        <x:v>pending</x:v>
      </x:c>
    </x:row>
    <x:row r="103">
      <x:c r="A103" s="26" t="n">
        <x:v>16</x:v>
      </x:c>
      <x:c r="B103" s="10" t="str">
        <x:v>DOI_10.1038_s41588-024-01702-0</x:v>
      </x:c>
      <x:c r="C103" s="10" t="str">
        <x:v>Cell-type-specific and disease-associated expression quantitative trait loci in the human lung.</x:v>
      </x:c>
      <x:c r="D103" s="10" t="str">
        <x:v>enrichment</x:v>
      </x:c>
      <x:c r="E103" s="33" t="str">
        <x:v>background. In the TFBS enrichment analysis of the int-eQTLs, the 55. gtex-resources. Google Cloud https://console.cloud.google.com/</x:v>
      </x:c>
      <x:c r="F103" s="33" t="str">
        <x:v>enrichment analysis</x:v>
      </x:c>
      <x:c r="G103" s="33" t="str"/>
      <x:c r="H103" s="33" t="str"/>
      <x:c r="I103" s="33" t="str"/>
      <x:c r="J103" s="33" t="str"/>
      <x:c r="K103" s="33" t="str">
        <x:v>Markdown line 978</x:v>
      </x:c>
      <x:c r="L103" s="33" t="str">
        <x:v>background. In the TFBS enrichment analysis of the int-eQTLs, the 55. gtex-resources. Google Cloud https://console.cloud.google.com/</x:v>
      </x:c>
      <x:c r="M103" s="23" t="str">
        <x:v>pending</x:v>
      </x:c>
    </x:row>
    <x:row r="104">
      <x:c r="A104" s="26" t="n">
        <x:v>16</x:v>
      </x:c>
      <x:c r="B104" s="10" t="str">
        <x:v>DOI_10.1038_s41588-024-01702-0</x:v>
      </x:c>
      <x:c r="C104" s="10" t="str">
        <x:v>Cell-type-specific and disease-associated expression quantitative trait loci in the human lung.</x:v>
      </x:c>
      <x:c r="D104" s="10" t="str">
        <x:v>abundance_proportion</x:v>
      </x:c>
      <x:c r="E104" s="33" t="str">
        <x:v>we analyzed the int-eQTLs associated with eGenes expressed equally addition to or instead of differential transcription factor abundance.</x:v>
      </x:c>
      <x:c r="F104" s="33" t="str">
        <x:v>abundance</x:v>
      </x:c>
      <x:c r="G104" s="33" t="str"/>
      <x:c r="H104" s="33" t="str"/>
      <x:c r="I104" s="33" t="str"/>
      <x:c r="J104" s="33" t="str"/>
      <x:c r="K104" s="33" t="str">
        <x:v>Markdown line 315</x:v>
      </x:c>
      <x:c r="L104" s="33" t="str">
        <x:v>we analyzed the int-eQTLs associated with eGenes expressed equally addition to or instead of differential transcription factor abundance.</x:v>
      </x:c>
      <x:c r="M104" s="23" t="str">
        <x:v>pending</x:v>
      </x:c>
    </x:row>
    <x:row r="105">
      <x:c r="A105" s="26" t="n">
        <x:v>16</x:v>
      </x:c>
      <x:c r="B105" s="10" t="str">
        <x:v>DOI_10.1038_s41588-024-01702-0</x:v>
      </x:c>
      <x:c r="C105" s="10" t="str">
        <x:v>Cell-type-specific and disease-associated expression quantitative trait loci in the human lung.</x:v>
      </x:c>
      <x:c r="D105" s="10" t="str">
        <x:v>multiple_testing</x:v>
      </x:c>
      <x:c r="E105" s="33" t="str">
        <x:v>role of cholesterol metabolism in immune functions18. Cluster 7, also  ferentially expressed (adjusted P &lt; 0.1) between ILD and unaffected</x:v>
      </x:c>
      <x:c r="F105" s="33" t="str">
        <x:v>adjusted p</x:v>
      </x:c>
      <x:c r="G105" s="33" t="str"/>
      <x:c r="H105" s="33" t="str"/>
      <x:c r="I105" s="33" t="str">
        <x:v>adjusted P &lt; 0</x:v>
      </x:c>
      <x:c r="J105" s="33" t="str">
        <x:v>role of cholesterol metabolism in immune functions18. Cluster 7, also  ferentially expressed (adjusted P &lt; 0.1) between ILD and unaffected</x:v>
      </x:c>
      <x:c r="K105" s="33" t="str">
        <x:v>Markdown line 298</x:v>
      </x:c>
      <x:c r="L105" s="33" t="str">
        <x:v>role of cholesterol metabolism in immune functions18. Cluster 7, also  ferentially expressed (adjusted P &lt; 0.1) between ILD and unaffected</x:v>
      </x:c>
      <x:c r="M105" s="23" t="str">
        <x:v>pending</x:v>
      </x:c>
    </x:row>
    <x:row r="106">
      <x:c r="A106" s="26" t="n">
        <x:v>16</x:v>
      </x:c>
      <x:c r="B106" s="10" t="str">
        <x:v>DOI_10.1038_s41588-024-01702-0</x:v>
      </x:c>
      <x:c r="C106" s="10" t="str">
        <x:v>Cell-type-specific and disease-associated expression quantitative trait loci in the human lung.</x:v>
      </x:c>
      <x:c r="D106" s="10" t="str">
        <x:v>software</x:v>
      </x:c>
      <x:c r="E106" s="33" t="str">
        <x:v>quality control using the Seurat package10 (Methods and Supplemen- from TxDb. Out of the 63% of sc-eQTL SNPs (eSNPs) that overlapped</x:v>
      </x:c>
      <x:c r="F106" s="33" t="str">
        <x:v>Seurat</x:v>
      </x:c>
      <x:c r="G106" s="33" t="str">
        <x:v>Seurat</x:v>
      </x:c>
      <x:c r="H106" s="33" t="str"/>
      <x:c r="I106" s="33" t="str"/>
      <x:c r="J106" s="33" t="str"/>
      <x:c r="K106" s="33" t="str">
        <x:v>Markdown line 96</x:v>
      </x:c>
      <x:c r="L106" s="33" t="str">
        <x:v>quality control using the Seurat package10 (Methods and Supplemen- from TxDb. Out of the 63% of sc-eQTL SNPs (eSNPs) that overlapped</x:v>
      </x:c>
      <x:c r="M106" s="23" t="str">
        <x:v>pending</x:v>
      </x:c>
    </x:row>
    <x:row r="107">
      <x:c r="A107" s="26" t="n">
        <x:v>17</x:v>
      </x:c>
      <x:c r="B107" s="10" t="str">
        <x:v>DOI_10.1038_s41586-021-03569-1</x:v>
      </x:c>
      <x:c r="C107" s="10" t="str">
        <x:v>A molecular single-cell lung atlas of lethal COVID-19.</x:v>
      </x:c>
      <x:c r="D107" s="10" t="str">
        <x:v>quality_control</x:v>
      </x:c>
      <x:c r="E107" s="33" t="str">
        <x:v>QC-passed (cid:315) seneG</x:v>
      </x:c>
      <x:c r="F107" s="33" t="str">
        <x:v>QC</x:v>
      </x:c>
      <x:c r="G107" s="33" t="str"/>
      <x:c r="H107" s="33" t="str"/>
      <x:c r="I107" s="33" t="str"/>
      <x:c r="J107" s="33" t="str"/>
      <x:c r="K107" s="33" t="str">
        <x:v>Markdown line 63</x:v>
      </x:c>
      <x:c r="L107" s="33" t="str">
        <x:v>QC-passed (cid:315) seneG</x:v>
      </x:c>
      <x:c r="M107" s="23" t="str">
        <x:v>pending</x:v>
      </x:c>
    </x:row>
    <x:row r="108">
      <x:c r="A108" s="26" t="n">
        <x:v>17</x:v>
      </x:c>
      <x:c r="B108" s="10" t="str">
        <x:v>DOI_10.1038_s41586-021-03569-1</x:v>
      </x:c>
      <x:c r="C108" s="10" t="str">
        <x:v>A molecular single-cell lung atlas of lethal COVID-19.</x:v>
      </x:c>
      <x:c r="D108" s="10" t="str">
        <x:v>normalization_integration</x:v>
      </x:c>
      <x:c r="E108" s="33" t="str">
        <x:v>percentiles; whiskers: most extreme points that do not exceed ±1.5 × IQR.  h, i, RNA expression (log-normalized) of GZMB (h) and MKI67 (i) in the same</x:v>
      </x:c>
      <x:c r="F108" s="33" t="str">
        <x:v>normalized</x:v>
      </x:c>
      <x:c r="G108" s="33" t="str"/>
      <x:c r="H108" s="33" t="str"/>
      <x:c r="I108" s="33" t="str"/>
      <x:c r="J108" s="33" t="str"/>
      <x:c r="K108" s="33" t="str">
        <x:v>Markdown line 205</x:v>
      </x:c>
      <x:c r="L108" s="33" t="str">
        <x:v>percentiles; whiskers: most extreme points that do not exceed ±1.5 × IQR.  h, i, RNA expression (log-normalized) of GZMB (h) and MKI67 (i) in the same</x:v>
      </x:c>
      <x:c r="M108" s="23" t="str">
        <x:v>pending</x:v>
      </x:c>
    </x:row>
    <x:row r="109">
      <x:c r="A109" s="26" t="n">
        <x:v>17</x:v>
      </x:c>
      <x:c r="B109" s="10" t="str">
        <x:v>DOI_10.1038_s41586-021-03569-1</x:v>
      </x:c>
      <x:c r="C109" s="10" t="str">
        <x:v>A molecular single-cell lung atlas of lethal COVID-19.</x:v>
      </x:c>
      <x:c r="D109" s="10" t="str">
        <x:v>dimension_reduction_clustering</x:v>
      </x:c>
      <x:c r="E109" s="33" t="str">
        <x:v>|     | UMAP 1 |     | UMAP 1 |     |     |</x:v>
      </x:c>
      <x:c r="F109" s="33" t="str">
        <x:v>UMAP</x:v>
      </x:c>
      <x:c r="G109" s="33" t="str"/>
      <x:c r="H109" s="33" t="str"/>
      <x:c r="I109" s="33" t="str"/>
      <x:c r="J109" s="33" t="str"/>
      <x:c r="K109" s="33" t="str">
        <x:v>Markdown line 111</x:v>
      </x:c>
      <x:c r="L109" s="33" t="str">
        <x:v>|     | UMAP 1 |     | UMAP 1 |     |     |</x:v>
      </x:c>
      <x:c r="M109" s="23" t="str">
        <x:v>pending</x:v>
      </x:c>
    </x:row>
    <x:row r="110">
      <x:c r="A110" s="26" t="n">
        <x:v>17</x:v>
      </x:c>
      <x:c r="B110" s="10" t="str">
        <x:v>DOI_10.1038_s41586-021-03569-1</x:v>
      </x:c>
      <x:c r="C110" s="10" t="str">
        <x:v>A molecular single-cell lung atlas of lethal COVID-19.</x:v>
      </x:c>
      <x:c r="D110" s="10" t="str">
        <x:v>differential_expression</x:v>
      </x:c>
      <x:c r="E110" s="33" t="str">
        <x:v>For example, MDMs in COVID-19 lungs differentially expressed genes  and only modest upregulation of cytokines and programs associated</x:v>
      </x:c>
      <x:c r="F110" s="33" t="str">
        <x:v>differentially expressed</x:v>
      </x:c>
      <x:c r="G110" s="33" t="str"/>
      <x:c r="H110" s="33" t="str"/>
      <x:c r="I110" s="33" t="str"/>
      <x:c r="J110" s="33" t="str"/>
      <x:c r="K110" s="33" t="str">
        <x:v>Markdown line 209</x:v>
      </x:c>
      <x:c r="L110" s="33" t="str">
        <x:v>For example, MDMs in COVID-19 lungs differentially expressed genes  and only modest upregulation of cytokines and programs associated</x:v>
      </x:c>
      <x:c r="M110" s="23" t="str">
        <x:v>pending</x:v>
      </x:c>
    </x:row>
    <x:row r="111">
      <x:c r="A111" s="26" t="n">
        <x:v>17</x:v>
      </x:c>
      <x:c r="B111" s="10" t="str">
        <x:v>DOI_10.1038_s41586-021-03569-1</x:v>
      </x:c>
      <x:c r="C111" s="10" t="str">
        <x:v>A molecular single-cell lung atlas of lethal COVID-19.</x:v>
      </x:c>
      <x:c r="D111" s="10" t="str">
        <x:v>enrichment</x:v>
      </x:c>
      <x:c r="E111" s="33" t="str">
        <x:v>main trajectory from AT2 to AT1 cells, while DATPs were primarily local- to the DATP cell state, and more generally, to the hyperinflammatory</x:v>
      </x:c>
      <x:c r="F111" s="33" t="str">
        <x:v>trajectory</x:v>
      </x:c>
      <x:c r="G111" s="33" t="str"/>
      <x:c r="H111" s="33" t="str"/>
      <x:c r="I111" s="33" t="str"/>
      <x:c r="J111" s="33" t="str"/>
      <x:c r="K111" s="33" t="str">
        <x:v>Markdown line 349</x:v>
      </x:c>
      <x:c r="L111" s="33" t="str">
        <x:v>main trajectory from AT2 to AT1 cells, while DATPs were primarily local- to the DATP cell state, and more generally, to the hyperinflammatory</x:v>
      </x:c>
      <x:c r="M111" s="23" t="str">
        <x:v>pending</x:v>
      </x:c>
    </x:row>
    <x:row r="112">
      <x:c r="A112" s="26" t="n">
        <x:v>17</x:v>
      </x:c>
      <x:c r="B112" s="10" t="str">
        <x:v>DOI_10.1038_s41586-021-03569-1</x:v>
      </x:c>
      <x:c r="C112" s="10" t="str">
        <x:v>A molecular single-cell lung atlas of lethal COVID-19.</x:v>
      </x:c>
      <x:c r="D112" s="10" t="str">
        <x:v>abundance_proportion</x:v>
      </x:c>
      <x:c r="E112" s="33" t="str">
        <x:v>found no significant increase in T cell abundances in COVID-19 lungs,</x:v>
      </x:c>
      <x:c r="F112" s="33" t="str">
        <x:v>abundance</x:v>
      </x:c>
      <x:c r="G112" s="33" t="str"/>
      <x:c r="H112" s="33" t="str"/>
      <x:c r="I112" s="33" t="str"/>
      <x:c r="J112" s="33" t="str"/>
      <x:c r="K112" s="33" t="str">
        <x:v>Markdown line 244</x:v>
      </x:c>
      <x:c r="L112" s="33" t="str">
        <x:v>found no significant increase in T cell abundances in COVID-19 lungs,</x:v>
      </x:c>
      <x:c r="M112" s="23" t="str">
        <x:v>pending</x:v>
      </x:c>
    </x:row>
    <x:row r="113">
      <x:c r="A113" s="26" t="n">
        <x:v>17</x:v>
      </x:c>
      <x:c r="B113" s="10" t="str">
        <x:v>DOI_10.1038_s41586-021-03569-1</x:v>
      </x:c>
      <x:c r="C113" s="10" t="str">
        <x:v>A molecular single-cell lung atlas of lethal COVID-19.</x:v>
      </x:c>
      <x:c r="D113" s="10" t="str">
        <x:v>multiple_testing</x:v>
      </x:c>
      <x:c r="E113" s="33" t="str">
        <x:v>Wilcoxon rank-sum test with Bonferroni correction. f, UMAP embedding of AT1  donors with different infectious aetiologies. Each dot represents</x:v>
      </x:c>
      <x:c r="F113" s="33" t="str">
        <x:v>Bonferroni</x:v>
      </x:c>
      <x:c r="G113" s="33" t="str"/>
      <x:c r="H113" s="33" t="str"/>
      <x:c r="I113" s="33" t="str"/>
      <x:c r="J113" s="33" t="str">
        <x:v>Wilcoxon rank-sum test with Bonferroni correction. f, UMAP embedding of AT1  donors with different infectious aetiologies. Each dot represents</x:v>
      </x:c>
      <x:c r="K113" s="33" t="str">
        <x:v>Markdown line 330</x:v>
      </x:c>
      <x:c r="L113" s="33" t="str">
        <x:v>Wilcoxon rank-sum test with Bonferroni correction. f, UMAP embedding of AT1  donors with different infectious aetiologies. Each dot represents</x:v>
      </x:c>
      <x:c r="M113" s="23" t="str">
        <x:v>pending</x:v>
      </x:c>
    </x:row>
    <x:row r="114">
      <x:c r="A114" s="26" t="n">
        <x:v>17</x:v>
      </x:c>
      <x:c r="B114" s="10" t="str">
        <x:v>DOI_10.1038_s41586-021-03569-1</x:v>
      </x:c>
      <x:c r="C114" s="10" t="str">
        <x:v>A molecular single-cell lung atlas of lethal COVID-19.</x:v>
      </x:c>
      <x:c r="D114" s="10" t="str">
        <x:v>software</x:v>
      </x:c>
      <x:c r="E114" s="33" t="str">
        <x:v>SARS-CoV-2 infection confirmed by reverse transcription polymerase Raw 3′ snRNA-seq data were demultiplexed using Cell Ranger (v5.0)</x:v>
      </x:c>
      <x:c r="F114" s="33" t="str">
        <x:v>Cell Ranger</x:v>
      </x:c>
      <x:c r="G114" s="33" t="str">
        <x:v>Cell Ranger</x:v>
      </x:c>
      <x:c r="H114" s="33" t="str"/>
      <x:c r="I114" s="33" t="str"/>
      <x:c r="J114" s="33" t="str"/>
      <x:c r="K114" s="33" t="str">
        <x:v>Markdown line 553</x:v>
      </x:c>
      <x:c r="L114" s="33" t="str">
        <x:v>SARS-CoV-2 infection confirmed by reverse transcription polymerase Raw 3′ snRNA-seq data were demultiplexed using Cell Ranger (v5.0)</x:v>
      </x:c>
      <x:c r="M114" s="23" t="str">
        <x:v>pending</x:v>
      </x:c>
    </x:row>
    <x:row r="115">
      <x:c r="A115" s="26" t="n">
        <x:v>18</x:v>
      </x:c>
      <x:c r="B115" s="10" t="str">
        <x:v>DOI_10.1016_j.stem.2022.11.013</x:v>
      </x:c>
      <x:c r="C115" s="10" t="str">
        <x:v>Organoid modeling of human fetal lung alveolar development reveals mechanisms of cell fate patterning and neonatal respiratory disease.</x:v>
      </x:c>
      <x:c r="D115" s="10" t="str">
        <x:v>normalization_integration</x:v>
      </x:c>
      <x:c r="E115" s="33" t="str">
        <x:v>(H)qRT-PCRofthefreshlypurifiedlungepithelialcellssortedfromthelate-stagelungs.DatanormalizedtofreshEPCAM+cellsfrom20pcwdistaltissues;mean±</x:v>
      </x:c>
      <x:c r="F115" s="33" t="str">
        <x:v>normalized</x:v>
      </x:c>
      <x:c r="G115" s="33" t="str"/>
      <x:c r="H115" s="33" t="str"/>
      <x:c r="I115" s="33" t="str"/>
      <x:c r="J115" s="33" t="str"/>
      <x:c r="K115" s="33" t="str">
        <x:v>Markdown line 146</x:v>
      </x:c>
      <x:c r="L115" s="33" t="str">
        <x:v>(H)qRT-PCRofthefreshlypurifiedlungepithelialcellssortedfromthelate-stagelungs.DatanormalizedtofreshEPCAM+cellsfrom20pcwdistaltissues;mean±</x:v>
      </x:c>
      <x:c r="M115" s="23" t="str">
        <x:v>pending</x:v>
      </x:c>
    </x:row>
    <x:row r="116">
      <x:c r="A116" s="26" t="n">
        <x:v>18</x:v>
      </x:c>
      <x:c r="B116" s="10" t="str">
        <x:v>DOI_10.1016_j.stem.2022.11.013</x:v>
      </x:c>
      <x:c r="C116" s="10" t="str">
        <x:v>Organoid modeling of human fetal lung alveolar development reveals mechanisms of cell fate patterning and neonatal respiratory disease.</x:v>
      </x:c>
      <x:c r="D116" s="10" t="str">
        <x:v>dimension_reduction_clustering</x:v>
      </x:c>
      <x:c r="E116" s="33" t="str">
        <x:v>clusterswereidentified,includingtip,stalk,airwayprogenitors, and S1G). Finally, the CD44(cid:3)CD36(cid:3) cells had higher levels of</x:v>
      </x:c>
      <x:c r="F116" s="33" t="str">
        <x:v>cluster</x:v>
      </x:c>
      <x:c r="G116" s="33" t="str"/>
      <x:c r="H116" s="33" t="str"/>
      <x:c r="I116" s="33" t="str"/>
      <x:c r="J116" s="33" t="str"/>
      <x:c r="K116" s="33" t="str">
        <x:v>Markdown line 104</x:v>
      </x:c>
      <x:c r="L116" s="33" t="str">
        <x:v>clusterswereidentified,includingtip,stalk,airwayprogenitors, and S1G). Finally, the CD44(cid:3)CD36(cid:3) cells had higher levels of</x:v>
      </x:c>
      <x:c r="M116" s="23" t="str">
        <x:v>pending</x:v>
      </x:c>
    </x:row>
    <x:row r="117">
      <x:c r="A117" s="26" t="n">
        <x:v>18</x:v>
      </x:c>
      <x:c r="B117" s="10" t="str">
        <x:v>DOI_10.1016_j.stem.2022.11.013</x:v>
      </x:c>
      <x:c r="C117" s="10" t="str">
        <x:v>Organoid modeling of human fetal lung alveolar development reveals mechanisms of cell fate patterning and neonatal respiratory disease.</x:v>
      </x:c>
      <x:c r="D117" s="10" t="str">
        <x:v>differential_expression</x:v>
      </x:c>
      <x:c r="E117" s="33" t="str">
        <x:v>(E) Volcano plot showing differentially expressed genes between LinPOS organoids (red) versus LinNEG</x:v>
      </x:c>
      <x:c r="F117" s="33" t="str">
        <x:v>differentially expressed</x:v>
      </x:c>
      <x:c r="G117" s="33" t="str"/>
      <x:c r="H117" s="33" t="str"/>
      <x:c r="I117" s="33" t="str"/>
      <x:c r="J117" s="33" t="str"/>
      <x:c r="K117" s="33" t="str">
        <x:v>Markdown line 1408</x:v>
      </x:c>
      <x:c r="L117" s="33" t="str">
        <x:v>(E) Volcano plot showing differentially expressed genes between LinPOS organoids (red) versus LinNEG</x:v>
      </x:c>
      <x:c r="M117" s="23" t="str">
        <x:v>pending</x:v>
      </x:c>
    </x:row>
    <x:row r="118">
      <x:c r="A118" s="26" t="n">
        <x:v>18</x:v>
      </x:c>
      <x:c r="B118" s="10" t="str">
        <x:v>DOI_10.1016_j.stem.2022.11.013</x:v>
      </x:c>
      <x:c r="C118" s="10" t="str">
        <x:v>Organoid modeling of human fetal lung alveolar development reveals mechanisms of cell fate patterning and neonatal respiratory disease.</x:v>
      </x:c>
      <x:c r="D118" s="10" t="str">
        <x:v>enrichment</x:v>
      </x:c>
      <x:c r="E118" s="33" t="str">
        <x:v>(B)Trajectoryheatmapshowingdifferentialmarkergeneexpressionamongearly,mid,andlate-stagetipcells.</x:v>
      </x:c>
      <x:c r="F118" s="33" t="str">
        <x:v>trajectory</x:v>
      </x:c>
      <x:c r="G118" s="33" t="str"/>
      <x:c r="H118" s="33" t="str"/>
      <x:c r="I118" s="33" t="str"/>
      <x:c r="J118" s="33" t="str"/>
      <x:c r="K118" s="33" t="str">
        <x:v>Markdown line 141</x:v>
      </x:c>
      <x:c r="L118" s="33" t="str">
        <x:v>(B)Trajectoryheatmapshowingdifferentialmarkergeneexpressionamongearly,mid,andlate-stagetipcells.</x:v>
      </x:c>
      <x:c r="M118" s="23" t="str">
        <x:v>pending</x:v>
      </x:c>
    </x:row>
    <x:row r="119">
      <x:c r="A119" s="26" t="n">
        <x:v>18</x:v>
      </x:c>
      <x:c r="B119" s="10" t="str">
        <x:v>DOI_10.1016_j.stem.2022.11.013</x:v>
      </x:c>
      <x:c r="C119" s="10" t="str">
        <x:v>Organoid modeling of human fetal lung alveolar development reveals mechanisms of cell fate patterning and neonatal respiratory disease.</x:v>
      </x:c>
      <x:c r="D119" s="10" t="str">
        <x:v>multiple_testing</x:v>
      </x:c>
      <x:c r="E119" s="33" t="str">
        <x:v>DISCUSSION WedemonstratethatNKX2.1isakeyupstreamTFdrivingthe</x:v>
      </x:c>
      <x:c r="F119" s="33" t="str">
        <x:v>FDR</x:v>
      </x:c>
      <x:c r="G119" s="33" t="str"/>
      <x:c r="H119" s="33" t="str"/>
      <x:c r="I119" s="33" t="str">
        <x:v>Fdrivingthe</x:v>
      </x:c>
      <x:c r="J119" s="33" t="str">
        <x:v>DISCUSSION WedemonstratethatNKX2.1isakeyupstreamTFdrivingthe</x:v>
      </x:c>
      <x:c r="K119" s="33" t="str">
        <x:v>Markdown line 532</x:v>
      </x:c>
      <x:c r="L119" s="33" t="str">
        <x:v>DISCUSSION WedemonstratethatNKX2.1isakeyupstreamTFdrivingthe</x:v>
      </x:c>
      <x:c r="M119" s="23" t="str">
        <x:v>pending</x:v>
      </x:c>
    </x:row>
    <x:row r="120">
      <x:c r="A120" s="26" t="n">
        <x:v>18</x:v>
      </x:c>
      <x:c r="B120" s="10" t="str">
        <x:v>DOI_10.1016_j.stem.2022.11.013</x:v>
      </x:c>
      <x:c r="C120" s="10" t="str">
        <x:v>Organoid modeling of human fetal lung alveolar development reveals mechanisms of cell fate patterning and neonatal respiratory disease.</x:v>
      </x:c>
      <x:c r="D120" s="10" t="str">
        <x:v>software</x:v>
      </x:c>
      <x:c r="E120" s="33" t="str">
        <x:v>48.Wolf,F.A.,Angerer,P.,andTheis,F.J.(2018).SCANPY:large-scalesingle-</x:v>
      </x:c>
      <x:c r="F120" s="33" t="str">
        <x:v>Scanpy</x:v>
      </x:c>
      <x:c r="G120" s="33" t="str">
        <x:v>Scanpy</x:v>
      </x:c>
      <x:c r="H120" s="33" t="str"/>
      <x:c r="I120" s="33" t="str"/>
      <x:c r="J120" s="33" t="str"/>
      <x:c r="K120" s="33" t="str">
        <x:v>Markdown line 799</x:v>
      </x:c>
      <x:c r="L120" s="33" t="str">
        <x:v>48.Wolf,F.A.,Angerer,P.,andTheis,F.J.(2018).SCANPY:large-scalesingle-</x:v>
      </x:c>
      <x:c r="M120" s="23" t="str">
        <x:v>pending</x:v>
      </x:c>
    </x:row>
    <x:row r="121">
      <x:c r="A121" s="26" t="n">
        <x:v>20</x:v>
      </x:c>
      <x:c r="B121" s="10" t="str">
        <x:v>DOI_10.1016_j.cell.2021.07.023</x:v>
      </x:c>
      <x:c r="C121" s="10" t="str">
        <x:v>Impaired local intrinsic immunity to SARS-CoV-2 infection in severe COVID-19.</x:v>
      </x:c>
      <x:c r="D121" s="10" t="str">
        <x:v>quality_control</x:v>
      </x:c>
      <x:c r="E121" s="33" t="str">
        <x:v>B Data Preprocessing and Quality Control</x:v>
      </x:c>
      <x:c r="F121" s="33" t="str">
        <x:v>quality control</x:v>
      </x:c>
      <x:c r="G121" s="33" t="str"/>
      <x:c r="H121" s="33" t="str"/>
      <x:c r="I121" s="33" t="str"/>
      <x:c r="J121" s="33" t="str"/>
      <x:c r="K121" s="33" t="str">
        <x:v>Markdown line 1442</x:v>
      </x:c>
      <x:c r="L121" s="33" t="str">
        <x:v>B Data Preprocessing and Quality Control</x:v>
      </x:c>
      <x:c r="M121" s="23" t="str">
        <x:v>pending</x:v>
      </x:c>
    </x:row>
    <x:row r="122">
      <x:c r="A122" s="26" t="n">
        <x:v>20</x:v>
      </x:c>
      <x:c r="B122" s="10" t="str">
        <x:v>DOI_10.1016_j.cell.2021.07.023</x:v>
      </x:c>
      <x:c r="C122" s="10" t="str">
        <x:v>Impaired local intrinsic immunity to SARS-CoV-2 infection in severe COVID-19.</x:v>
      </x:c>
      <x:c r="D122" s="10" t="str">
        <x:v>normalization_integration</x:v>
      </x:c>
      <x:c r="E122" s="33" t="str">
        <x:v>(J) Proportion of secretory cell subtypes by sample, normalized to all epithelial cells. Statistical test above graph represents Kruskal-Wallis test results across all</x:v>
      </x:c>
      <x:c r="F122" s="33" t="str">
        <x:v>normalized</x:v>
      </x:c>
      <x:c r="G122" s="33" t="str"/>
      <x:c r="H122" s="33" t="str"/>
      <x:c r="I122" s="33" t="str"/>
      <x:c r="J122" s="33" t="str"/>
      <x:c r="K122" s="33" t="str">
        <x:v>Markdown line 600</x:v>
      </x:c>
      <x:c r="L122" s="33" t="str">
        <x:v>(J) Proportion of secretory cell subtypes by sample, normalized to all epithelial cells. Statistical test above graph represents Kruskal-Wallis test results across all</x:v>
      </x:c>
      <x:c r="M122" s="23" t="str">
        <x:v>pending</x:v>
      </x:c>
    </x:row>
    <x:row r="123">
      <x:c r="A123" s="26" t="n">
        <x:v>20</x:v>
      </x:c>
      <x:c r="B123" s="10" t="str">
        <x:v>DOI_10.1016_j.cell.2021.07.023</x:v>
      </x:c>
      <x:c r="C123" s="10" t="str">
        <x:v>Impaired local intrinsic immunity to SARS-CoV-2 infection in severe COVID-19.</x:v>
      </x:c>
      <x:c r="D123" s="10" t="str">
        <x:v>dimension_reduction_clustering</x:v>
      </x:c>
      <x:c r="E123" s="33" t="str">
        <x:v>control) and annotated 18 clusters corresponding to distinct</x:v>
      </x:c>
      <x:c r="F123" s="33" t="str">
        <x:v>cluster</x:v>
      </x:c>
      <x:c r="G123" s="33" t="str"/>
      <x:c r="H123" s="33" t="str"/>
      <x:c r="I123" s="33" t="str"/>
      <x:c r="J123" s="33" t="str"/>
      <x:c r="K123" s="33" t="str">
        <x:v>Markdown line 236</x:v>
      </x:c>
      <x:c r="L123" s="33" t="str">
        <x:v>control) and annotated 18 clusters corresponding to distinct</x:v>
      </x:c>
      <x:c r="M123" s="23" t="str">
        <x:v>pending</x:v>
      </x:c>
    </x:row>
    <x:row r="124">
      <x:c r="A124" s="26" t="n">
        <x:v>20</x:v>
      </x:c>
      <x:c r="B124" s="10" t="str">
        <x:v>DOI_10.1016_j.cell.2021.07.023</x:v>
      </x:c>
      <x:c r="C124" s="10" t="str">
        <x:v>Impaired local intrinsic immunity to SARS-CoV-2 infection in severe COVID-19.</x:v>
      </x:c>
      <x:c r="D124" s="10" t="str">
        <x:v>differential_expression</x:v>
      </x:c>
      <x:c r="E124" s="33" t="str">
        <x:v>differential expression (DE) tests between control WHO 0,</x:v>
      </x:c>
      <x:c r="F124" s="33" t="str">
        <x:v>differential expression</x:v>
      </x:c>
      <x:c r="G124" s="33" t="str"/>
      <x:c r="H124" s="33" t="str"/>
      <x:c r="I124" s="33" t="str"/>
      <x:c r="J124" s="33" t="str"/>
      <x:c r="K124" s="33" t="str">
        <x:v>Markdown line 681</x:v>
      </x:c>
      <x:c r="L124" s="33" t="str">
        <x:v>differential expression (DE) tests between control WHO 0,</x:v>
      </x:c>
      <x:c r="M124" s="23" t="str">
        <x:v>pending</x:v>
      </x:c>
    </x:row>
    <x:row r="125">
      <x:c r="A125" s="26" t="n">
        <x:v>20</x:v>
      </x:c>
      <x:c r="B125" s="10" t="str">
        <x:v>DOI_10.1016_j.cell.2021.07.023</x:v>
      </x:c>
      <x:c r="C125" s="10" t="str">
        <x:v>Impaired local intrinsic immunity to SARS-CoV-2 infection in severe COVID-19.</x:v>
      </x:c>
      <x:c r="D125" s="10" t="str">
        <x:v>enrichment</x:v>
      </x:c>
      <x:c r="E125" s="33" t="str">
        <x:v>applied single-cell RNA velocity (scVelo), which leverages RNA</x:v>
      </x:c>
      <x:c r="F125" s="33" t="str">
        <x:v>RNA velocity</x:v>
      </x:c>
      <x:c r="G125" s="33" t="str"/>
      <x:c r="H125" s="33" t="str"/>
      <x:c r="I125" s="33" t="str"/>
      <x:c r="J125" s="33" t="str"/>
      <x:c r="K125" s="33" t="str">
        <x:v>Markdown line 525</x:v>
      </x:c>
      <x:c r="L125" s="33" t="str">
        <x:v>applied single-cell RNA velocity (scVelo), which leverages RNA</x:v>
      </x:c>
      <x:c r="M125" s="23" t="str">
        <x:v>pending</x:v>
      </x:c>
    </x:row>
    <x:row r="126">
      <x:c r="A126" s="26" t="n">
        <x:v>20</x:v>
      </x:c>
      <x:c r="B126" s="10" t="str">
        <x:v>DOI_10.1016_j.cell.2021.07.023</x:v>
      </x:c>
      <x:c r="C126" s="10" t="str">
        <x:v>Impaired local intrinsic immunity to SARS-CoV-2 infection in severe COVID-19.</x:v>
      </x:c>
      <x:c r="D126" s="10" t="str">
        <x:v>abundance_proportion</x:v>
      </x:c>
      <x:c r="E126" s="33" t="str">
        <x:v>Continuous variables were compared by Kruskal-Wallis test. Categorical variables were compared by chi-square test. ***p &lt; 0.001, *p &lt; 0.05, other-</x:v>
      </x:c>
      <x:c r="F126" s="33" t="str">
        <x:v>chi-square</x:v>
      </x:c>
      <x:c r="G126" s="33" t="str"/>
      <x:c r="H126" s="33" t="str"/>
      <x:c r="I126" s="33" t="str"/>
      <x:c r="J126" s="33" t="str"/>
      <x:c r="K126" s="33" t="str">
        <x:v>Markdown line 408</x:v>
      </x:c>
      <x:c r="L126" s="33" t="str">
        <x:v>Continuous variables were compared by Kruskal-Wallis test. Categorical variables were compared by chi-square test. ***p &lt; 0.001, *p &lt; 0.05, other-</x:v>
      </x:c>
      <x:c r="M126" s="23" t="str">
        <x:v>pending</x:v>
      </x:c>
    </x:row>
    <x:row r="127">
      <x:c r="A127" s="26" t="n">
        <x:v>20</x:v>
      </x:c>
      <x:c r="B127" s="10" t="str">
        <x:v>DOI_10.1016_j.cell.2021.07.023</x:v>
      </x:c>
      <x:c r="C127" s="10" t="str">
        <x:v>Impaired local intrinsic immunity to SARS-CoV-2 infection in severe COVID-19.</x:v>
      </x:c>
      <x:c r="D127" s="10" t="str">
        <x:v>multiple_testing</x:v>
      </x:c>
      <x:c r="E127" s="33" t="str">
        <x:v>(F) Violin plots of cluster marker genes (FDR &lt; 0.01) for coarse cell type annotations (as in B).</x:v>
      </x:c>
      <x:c r="F127" s="33" t="str">
        <x:v>FDR</x:v>
      </x:c>
      <x:c r="G127" s="33" t="str"/>
      <x:c r="H127" s="33" t="str"/>
      <x:c r="I127" s="33" t="str">
        <x:v>FDR &lt; 0</x:v>
      </x:c>
      <x:c r="J127" s="33" t="str">
        <x:v>(F) Violin plots of cluster marker genes (FDR &lt; 0.01) for coarse cell type annotations (as in B).</x:v>
      </x:c>
      <x:c r="K127" s="33" t="str">
        <x:v>Markdown line 436</x:v>
      </x:c>
      <x:c r="L127" s="33" t="str">
        <x:v>(F) Violin plots of cluster marker genes (FDR &lt; 0.01) for coarse cell type annotations (as in B).</x:v>
      </x:c>
      <x:c r="M127" s="23" t="str">
        <x:v>pending</x:v>
      </x:c>
    </x:row>
    <x:row r="128">
      <x:c r="A128" s="26" t="n">
        <x:v>20</x:v>
      </x:c>
      <x:c r="B128" s="10" t="str">
        <x:v>DOI_10.1016_j.cell.2021.07.023</x:v>
      </x:c>
      <x:c r="C128" s="10" t="str">
        <x:v>Impaired local intrinsic immunity to SARS-CoV-2 infection in severe COVID-19.</x:v>
      </x:c>
      <x:c r="D128" s="10" t="str">
        <x:v>software</x:v>
      </x:c>
      <x:c r="E128" s="33" t="str">
        <x:v>applied single-cell RNA velocity (scVelo), which leverages RNA</x:v>
      </x:c>
      <x:c r="F128" s="33" t="str">
        <x:v>scVelo</x:v>
      </x:c>
      <x:c r="G128" s="33" t="str">
        <x:v>scVelo</x:v>
      </x:c>
      <x:c r="H128" s="33" t="str"/>
      <x:c r="I128" s="33" t="str"/>
      <x:c r="J128" s="33" t="str"/>
      <x:c r="K128" s="33" t="str">
        <x:v>Markdown line 525</x:v>
      </x:c>
      <x:c r="L128" s="33" t="str">
        <x:v>applied single-cell RNA velocity (scVelo), which leverages RNA</x:v>
      </x:c>
      <x:c r="M128" s="23" t="str">
        <x:v>pending</x:v>
      </x:c>
    </x:row>
    <x:row r="129">
      <x:c r="A129" s="26" t="n">
        <x:v>21</x:v>
      </x:c>
      <x:c r="B129" s="10" t="str">
        <x:v>DOI_10.64898_2025.12.18.695268</x:v>
      </x:c>
      <x:c r="C129" s="10" t="str">
        <x:v>A poly(A) isoform–aware single-cell and spatial atlas defines fibroblast niches in the human bladder</x:v>
      </x:c>
      <x:c r="D129" s="10" t="str">
        <x:v>quality_control</x:v>
      </x:c>
      <x:c r="E129" s="33" t="str">
        <x:v>organ donors and processed immediately after procurement. After quality control, 74,694 high-</x:v>
      </x:c>
      <x:c r="F129" s="33" t="str">
        <x:v>quality control</x:v>
      </x:c>
      <x:c r="G129" s="33" t="str"/>
      <x:c r="H129" s="33" t="str"/>
      <x:c r="I129" s="33" t="str"/>
      <x:c r="J129" s="33" t="str"/>
      <x:c r="K129" s="33" t="str">
        <x:v>Markdown line 151</x:v>
      </x:c>
      <x:c r="L129" s="33" t="str">
        <x:v>organ donors and processed immediately after procurement. After quality control, 74,694 high-</x:v>
      </x:c>
      <x:c r="M129" s="23" t="str">
        <x:v>pending</x:v>
      </x:c>
    </x:row>
    <x:row r="130">
      <x:c r="A130" s="26" t="n">
        <x:v>21</x:v>
      </x:c>
      <x:c r="B130" s="10" t="str">
        <x:v>DOI_10.64898_2025.12.18.695268</x:v>
      </x:c>
      <x:c r="C130" s="10" t="str">
        <x:v>A poly(A) isoform–aware single-cell and spatial atlas defines fibroblast niches in the human bladder</x:v>
      </x:c>
      <x:c r="D130" s="10" t="str">
        <x:v>normalization_integration</x:v>
      </x:c>
      <x:c r="E130" s="33" t="str">
        <x:v>annotation, cross-study integration, and analyses of bladder physiology and disease.</x:v>
      </x:c>
      <x:c r="F130" s="33" t="str">
        <x:v>integration</x:v>
      </x:c>
      <x:c r="G130" s="33" t="str"/>
      <x:c r="H130" s="33" t="str"/>
      <x:c r="I130" s="33" t="str"/>
      <x:c r="J130" s="33" t="str"/>
      <x:c r="K130" s="33" t="str">
        <x:v>Markdown line 72</x:v>
      </x:c>
      <x:c r="L130" s="33" t="str">
        <x:v>annotation, cross-study integration, and analyses of bladder physiology and disease.</x:v>
      </x:c>
      <x:c r="M130" s="23" t="str">
        <x:v>pending</x:v>
      </x:c>
    </x:row>
    <x:row r="131">
      <x:c r="A131" s="26" t="n">
        <x:v>21</x:v>
      </x:c>
      <x:c r="B131" s="10" t="str">
        <x:v>DOI_10.64898_2025.12.18.695268</x:v>
      </x:c>
      <x:c r="C131" s="10" t="str">
        <x:v>A poly(A) isoform–aware single-cell and spatial atlas defines fibroblast niches in the human bladder</x:v>
      </x:c>
      <x:c r="D131" s="10" t="str">
        <x:v>dimension_reduction_clustering</x:v>
      </x:c>
      <x:c r="E131" s="33" t="str">
        <x:v>quality nuclei were retained across all regions (Fig. 1A; table S1). Unsupervised clustering</x:v>
      </x:c>
      <x:c r="F131" s="33" t="str">
        <x:v>clustering</x:v>
      </x:c>
      <x:c r="G131" s="33" t="str"/>
      <x:c r="H131" s="33" t="str"/>
      <x:c r="I131" s="33" t="str"/>
      <x:c r="J131" s="33" t="str"/>
      <x:c r="K131" s="33" t="str">
        <x:v>Markdown line 152</x:v>
      </x:c>
      <x:c r="L131" s="33" t="str">
        <x:v>quality nuclei were retained across all regions (Fig. 1A; table S1). Unsupervised clustering</x:v>
      </x:c>
      <x:c r="M131" s="23" t="str">
        <x:v>pending</x:v>
      </x:c>
    </x:row>
    <x:row r="132">
      <x:c r="A132" s="26" t="n">
        <x:v>21</x:v>
      </x:c>
      <x:c r="B132" s="10" t="str">
        <x:v>DOI_10.64898_2025.12.18.695268</x:v>
      </x:c>
      <x:c r="C132" s="10" t="str">
        <x:v>A poly(A) isoform–aware single-cell and spatial atlas defines fibroblast niches in the human bladder</x:v>
      </x:c>
      <x:c r="D132" s="10" t="str">
        <x:v>differential_expression</x:v>
      </x:c>
      <x:c r="E132" s="33" t="str">
        <x:v>DEG; Fig. 2E, bottom). Across all comparisons, APA differences were more frequent between</x:v>
      </x:c>
      <x:c r="F132" s="33" t="str">
        <x:v>DEG</x:v>
      </x:c>
      <x:c r="G132" s="33" t="str"/>
      <x:c r="H132" s="33" t="str"/>
      <x:c r="I132" s="33" t="str"/>
      <x:c r="J132" s="33" t="str"/>
      <x:c r="K132" s="33" t="str">
        <x:v>Markdown line 261</x:v>
      </x:c>
      <x:c r="L132" s="33" t="str">
        <x:v>DEG; Fig. 2E, bottom). Across all comparisons, APA differences were more frequent between</x:v>
      </x:c>
      <x:c r="M132" s="23" t="str">
        <x:v>pending</x:v>
      </x:c>
    </x:row>
    <x:row r="133">
      <x:c r="A133" s="26" t="n">
        <x:v>21</x:v>
      </x:c>
      <x:c r="B133" s="10" t="str">
        <x:v>DOI_10.64898_2025.12.18.695268</x:v>
      </x:c>
      <x:c r="C133" s="10" t="str">
        <x:v>A poly(A) isoform–aware single-cell and spatial atlas defines fibroblast niches in the human bladder</x:v>
      </x:c>
      <x:c r="D133" s="10" t="str">
        <x:v>enrichment</x:v>
      </x:c>
      <x:c r="E133" s="33" t="str">
        <x:v>0 (HHIP+/PTCH1+), consistent with known ligand-receptor distributions in this signaling</x:v>
      </x:c>
      <x:c r="F133" s="33" t="str">
        <x:v>ligand-receptor</x:v>
      </x:c>
      <x:c r="G133" s="33" t="str"/>
      <x:c r="H133" s="33" t="str"/>
      <x:c r="I133" s="33" t="str"/>
      <x:c r="J133" s="33" t="str"/>
      <x:c r="K133" s="33" t="str">
        <x:v>Markdown line 298</x:v>
      </x:c>
      <x:c r="L133" s="33" t="str">
        <x:v>0 (HHIP+/PTCH1+), consistent with known ligand-receptor distributions in this signaling</x:v>
      </x:c>
      <x:c r="M133" s="23" t="str">
        <x:v>pending</x:v>
      </x:c>
    </x:row>
    <x:row r="134">
      <x:c r="A134" s="26" t="n">
        <x:v>21</x:v>
      </x:c>
      <x:c r="B134" s="10" t="str">
        <x:v>DOI_10.64898_2025.12.18.695268</x:v>
      </x:c>
      <x:c r="C134" s="10" t="str">
        <x:v>A poly(A) isoform–aware single-cell and spatial atlas defines fibroblast niches in the human bladder</x:v>
      </x:c>
      <x:c r="D134" s="10" t="str">
        <x:v>abundance_proportion</x:v>
      </x:c>
      <x:c r="E134" s="33" t="str">
        <x:v>monocytes due to low abundance), comprising 23,489 isoforms from 15,793 genes (table S3).</x:v>
      </x:c>
      <x:c r="F134" s="33" t="str">
        <x:v>abundance</x:v>
      </x:c>
      <x:c r="G134" s="33" t="str"/>
      <x:c r="H134" s="33" t="str"/>
      <x:c r="I134" s="33" t="str"/>
      <x:c r="J134" s="33" t="str"/>
      <x:c r="K134" s="33" t="str">
        <x:v>Markdown line 210</x:v>
      </x:c>
      <x:c r="L134" s="33" t="str">
        <x:v>monocytes due to low abundance), comprising 23,489 isoforms from 15,793 genes (table S3).</x:v>
      </x:c>
      <x:c r="M134" s="23" t="str">
        <x:v>pending</x:v>
      </x:c>
    </x:row>
    <x:row r="135">
      <x:c r="A135" s="26" t="n">
        <x:v>21</x:v>
      </x:c>
      <x:c r="B135" s="10" t="str">
        <x:v>DOI_10.64898_2025.12.18.695268</x:v>
      </x:c>
      <x:c r="C135" s="10" t="str">
        <x:v>A poly(A) isoform–aware single-cell and spatial atlas defines fibroblast niches in the human bladder</x:v>
      </x:c>
      <x:c r="D135" s="10" t="str">
        <x:v>multiple_testing</x:v>
      </x:c>
      <x:c r="E135" s="33" t="str">
        <x:v>completed proportion tests using scProportionTest with false discovery correction for multiple</x:v>
      </x:c>
      <x:c r="F135" s="33" t="str">
        <x:v>false discovery</x:v>
      </x:c>
      <x:c r="G135" s="33" t="str"/>
      <x:c r="H135" s="33" t="str"/>
      <x:c r="I135" s="33" t="str"/>
      <x:c r="J135" s="33" t="str">
        <x:v>completed proportion tests using scProportionTest with false discovery correction for multiple</x:v>
      </x:c>
      <x:c r="K135" s="33" t="str">
        <x:v>Markdown line 1490</x:v>
      </x:c>
      <x:c r="L135" s="33" t="str">
        <x:v>completed proportion tests using scProportionTest with false discovery correction for multiple</x:v>
      </x:c>
      <x:c r="M135" s="23" t="str">
        <x:v>pending</x:v>
      </x:c>
    </x:row>
    <x:row r="136">
      <x:c r="A136" s="26" t="n">
        <x:v>21</x:v>
      </x:c>
      <x:c r="B136" s="10" t="str">
        <x:v>DOI_10.64898_2025.12.18.695268</x:v>
      </x:c>
      <x:c r="C136" s="10" t="str">
        <x:v>A poly(A) isoform–aware single-cell and spatial atlas defines fibroblast niches in the human bladder</x:v>
      </x:c>
      <x:c r="D136" s="10" t="str">
        <x:v>software</x:v>
      </x:c>
      <x:c r="E136" s="33" t="str">
        <x:v>Seurat object and performed multimodal clustering. This analysis resolved nine fibroblast</x:v>
      </x:c>
      <x:c r="F136" s="33" t="str">
        <x:v>Seurat</x:v>
      </x:c>
      <x:c r="G136" s="33" t="str">
        <x:v>Seurat</x:v>
      </x:c>
      <x:c r="H136" s="33" t="str"/>
      <x:c r="I136" s="33" t="str"/>
      <x:c r="J136" s="33" t="str"/>
      <x:c r="K136" s="33" t="str">
        <x:v>Markdown line 479</x:v>
      </x:c>
      <x:c r="L136" s="33" t="str">
        <x:v>Seurat object and performed multimodal clustering. This analysis resolved nine fibroblast</x:v>
      </x:c>
      <x:c r="M136" s="23" t="str">
        <x:v>pending</x:v>
      </x:c>
    </x:row>
    <x:row r="137">
      <x:c r="A137" s="26" t="n">
        <x:v>22</x:v>
      </x:c>
      <x:c r="B137" s="10" t="str">
        <x:v>DOI_10.1126_science.aat5031</x:v>
      </x:c>
      <x:c r="C137" s="10" t="str">
        <x:v>Spatiotemporal immune zonation of the human kidney.</x:v>
      </x:c>
      <x:c r="D137" s="10" t="str">
        <x:v>quality_control</x:v>
      </x:c>
      <x:c r="E137" s="33" t="str">
        <x:v>droplets from mature kidneys, yielding 40,268 cells following rigorous quality control, as</x:v>
      </x:c>
      <x:c r="F137" s="33" t="str">
        <x:v>quality control</x:v>
      </x:c>
      <x:c r="G137" s="33" t="str"/>
      <x:c r="H137" s="33" t="str"/>
      <x:c r="I137" s="33" t="str"/>
      <x:c r="J137" s="33" t="str"/>
      <x:c r="K137" s="33" t="str">
        <x:v>Markdown line 245; section These authors contributed equally to this work.</x:v>
      </x:c>
      <x:c r="L137" s="33" t="str">
        <x:v>droplets from mature kidneys, yielding 40,268 cells following rigorous quality control, as</x:v>
      </x:c>
      <x:c r="M137" s="23" t="str">
        <x:v>pending</x:v>
      </x:c>
    </x:row>
    <x:row r="138">
      <x:c r="A138" s="26" t="n">
        <x:v>22</x:v>
      </x:c>
      <x:c r="B138" s="10" t="str">
        <x:v>DOI_10.1126_science.aat5031</x:v>
      </x:c>
      <x:c r="C138" s="10" t="str">
        <x:v>Spatiotemporal immune zonation of the human kidney.</x:v>
      </x:c>
      <x:c r="D138" s="10" t="str">
        <x:v>normalization_integration</x:v>
      </x:c>
      <x:c r="E138" s="33" t="str">
        <x:v>29. McCarthy DJ, Campbell KR, Lun A, W Q. Scater: pre-processing, quality control, normalization</x:v>
      </x:c>
      <x:c r="F138" s="33" t="str">
        <x:v>normalization</x:v>
      </x:c>
      <x:c r="G138" s="33" t="str"/>
      <x:c r="H138" s="33" t="str"/>
      <x:c r="I138" s="33" t="str"/>
      <x:c r="J138" s="33" t="str"/>
      <x:c r="K138" s="33" t="str">
        <x:v>Markdown line 1154; section These authors contributed equally to this work.</x:v>
      </x:c>
      <x:c r="L138" s="33" t="str">
        <x:v>29. McCarthy DJ, Campbell KR, Lun A, W Q. Scater: pre-processing, quality control, normalization</x:v>
      </x:c>
      <x:c r="M138" s="23" t="str">
        <x:v>pending</x:v>
      </x:c>
    </x:row>
    <x:row r="139">
      <x:c r="A139" s="26" t="n">
        <x:v>22</x:v>
      </x:c>
      <x:c r="B139" s="10" t="str">
        <x:v>DOI_10.1126_science.aat5031</x:v>
      </x:c>
      <x:c r="C139" s="10" t="str">
        <x:v>Spatiotemporal immune zonation of the human kidney.</x:v>
      </x:c>
      <x:c r="D139" s="10" t="str">
        <x:v>dimension_reduction_clustering</x:v>
      </x:c>
      <x:c r="E139" s="33" t="str">
        <x:v>component analysis and identified clusters that were manually curated into four major</x:v>
      </x:c>
      <x:c r="F139" s="33" t="str">
        <x:v>cluster</x:v>
      </x:c>
      <x:c r="G139" s="33" t="str"/>
      <x:c r="H139" s="33" t="str"/>
      <x:c r="I139" s="33" t="str"/>
      <x:c r="J139" s="33" t="str"/>
      <x:c r="K139" s="33" t="str">
        <x:v>Markdown line 247; section These authors contributed equally to this work.</x:v>
      </x:c>
      <x:c r="L139" s="33" t="str">
        <x:v>component analysis and identified clusters that were manually curated into four major</x:v>
      </x:c>
      <x:c r="M139" s="23" t="str">
        <x:v>pending</x:v>
      </x:c>
    </x:row>
    <x:row r="140">
      <x:c r="A140" s="26" t="n">
        <x:v>22</x:v>
      </x:c>
      <x:c r="B140" s="10" t="str">
        <x:v>DOI_10.1126_science.aat5031</x:v>
      </x:c>
      <x:c r="C140" s="10" t="str">
        <x:v>Spatiotemporal immune zonation of the human kidney.</x:v>
      </x:c>
      <x:c r="D140" s="10" t="str">
        <x:v>differential_expression</x:v>
      </x:c>
      <x:c r="E140" s="33" t="str">
        <x:v>To validate the differential expression and functional significance of these AMPs in kidney</x:v>
      </x:c>
      <x:c r="F140" s="33" t="str">
        <x:v>differential expression</x:v>
      </x:c>
      <x:c r="G140" s="33" t="str"/>
      <x:c r="H140" s="33" t="str"/>
      <x:c r="I140" s="33" t="str"/>
      <x:c r="J140" s="33" t="str"/>
      <x:c r="K140" s="33" t="str">
        <x:v>Markdown line 469; section These authors contributed equally to this work.</x:v>
      </x:c>
      <x:c r="L140" s="33" t="str">
        <x:v>To validate the differential expression and functional significance of these AMPs in kidney</x:v>
      </x:c>
      <x:c r="M140" s="23" t="str">
        <x:v>pending</x:v>
      </x:c>
    </x:row>
    <x:row r="141">
      <x:c r="A141" s="26" t="n">
        <x:v>22</x:v>
      </x:c>
      <x:c r="B141" s="10" t="str">
        <x:v>DOI_10.1126_science.aat5031</x:v>
      </x:c>
      <x:c r="C141" s="10" t="str">
        <x:v>Spatiotemporal immune zonation of the human kidney.</x:v>
      </x:c>
      <x:c r="D141" s="10" t="str">
        <x:v>enrichment</x:v>
      </x:c>
      <x:c r="E141" s="33" t="str">
        <x:v>clusters expressed MRC1, C1QC, CD163, and MAF (Figs. 3C, S16D). Trajectory analysis</x:v>
      </x:c>
      <x:c r="F141" s="33" t="str">
        <x:v>trajectory</x:v>
      </x:c>
      <x:c r="G141" s="33" t="str"/>
      <x:c r="H141" s="33" t="str"/>
      <x:c r="I141" s="33" t="str"/>
      <x:c r="J141" s="33" t="str"/>
      <x:c r="K141" s="33" t="str">
        <x:v>Markdown line 707; section These authors contributed equally to this work.</x:v>
      </x:c>
      <x:c r="L141" s="33" t="str">
        <x:v>clusters expressed MRC1, C1QC, CD163, and MAF (Figs. 3C, S16D). Trajectory analysis</x:v>
      </x:c>
      <x:c r="M141" s="23" t="str">
        <x:v>pending</x:v>
      </x:c>
    </x:row>
    <x:row r="142">
      <x:c r="A142" s="26" t="n">
        <x:v>22</x:v>
      </x:c>
      <x:c r="B142" s="10" t="str">
        <x:v>DOI_10.1126_science.aat5031</x:v>
      </x:c>
      <x:c r="C142" s="10" t="str">
        <x:v>Spatiotemporal immune zonation of the human kidney.</x:v>
      </x:c>
      <x:c r="D142" s="10" t="str">
        <x:v>software</x:v>
      </x:c>
      <x:c r="E142" s="33" t="str">
        <x:v>permutation p value (CellPhoneDB). Color indicates the scaled mean expression level of</x:v>
      </x:c>
      <x:c r="F142" s="33" t="str">
        <x:v>CellPhoneDB</x:v>
      </x:c>
      <x:c r="G142" s="33" t="str">
        <x:v>CellPhoneDB</x:v>
      </x:c>
      <x:c r="H142" s="33" t="str"/>
      <x:c r="I142" s="33" t="str">
        <x:v>p value (CellPhoneDB)</x:v>
      </x:c>
      <x:c r="J142" s="33" t="str"/>
      <x:c r="K142" s="33" t="str">
        <x:v>Markdown line 2083; section These authors contributed equally to this work.</x:v>
      </x:c>
      <x:c r="L142" s="33" t="str">
        <x:v>permutation p value (CellPhoneDB). Color indicates the scaled mean expression level of</x:v>
      </x:c>
      <x:c r="M142" s="23" t="str">
        <x:v>pending</x:v>
      </x:c>
    </x:row>
    <x:row r="143">
      <x:c r="A143" s="26" t="n">
        <x:v>23</x:v>
      </x:c>
      <x:c r="B143" s="10" t="str">
        <x:v>DOI_10.1016_j.isci.2024.111628</x:v>
      </x:c>
      <x:c r="C143" s="10" t="str">
        <x:v>Exploring the utility of snRNA-seq in profiling human bladder tissue: A comprehensive comparison with scRNA-seq.</x:v>
      </x:c>
      <x:c r="D143" s="10" t="str">
        <x:v>quality_control</x:v>
      </x:c>
      <x:c r="E143" s="33" t="str">
        <x:v>snRNA-seqcouldfacilitatecaptureofpreviouslyunderrepresentedcelltypes.</x:v>
      </x:c>
      <x:c r="F143" s="33" t="str">
        <x:v>QC</x:v>
      </x:c>
      <x:c r="G143" s="33" t="str"/>
      <x:c r="H143" s="33" t="str"/>
      <x:c r="I143" s="33" t="str"/>
      <x:c r="J143" s="33" t="str"/>
      <x:c r="K143" s="33" t="str">
        <x:v>Markdown line 57</x:v>
      </x:c>
      <x:c r="L143" s="33" t="str">
        <x:v>snRNA-seqcouldfacilitatecaptureofpreviouslyunderrepresentedcelltypes.</x:v>
      </x:c>
      <x:c r="M143" s="23" t="str">
        <x:v>pending</x:v>
      </x:c>
    </x:row>
    <x:row r="144">
      <x:c r="A144" s="26" t="n">
        <x:v>23</x:v>
      </x:c>
      <x:c r="B144" s="10" t="str">
        <x:v>DOI_10.1016_j.isci.2024.111628</x:v>
      </x:c>
      <x:c r="C144" s="10" t="str">
        <x:v>Exploring the utility of snRNA-seq in profiling human bladder tissue: A comprehensive comparison with scRNA-seq.</x:v>
      </x:c>
      <x:c r="D144" s="10" t="str">
        <x:v>normalization_integration</x:v>
      </x:c>
      <x:c r="E144" s="33" t="str">
        <x:v>ACTA2, ACTG2, or MYH11. These canonical markers were, trol filtering and batch correction, leveraging an established</x:v>
      </x:c>
      <x:c r="F144" s="33" t="str">
        <x:v>batch correction</x:v>
      </x:c>
      <x:c r="G144" s="33" t="str"/>
      <x:c r="H144" s="33" t="str"/>
      <x:c r="I144" s="33" t="str"/>
      <x:c r="J144" s="33" t="str"/>
      <x:c r="K144" s="33" t="str">
        <x:v>Markdown line 259</x:v>
      </x:c>
      <x:c r="L144" s="33" t="str">
        <x:v>ACTA2, ACTG2, or MYH11. These canonical markers were, trol filtering and batch correction, leveraging an established</x:v>
      </x:c>
      <x:c r="M144" s="23" t="str">
        <x:v>pending</x:v>
      </x:c>
    </x:row>
    <x:row r="145">
      <x:c r="A145" s="26" t="n">
        <x:v>23</x:v>
      </x:c>
      <x:c r="B145" s="10" t="str">
        <x:v>DOI_10.1016_j.isci.2024.111628</x:v>
      </x:c>
      <x:c r="C145" s="10" t="str">
        <x:v>Exploring the utility of snRNA-seq in profiling human bladder tissue: A comprehensive comparison with scRNA-seq.</x:v>
      </x:c>
      <x:c r="D145" s="10" t="str">
        <x:v>dimension_reduction_clustering</x:v>
      </x:c>
      <x:c r="E145" s="33" t="str">
        <x:v>betterresolvecellclusters</x:v>
      </x:c>
      <x:c r="F145" s="33" t="str">
        <x:v>cluster</x:v>
      </x:c>
      <x:c r="G145" s="33" t="str"/>
      <x:c r="H145" s="33" t="str"/>
      <x:c r="I145" s="33" t="str"/>
      <x:c r="J145" s="33" t="str"/>
      <x:c r="K145" s="33" t="str">
        <x:v>Markdown line 23</x:v>
      </x:c>
      <x:c r="L145" s="33" t="str">
        <x:v>betterresolvecellclusters</x:v>
      </x:c>
      <x:c r="M145" s="23" t="str">
        <x:v>pending</x:v>
      </x:c>
    </x:row>
    <x:row r="146">
      <x:c r="A146" s="26" t="n">
        <x:v>23</x:v>
      </x:c>
      <x:c r="B146" s="10" t="str">
        <x:v>DOI_10.1016_j.isci.2024.111628</x:v>
      </x:c>
      <x:c r="C146" s="10" t="str">
        <x:v>Exploring the utility of snRNA-seq in profiling human bladder tissue: A comprehensive comparison with scRNA-seq.</x:v>
      </x:c>
      <x:c r="D146" s="10" t="str">
        <x:v>differential_expression</x:v>
      </x:c>
      <x:c r="E146" s="33" t="str">
        <x:v>mappingofcelltypediversityandexpressionsignatureswithin the enrichment of non-coding RNAs in differentially expressed</x:v>
      </x:c>
      <x:c r="F146" s="33" t="str">
        <x:v>differentially expressed</x:v>
      </x:c>
      <x:c r="G146" s="33" t="str"/>
      <x:c r="H146" s="33" t="str"/>
      <x:c r="I146" s="33" t="str"/>
      <x:c r="J146" s="33" t="str"/>
      <x:c r="K146" s="33" t="str">
        <x:v>Markdown line 62</x:v>
      </x:c>
      <x:c r="L146" s="33" t="str">
        <x:v>mappingofcelltypediversityandexpressionsignatureswithin the enrichment of non-coding RNAs in differentially expressed</x:v>
      </x:c>
      <x:c r="M146" s="23" t="str">
        <x:v>pending</x:v>
      </x:c>
    </x:row>
    <x:row r="147">
      <x:c r="A147" s="26" t="n">
        <x:v>23</x:v>
      </x:c>
      <x:c r="B147" s="10" t="str">
        <x:v>DOI_10.1016_j.isci.2024.111628</x:v>
      </x:c>
      <x:c r="C147" s="10" t="str">
        <x:v>Exploring the utility of snRNA-seq in profiling human bladder tissue: A comprehensive comparison with scRNA-seq.</x:v>
      </x:c>
      <x:c r="D147" s="10" t="str">
        <x:v>enrichment</x:v>
      </x:c>
      <x:c r="E147" s="33" t="str">
        <x:v>MCAM+).14,19Lastly,weidentifiedasingleSchwanncellcluster tions, we performed gene set enrichment analysis using each</x:v>
      </x:c>
      <x:c r="F147" s="33" t="str">
        <x:v>gene set enrichment</x:v>
      </x:c>
      <x:c r="G147" s="33" t="str"/>
      <x:c r="H147" s="33" t="str"/>
      <x:c r="I147" s="33" t="str"/>
      <x:c r="J147" s="33" t="str"/>
      <x:c r="K147" s="33" t="str">
        <x:v>Markdown line 180</x:v>
      </x:c>
      <x:c r="L147" s="33" t="str">
        <x:v>MCAM+).14,19Lastly,weidentifiedasingleSchwanncellcluster tions, we performed gene set enrichment analysis using each</x:v>
      </x:c>
      <x:c r="M147" s="23" t="str">
        <x:v>pending</x:v>
      </x:c>
    </x:row>
    <x:row r="148">
      <x:c r="A148" s="26" t="n">
        <x:v>23</x:v>
      </x:c>
      <x:c r="B148" s="10" t="str">
        <x:v>DOI_10.1016_j.isci.2024.111628</x:v>
      </x:c>
      <x:c r="C148" s="10" t="str">
        <x:v>Exploring the utility of snRNA-seq in profiling human bladder tissue: A comprehensive comparison with scRNA-seq.</x:v>
      </x:c>
      <x:c r="D148" s="10" t="str">
        <x:v>abundance_proportion</x:v>
      </x:c>
      <x:c r="E148" s="33" t="str">
        <x:v>formalChi-squaredanalysisfoundthatnon-codingRNAswere byeachcelltype’ssingle-cellandsingle-nucleusgenesets.In</x:v>
      </x:c>
      <x:c r="F148" s="33" t="str">
        <x:v>chi-square</x:v>
      </x:c>
      <x:c r="G148" s="33" t="str"/>
      <x:c r="H148" s="33" t="str"/>
      <x:c r="I148" s="33" t="str"/>
      <x:c r="J148" s="33" t="str"/>
      <x:c r="K148" s="33" t="str">
        <x:v>Markdown line 266</x:v>
      </x:c>
      <x:c r="L148" s="33" t="str">
        <x:v>formalChi-squaredanalysisfoundthatnon-codingRNAswere byeachcelltype’ssingle-cellandsingle-nucleusgenesets.In</x:v>
      </x:c>
      <x:c r="M148" s="23" t="str">
        <x:v>pending</x:v>
      </x:c>
    </x:row>
    <x:row r="149">
      <x:c r="A149" s="26" t="n">
        <x:v>23</x:v>
      </x:c>
      <x:c r="B149" s="10" t="str">
        <x:v>DOI_10.1016_j.isci.2024.111628</x:v>
      </x:c>
      <x:c r="C149" s="10" t="str">
        <x:v>Exploring the utility of snRNA-seq in profiling human bladder tissue: A comprehensive comparison with scRNA-seq.</x:v>
      </x:c>
      <x:c r="D149" s="10" t="str">
        <x:v>multiple_testing</x:v>
      </x:c>
      <x:c r="E149" s="33" t="str">
        <x:v>definedatFDR&lt;0.05andabs(Log2FC)&gt;0.58.DifferentialexpressionanalysiswascompletedusingtheSeuratFindMarkerfunction</x:v>
      </x:c>
      <x:c r="F149" s="33" t="str">
        <x:v>FDR</x:v>
      </x:c>
      <x:c r="G149" s="33" t="str"/>
      <x:c r="H149" s="33" t="str"/>
      <x:c r="I149" s="33" t="str">
        <x:v>FDR&lt;0</x:v>
      </x:c>
      <x:c r="J149" s="33" t="str">
        <x:v>definedatFDR&lt;0.05andabs(Log2FC)&gt;0.58.DifferentialexpressionanalysiswascompletedusingtheSeuratFindMarkerfunction</x:v>
      </x:c>
      <x:c r="K149" s="33" t="str">
        <x:v>Markdown line 764</x:v>
      </x:c>
      <x:c r="L149" s="33" t="str">
        <x:v>definedatFDR&lt;0.05andabs(Log2FC)&gt;0.58.DifferentialexpressionanalysiswascompletedusingtheSeuratFindMarkerfunction</x:v>
      </x:c>
      <x:c r="M149" s="23" t="str">
        <x:v>pending</x:v>
      </x:c>
    </x:row>
    <x:row r="150">
      <x:c r="A150" s="26" t="n">
        <x:v>23</x:v>
      </x:c>
      <x:c r="B150" s="10" t="str">
        <x:v>DOI_10.1016_j.isci.2024.111628</x:v>
      </x:c>
      <x:c r="C150" s="10" t="str">
        <x:v>Exploring the utility of snRNA-seq in profiling human bladder tissue: A comprehensive comparison with scRNA-seq.</x:v>
      </x:c>
      <x:c r="D150" s="10" t="str">
        <x:v>software</x:v>
      </x:c>
      <x:c r="E150" s="33" t="str">
        <x:v>however,foundinthesmoothmusclecellsingle-cellsubpopula- Seuratworkflow.21Uponcelltypeidentification,wefurthereval-</x:v>
      </x:c>
      <x:c r="F150" s="33" t="str">
        <x:v>Seurat</x:v>
      </x:c>
      <x:c r="G150" s="33" t="str">
        <x:v>Seurat</x:v>
      </x:c>
      <x:c r="H150" s="33" t="str"/>
      <x:c r="I150" s="33" t="str"/>
      <x:c r="J150" s="33" t="str"/>
      <x:c r="K150" s="33" t="str">
        <x:v>Markdown line 260</x:v>
      </x:c>
      <x:c r="L150" s="33" t="str">
        <x:v>however,foundinthesmoothmusclecellsingle-cellsubpopula- Seuratworkflow.21Uponcelltypeidentification,wefurthereval-</x:v>
      </x:c>
      <x:c r="M150" s="23" t="str">
        <x:v>pending</x:v>
      </x:c>
    </x:row>
    <x:row r="151">
      <x:c r="A151" s="26" t="n">
        <x:v>24</x:v>
      </x:c>
      <x:c r="B151" s="10" t="str">
        <x:v>DOI_10.1002_pros.24020</x:v>
      </x:c>
      <x:c r="C151" s="10" t="str">
        <x:v>Urethral luminal epithelia are castration-insensitive cells of the proximal prostate.</x:v>
      </x:c>
      <x:c r="D151" s="10" t="str">
        <x:v>quality_control</x:v>
      </x:c>
      <x:c r="E151" s="33" t="str">
        <x:v>mouseprostateandurethralepithelialcelltype‐specificmarkersandprogenitorcellmarkers.D,CorrelationofmousescRNA‐seqclusterstothe</x:v>
      </x:c>
      <x:c r="F151" s="33" t="str">
        <x:v>QC</x:v>
      </x:c>
      <x:c r="G151" s="33" t="str"/>
      <x:c r="H151" s="33" t="str"/>
      <x:c r="I151" s="33" t="str"/>
      <x:c r="J151" s="33" t="str"/>
      <x:c r="K151" s="33" t="str">
        <x:v>Markdown line 274</x:v>
      </x:c>
      <x:c r="L151" s="33" t="str">
        <x:v>mouseprostateandurethralepithelialcelltype‐specificmarkersandprogenitorcellmarkers.D,CorrelationofmousescRNA‐seqclusterstothe</x:v>
      </x:c>
      <x:c r="M151" s="23" t="str">
        <x:v>pending</x:v>
      </x:c>
    </x:row>
    <x:row r="152">
      <x:c r="A152" s="26" t="n">
        <x:v>24</x:v>
      </x:c>
      <x:c r="B152" s="10" t="str">
        <x:v>DOI_10.1002_pros.24020</x:v>
      </x:c>
      <x:c r="C152" s="10" t="str">
        <x:v>Urethral luminal epithelia are castration-insensitive cells of the proximal prostate.</x:v>
      </x:c>
      <x:c r="D152" s="10" t="str">
        <x:v>dimension_reduction_clustering</x:v>
      </x:c>
      <x:c r="E152" s="33" t="str">
        <x:v>ethralluminalcellclusterwasperformedusingimmunostainingandflowcytometry.</x:v>
      </x:c>
      <x:c r="F152" s="33" t="str">
        <x:v>cluster</x:v>
      </x:c>
      <x:c r="G152" s="33" t="str"/>
      <x:c r="H152" s="33" t="str"/>
      <x:c r="I152" s="33" t="str"/>
      <x:c r="J152" s="33" t="str"/>
      <x:c r="K152" s="33" t="str">
        <x:v>Markdown line 46</x:v>
      </x:c>
      <x:c r="L152" s="33" t="str">
        <x:v>ethralluminalcellclusterwasperformedusingimmunostainingandflowcytometry.</x:v>
      </x:c>
      <x:c r="M152" s="23" t="str">
        <x:v>pending</x:v>
      </x:c>
    </x:row>
    <x:row r="153">
      <x:c r="A153" s="26" t="n">
        <x:v>24</x:v>
      </x:c>
      <x:c r="B153" s="10" t="str">
        <x:v>DOI_10.1002_pros.24020</x:v>
      </x:c>
      <x:c r="C153" s="10" t="str">
        <x:v>Urethral luminal epithelia are castration-insensitive cells of the proximal prostate.</x:v>
      </x:c>
      <x:c r="D153" s="10" t="str">
        <x:v>differential_expression</x:v>
      </x:c>
      <x:c r="E153" s="33" t="str">
        <x:v>mouse and human specimens can be found at http://strandlab.net/sc. expressed genes (DEGs) with human urethral cells, demonstrating</x:v>
      </x:c>
      <x:c r="F153" s="33" t="str">
        <x:v>DEG</x:v>
      </x:c>
      <x:c r="G153" s="33" t="str"/>
      <x:c r="H153" s="33" t="str"/>
      <x:c r="I153" s="33" t="str"/>
      <x:c r="J153" s="33" t="str"/>
      <x:c r="K153" s="33" t="str">
        <x:v>Markdown line 223</x:v>
      </x:c>
      <x:c r="L153" s="33" t="str">
        <x:v>mouse and human specimens can be found at http://strandlab.net/sc. expressed genes (DEGs) with human urethral cells, demonstrating</x:v>
      </x:c>
      <x:c r="M153" s="23" t="str">
        <x:v>pending</x:v>
      </x:c>
    </x:row>
    <x:row r="154">
      <x:c r="A154" s="26" t="n">
        <x:v>24</x:v>
      </x:c>
      <x:c r="B154" s="10" t="str">
        <x:v>DOI_10.1002_pros.24020</x:v>
      </x:c>
      <x:c r="C154" s="10" t="str">
        <x:v>Urethral luminal epithelia are castration-insensitive cells of the proximal prostate.</x:v>
      </x:c>
      <x:c r="D154" s="10" t="str">
        <x:v>abundance_proportion</x:v>
      </x:c>
      <x:c r="E154" s="33" t="str">
        <x:v>abundanceofurethralluminalcellswithinglandularnodulesinBPH</x:v>
      </x:c>
      <x:c r="F154" s="33" t="str">
        <x:v>abundance</x:v>
      </x:c>
      <x:c r="G154" s="33" t="str"/>
      <x:c r="H154" s="33" t="str"/>
      <x:c r="I154" s="33" t="str"/>
      <x:c r="J154" s="33" t="str"/>
      <x:c r="K154" s="33" t="str">
        <x:v>Markdown line 474</x:v>
      </x:c>
      <x:c r="L154" s="33" t="str">
        <x:v>abundanceofurethralluminalcellswithinglandularnodulesinBPH</x:v>
      </x:c>
      <x:c r="M154" s="23" t="str">
        <x:v>pending</x:v>
      </x:c>
    </x:row>
    <x:row r="155">
      <x:c r="A155" s="26" t="n">
        <x:v>25</x:v>
      </x:c>
      <x:c r="B155" s="10" t="str">
        <x:v>DOI_10.1016_j.celrep.2018.11.086</x:v>
      </x:c>
      <x:c r="C155" s="10" t="str">
        <x:v>A Cellular Anatomy of the Normal Adult Human Prostate and Prostatic Urethra.</x:v>
      </x:c>
      <x:c r="D155" s="10" t="str">
        <x:v>quality_control</x:v>
      </x:c>
      <x:c r="E155" s="33" t="str">
        <x:v>transcriptome being mitochondrial genes. Data was then scaledto 10,000and log transformed. Mitochondrial geneswere then</x:v>
      </x:c>
      <x:c r="F155" s="33" t="str">
        <x:v>mitochondrial</x:v>
      </x:c>
      <x:c r="G155" s="33" t="str"/>
      <x:c r="H155" s="33" t="str"/>
      <x:c r="I155" s="33" t="str"/>
      <x:c r="J155" s="33" t="str"/>
      <x:c r="K155" s="33" t="str">
        <x:v>Markdown line 807</x:v>
      </x:c>
      <x:c r="L155" s="33" t="str">
        <x:v>transcriptome being mitochondrial genes. Data was then scaledto 10,000and log transformed. Mitochondrial geneswere then</x:v>
      </x:c>
      <x:c r="M155" s="23" t="str">
        <x:v>pending</x:v>
      </x:c>
    </x:row>
    <x:row r="156">
      <x:c r="A156" s="26" t="n">
        <x:v>25</x:v>
      </x:c>
      <x:c r="B156" s="10" t="str">
        <x:v>DOI_10.1016_j.celrep.2018.11.086</x:v>
      </x:c>
      <x:c r="C156" s="10" t="str">
        <x:v>A Cellular Anatomy of the Normal Adult Human Prostate and Prostatic Urethra.</x:v>
      </x:c>
      <x:c r="D156" s="10" t="str">
        <x:v>normalization_integration</x:v>
      </x:c>
      <x:c r="E156" s="33" t="str">
        <x:v>(CD271+)andluminal(CD26+)gates. barcodedwithanormalizedreaddepthof22,729percelland</x:v>
      </x:c>
      <x:c r="F156" s="33" t="str">
        <x:v>normalized</x:v>
      </x:c>
      <x:c r="G156" s="33" t="str"/>
      <x:c r="H156" s="33" t="str"/>
      <x:c r="I156" s="33" t="str"/>
      <x:c r="J156" s="33" t="str"/>
      <x:c r="K156" s="33" t="str">
        <x:v>Markdown line 159</x:v>
      </x:c>
      <x:c r="L156" s="33" t="str">
        <x:v>(CD271+)andluminal(CD26+)gates. barcodedwithanormalizedreaddepthof22,729percelland</x:v>
      </x:c>
      <x:c r="M156" s="23" t="str">
        <x:v>pending</x:v>
      </x:c>
    </x:row>
    <x:row r="157">
      <x:c r="A157" s="26" t="n">
        <x:v>25</x:v>
      </x:c>
      <x:c r="B157" s="10" t="str">
        <x:v>DOI_10.1016_j.celrep.2018.11.086</x:v>
      </x:c>
      <x:c r="C157" s="10" t="str">
        <x:v>A Cellular Anatomy of the Normal Adult Human Prostate and Prostatic Urethra.</x:v>
      </x:c>
      <x:c r="D157" s="10" t="str">
        <x:v>dimension_reduction_clustering</x:v>
      </x:c>
      <x:c r="E157" s="33" t="str">
        <x:v>To establish a baseline transcriptome for each cell type, we We clustered the single-cell transcriptomes with a modified</x:v>
      </x:c>
      <x:c r="F157" s="33" t="str">
        <x:v>cluster</x:v>
      </x:c>
      <x:c r="G157" s="33" t="str"/>
      <x:c r="H157" s="33" t="str"/>
      <x:c r="I157" s="33" t="str"/>
      <x:c r="J157" s="33" t="str"/>
      <x:c r="K157" s="33" t="str">
        <x:v>Markdown line 162</x:v>
      </x:c>
      <x:c r="L157" s="33" t="str">
        <x:v>To establish a baseline transcriptome for each cell type, we We clustered the single-cell transcriptomes with a modified</x:v>
      </x:c>
      <x:c r="M157" s="23" t="str">
        <x:v>pending</x:v>
      </x:c>
    </x:row>
    <x:row r="158">
      <x:c r="A158" s="26" t="n">
        <x:v>25</x:v>
      </x:c>
      <x:c r="B158" s="10" t="str">
        <x:v>DOI_10.1016_j.celrep.2018.11.086</x:v>
      </x:c>
      <x:c r="C158" s="10" t="str">
        <x:v>A Cellular Anatomy of the Normal Adult Human Prostate and Prostatic Urethra.</x:v>
      </x:c>
      <x:c r="D158" s="10" t="str">
        <x:v>differential_expression</x:v>
      </x:c>
      <x:c r="E158" s="33" t="str">
        <x:v>been possible. We also used scRNA-seq to identify selective patient to generate epithelial-specific differentially expressed</x:v>
      </x:c>
      <x:c r="F158" s="33" t="str">
        <x:v>differentially expressed</x:v>
      </x:c>
      <x:c r="G158" s="33" t="str"/>
      <x:c r="H158" s="33" t="str"/>
      <x:c r="I158" s="33" t="str"/>
      <x:c r="J158" s="33" t="str"/>
      <x:c r="K158" s="33" t="str">
        <x:v>Markdown line 121</x:v>
      </x:c>
      <x:c r="L158" s="33" t="str">
        <x:v>been possible. We also used scRNA-seq to identify selective patient to generate epithelial-specific differentially expressed</x:v>
      </x:c>
      <x:c r="M158" s="23" t="str">
        <x:v>pending</x:v>
      </x:c>
    </x:row>
    <x:row r="159">
      <x:c r="A159" s="26" t="n">
        <x:v>25</x:v>
      </x:c>
      <x:c r="B159" s="10" t="str">
        <x:v>DOI_10.1016_j.celrep.2018.11.086</x:v>
      </x:c>
      <x:c r="C159" s="10" t="str">
        <x:v>A Cellular Anatomy of the Normal Adult Human Prostate and Prostatic Urethra.</x:v>
      </x:c>
      <x:c r="D159" s="10" t="str">
        <x:v>enrichment</x:v>
      </x:c>
      <x:c r="E159" s="33" t="str">
        <x:v>verseprostatesectionstodemonstrateregionalenrichmentof andS2C).Genesetenrichmentanalysis(GSEA)wasperformed</x:v>
      </x:c>
      <x:c r="F159" s="33" t="str">
        <x:v>GSEA</x:v>
      </x:c>
      <x:c r="G159" s="33" t="str"/>
      <x:c r="H159" s="33" t="str"/>
      <x:c r="I159" s="33" t="str"/>
      <x:c r="J159" s="33" t="str"/>
      <x:c r="K159" s="33" t="str">
        <x:v>Markdown line 123</x:v>
      </x:c>
      <x:c r="L159" s="33" t="str">
        <x:v>verseprostatesectionstodemonstrateregionalenrichmentof andS2C).Genesetenrichmentanalysis(GSEA)wasperformed</x:v>
      </x:c>
      <x:c r="M159" s="23" t="str">
        <x:v>pending</x:v>
      </x:c>
    </x:row>
    <x:row r="160">
      <x:c r="A160" s="26" t="n">
        <x:v>25</x:v>
      </x:c>
      <x:c r="B160" s="10" t="str">
        <x:v>DOI_10.1016_j.celrep.2018.11.086</x:v>
      </x:c>
      <x:c r="C160" s="10" t="str">
        <x:v>A Cellular Anatomy of the Normal Adult Human Prostate and Prostatic Urethra.</x:v>
      </x:c>
      <x:c r="D160" s="10" t="str">
        <x:v>multiple_testing</x:v>
      </x:c>
      <x:c r="E160" s="33" t="str">
        <x:v>performedusingedgeR(Robinsonetal.,2010),usingaFCcutoffof2andadjustedFDRcutoffof0.05.Pan-epithelialDEGsare</x:v>
      </x:c>
      <x:c r="F160" s="33" t="str">
        <x:v>FDR</x:v>
      </x:c>
      <x:c r="G160" s="33" t="str"/>
      <x:c r="H160" s="33" t="str"/>
      <x:c r="I160" s="33" t="str">
        <x:v>cutoffof2andadjustedFDRcutoffof0</x:v>
      </x:c>
      <x:c r="J160" s="33" t="str">
        <x:v>performedusingedgeR(Robinsonetal.,2010),usingaFCcutoffof2andadjustedFDRcutoffof0.05.Pan-epithelialDEGsare</x:v>
      </x:c>
      <x:c r="K160" s="33" t="str">
        <x:v>Markdown line 758</x:v>
      </x:c>
      <x:c r="L160" s="33" t="str">
        <x:v>performedusingedgeR(Robinsonetal.,2010),usingaFCcutoffof2andadjustedFDRcutoffof0.05.Pan-epithelialDEGsare</x:v>
      </x:c>
      <x:c r="M160" s="23" t="str">
        <x:v>pending</x:v>
      </x:c>
    </x:row>
    <x:row r="161">
      <x:c r="A161" s="26" t="n">
        <x:v>25</x:v>
      </x:c>
      <x:c r="B161" s="10" t="str">
        <x:v>DOI_10.1016_j.celrep.2018.11.086</x:v>
      </x:c>
      <x:c r="C161" s="10" t="str">
        <x:v>A Cellular Anatomy of the Normal Adult Human Prostate and Prostatic Urethra.</x:v>
      </x:c>
      <x:c r="D161" s="10" t="str">
        <x:v>software</x:v>
      </x:c>
      <x:c r="E161" s="33" t="str">
        <x:v>createdafreshtissuebiorepositoryofprostatesfromyoungor- versionoftheSeuratRpipeline(Butleretal.,2018)(seeSTAR</x:v>
      </x:c>
      <x:c r="F161" s="33" t="str">
        <x:v>Seurat</x:v>
      </x:c>
      <x:c r="G161" s="33" t="str">
        <x:v>Seurat</x:v>
      </x:c>
      <x:c r="H161" s="33" t="str"/>
      <x:c r="I161" s="33" t="str"/>
      <x:c r="J161" s="33" t="str"/>
      <x:c r="K161" s="33" t="str">
        <x:v>Markdown line 163</x:v>
      </x:c>
      <x:c r="L161" s="33" t="str">
        <x:v>createdafreshtissuebiorepositoryofprostatesfromyoungor- versionoftheSeuratRpipeline(Butleretal.,2018)(seeSTAR</x:v>
      </x:c>
      <x:c r="M161" s="23" t="str">
        <x:v>pending</x:v>
      </x:c>
    </x:row>
    <x:row r="162">
      <x:c r="A162" s="26" t="n">
        <x:v>26</x:v>
      </x:c>
      <x:c r="B162" s="10" t="str">
        <x:v>DOI_10.1101_2024.10.23.619925</x:v>
      </x:c>
      <x:c r="C162" s="10" t="str">
        <x:v>Profiling of epithelial functional states and fibroblast phenotypes in hormone therapy-naïve localised prostate cancer</x:v>
      </x:c>
      <x:c r="D162" s="10" t="str">
        <x:v>quality_control</x:v>
      </x:c>
      <x:c r="E162" s="33" t="str">
        <x:v>68,322 cells passed QC and filtering and were classified into eleven major cell classes</x:v>
      </x:c>
      <x:c r="F162" s="33" t="str">
        <x:v>QC</x:v>
      </x:c>
      <x:c r="G162" s="33" t="str"/>
      <x:c r="H162" s="33" t="str"/>
      <x:c r="I162" s="33" t="str"/>
      <x:c r="J162" s="33" t="str"/>
      <x:c r="K162" s="33" t="str">
        <x:v>Markdown line 377</x:v>
      </x:c>
      <x:c r="L162" s="33" t="str">
        <x:v>68,322 cells passed QC and filtering and were classified into eleven major cell classes</x:v>
      </x:c>
      <x:c r="M162" s="23" t="str">
        <x:v>pending</x:v>
      </x:c>
    </x:row>
    <x:row r="163">
      <x:c r="A163" s="26" t="n">
        <x:v>26</x:v>
      </x:c>
      <x:c r="B163" s="10" t="str">
        <x:v>DOI_10.1101_2024.10.23.619925</x:v>
      </x:c>
      <x:c r="C163" s="10" t="str">
        <x:v>Profiling of epithelial functional states and fibroblast phenotypes in hormone therapy-naïve localised prostate cancer</x:v>
      </x:c>
      <x:c r="D163" s="10" t="str">
        <x:v>normalization_integration</x:v>
      </x:c>
      <x:c r="E163" s="33" t="str">
        <x:v>reclustering using Seurat (v3.2.2). The data was log-normalised ('NormalizeData()'), and</x:v>
      </x:c>
      <x:c r="F163" s="33" t="str">
        <x:v>normalized</x:v>
      </x:c>
      <x:c r="G163" s="33" t="str"/>
      <x:c r="H163" s="33" t="str"/>
      <x:c r="I163" s="33" t="str"/>
      <x:c r="J163" s="33" t="str"/>
      <x:c r="K163" s="33" t="str">
        <x:v>Markdown line 2815</x:v>
      </x:c>
      <x:c r="L163" s="33" t="str">
        <x:v>reclustering using Seurat (v3.2.2). The data was log-normalised ('NormalizeData()'), and</x:v>
      </x:c>
      <x:c r="M163" s="23" t="str">
        <x:v>pending</x:v>
      </x:c>
    </x:row>
    <x:row r="164">
      <x:c r="A164" s="26" t="n">
        <x:v>26</x:v>
      </x:c>
      <x:c r="B164" s="10" t="str">
        <x:v>DOI_10.1101_2024.10.23.619925</x:v>
      </x:c>
      <x:c r="C164" s="10" t="str">
        <x:v>Profiling of epithelial functional states and fibroblast phenotypes in hormone therapy-naïve localised prostate cancer</x:v>
      </x:c>
      <x:c r="D164" s="10" t="str">
        <x:v>dimension_reduction_clustering</x:v>
      </x:c>
      <x:c r="E164" s="33" t="str">
        <x:v>Localised prostate cancers (PCa) are heterogeneous and multifocal, with diverse</x:v>
      </x:c>
      <x:c r="F164" s="33" t="str">
        <x:v>PCA</x:v>
      </x:c>
      <x:c r="G164" s="33" t="str"/>
      <x:c r="H164" s="33" t="str"/>
      <x:c r="I164" s="33" t="str"/>
      <x:c r="J164" s="33" t="str"/>
      <x:c r="K164" s="33" t="str">
        <x:v>Markdown line 97</x:v>
      </x:c>
      <x:c r="L164" s="33" t="str">
        <x:v>Localised prostate cancers (PCa) are heterogeneous and multifocal, with diverse</x:v>
      </x:c>
      <x:c r="M164" s="23" t="str">
        <x:v>pending</x:v>
      </x:c>
    </x:row>
    <x:row r="165">
      <x:c r="A165" s="26" t="n">
        <x:v>26</x:v>
      </x:c>
      <x:c r="B165" s="10" t="str">
        <x:v>DOI_10.1101_2024.10.23.619925</x:v>
      </x:c>
      <x:c r="C165" s="10" t="str">
        <x:v>Profiling of epithelial functional states and fibroblast phenotypes in hormone therapy-naïve localised prostate cancer</x:v>
      </x:c>
      <x:c r="D165" s="10" t="str">
        <x:v>differential_expression</x:v>
      </x:c>
      <x:c r="E165" s="33" t="str">
        <x:v>(TME) using scRNA-seq. The top differentially expressed genes (DEGs) per major cell</x:v>
      </x:c>
      <x:c r="F165" s="33" t="str">
        <x:v>differentially expressed</x:v>
      </x:c>
      <x:c r="G165" s="33" t="str"/>
      <x:c r="H165" s="33" t="str"/>
      <x:c r="I165" s="33" t="str"/>
      <x:c r="J165" s="33" t="str"/>
      <x:c r="K165" s="33" t="str">
        <x:v>Markdown line 408</x:v>
      </x:c>
      <x:c r="L165" s="33" t="str">
        <x:v>(TME) using scRNA-seq. The top differentially expressed genes (DEGs) per major cell</x:v>
      </x:c>
      <x:c r="M165" s="23" t="str">
        <x:v>pending</x:v>
      </x:c>
    </x:row>
    <x:row r="166">
      <x:c r="A166" s="26" t="n">
        <x:v>26</x:v>
      </x:c>
      <x:c r="B166" s="10" t="str">
        <x:v>DOI_10.1101_2024.10.23.619925</x:v>
      </x:c>
      <x:c r="C166" s="10" t="str">
        <x:v>Profiling of epithelial functional states and fibroblast phenotypes in hormone therapy-naïve localised prostate cancer</x:v>
      </x:c>
      <x:c r="D166" s="10" t="str">
        <x:v>enrichment</x:v>
      </x:c>
      <x:c r="E166" s="33" t="str">
        <x:v>with a t-test (unadjusted p-values; p ≤ 0.001 (****)). I) Gene set enrichment analysis</x:v>
      </x:c>
      <x:c r="F166" s="33" t="str">
        <x:v>gene set enrichment</x:v>
      </x:c>
      <x:c r="G166" s="33" t="str"/>
      <x:c r="H166" s="33" t="str"/>
      <x:c r="I166" s="33" t="str">
        <x:v>adjusted p-values</x:v>
      </x:c>
      <x:c r="J166" s="33" t="str"/>
      <x:c r="K166" s="33" t="str">
        <x:v>Markdown line 1192</x:v>
      </x:c>
      <x:c r="L166" s="33" t="str">
        <x:v>with a t-test (unadjusted p-values; p ≤ 0.001 (****)). I) Gene set enrichment analysis</x:v>
      </x:c>
      <x:c r="M166" s="23" t="str">
        <x:v>pending</x:v>
      </x:c>
    </x:row>
    <x:row r="167">
      <x:c r="A167" s="26" t="n">
        <x:v>26</x:v>
      </x:c>
      <x:c r="B167" s="10" t="str">
        <x:v>DOI_10.1101_2024.10.23.619925</x:v>
      </x:c>
      <x:c r="C167" s="10" t="str">
        <x:v>Profiling of epithelial functional states and fibroblast phenotypes in hormone therapy-naïve localised prostate cancer</x:v>
      </x:c>
      <x:c r="D167" s="10" t="str">
        <x:v>abundance_proportion</x:v>
      </x:c>
      <x:c r="E167" s="33" t="str">
        <x:v>category. H) Left: major cell type abundance by core type (adj_benign, cancer).</x:v>
      </x:c>
      <x:c r="F167" s="33" t="str">
        <x:v>abundance</x:v>
      </x:c>
      <x:c r="G167" s="33" t="str"/>
      <x:c r="H167" s="33" t="str"/>
      <x:c r="I167" s="33" t="str"/>
      <x:c r="J167" s="33" t="str"/>
      <x:c r="K167" s="33" t="str">
        <x:v>Markdown line 512</x:v>
      </x:c>
      <x:c r="L167" s="33" t="str">
        <x:v>category. H) Left: major cell type abundance by core type (adj_benign, cancer).</x:v>
      </x:c>
      <x:c r="M167" s="23" t="str">
        <x:v>pending</x:v>
      </x:c>
    </x:row>
    <x:row r="168">
      <x:c r="A168" s="26" t="n">
        <x:v>26</x:v>
      </x:c>
      <x:c r="B168" s="10" t="str">
        <x:v>DOI_10.1101_2024.10.23.619925</x:v>
      </x:c>
      <x:c r="C168" s="10" t="str">
        <x:v>Profiling of epithelial functional states and fibroblast phenotypes in hormone therapy-naïve localised prostate cancer</x:v>
      </x:c>
      <x:c r="D168" s="10" t="str">
        <x:v>multiple_testing</x:v>
      </x:c>
      <x:c r="E168" s="33" t="str">
        <x:v>CD74, per Club cell subset. Means compared with Wilcoxon test (unadjusted p-</x:v>
      </x:c>
      <x:c r="F168" s="33" t="str">
        <x:v>adjusted p</x:v>
      </x:c>
      <x:c r="G168" s="33" t="str"/>
      <x:c r="H168" s="33" t="str"/>
      <x:c r="I168" s="33" t="str">
        <x:v>adjusted p-</x:v>
      </x:c>
      <x:c r="J168" s="33" t="str">
        <x:v>CD74, per Club cell subset. Means compared with Wilcoxon test (unadjusted p-</x:v>
      </x:c>
      <x:c r="K168" s="33" t="str">
        <x:v>Markdown line 828</x:v>
      </x:c>
      <x:c r="L168" s="33" t="str">
        <x:v>CD74, per Club cell subset. Means compared with Wilcoxon test (unadjusted p-</x:v>
      </x:c>
      <x:c r="M168" s="23" t="str">
        <x:v>pending</x:v>
      </x:c>
    </x:row>
    <x:row r="169">
      <x:c r="A169" s="26" t="n">
        <x:v>26</x:v>
      </x:c>
      <x:c r="B169" s="10" t="str">
        <x:v>DOI_10.1101_2024.10.23.619925</x:v>
      </x:c>
      <x:c r="C169" s="10" t="str">
        <x:v>Profiling of epithelial functional states and fibroblast phenotypes in hormone therapy-naïve localised prostate cancer</x:v>
      </x:c>
      <x:c r="D169" s="10" t="str">
        <x:v>software</x:v>
      </x:c>
      <x:c r="E169" s="33" t="str">
        <x:v>are calculated using `scanpy.tl.score_genes()`, with spots scoring &gt; 0.5 highlighted</x:v>
      </x:c>
      <x:c r="F169" s="33" t="str">
        <x:v>Scanpy</x:v>
      </x:c>
      <x:c r="G169" s="33" t="str">
        <x:v>Scanpy</x:v>
      </x:c>
      <x:c r="H169" s="33" t="str"/>
      <x:c r="I169" s="33" t="str"/>
      <x:c r="J169" s="33" t="str"/>
      <x:c r="K169" s="33" t="str">
        <x:v>Markdown line 1949</x:v>
      </x:c>
      <x:c r="L169" s="33" t="str">
        <x:v>are calculated using `scanpy.tl.score_genes()`, with spots scoring &gt; 0.5 highlighted</x:v>
      </x:c>
      <x:c r="M169" s="23" t="str">
        <x:v>pending</x:v>
      </x:c>
    </x:row>
    <x:row r="170">
      <x:c r="A170" s="26" t="n">
        <x:v>27</x:v>
      </x:c>
      <x:c r="B170" s="10" t="str">
        <x:v>DOI_10.1101_2025.01.17.633590</x:v>
      </x:c>
      <x:c r="C170" s="10" t="str">
        <x:v>Single-cell decoding of human islet cell type-specific alterations in type 2 diabetes reveals converging genetic- and state-driven β-cell gene expression defects</x:v>
      </x:c>
      <x:c r="D170" s="10" t="str">
        <x:v>quality_control</x:v>
      </x:c>
      <x:c r="E170" s="33" t="str">
        <x:v>85 total, 245,878 cells passed stringent quality control (see Methods), with an average of 5,122</x:v>
      </x:c>
      <x:c r="F170" s="33" t="str">
        <x:v>quality control</x:v>
      </x:c>
      <x:c r="G170" s="33" t="str"/>
      <x:c r="H170" s="33" t="str"/>
      <x:c r="I170" s="33" t="str"/>
      <x:c r="J170" s="33" t="str"/>
      <x:c r="K170" s="33" t="str">
        <x:v>Markdown line 105</x:v>
      </x:c>
      <x:c r="L170" s="33" t="str">
        <x:v>85 total, 245,878 cells passed stringent quality control (see Methods), with an average of 5,122</x:v>
      </x:c>
      <x:c r="M170" s="23" t="str">
        <x:v>pending</x:v>
      </x:c>
    </x:row>
    <x:row r="171">
      <x:c r="A171" s="26" t="n">
        <x:v>27</x:v>
      </x:c>
      <x:c r="B171" s="10" t="str">
        <x:v>DOI_10.1101_2025.01.17.633590</x:v>
      </x:c>
      <x:c r="C171" s="10" t="str">
        <x:v>Single-cell decoding of human islet cell type-specific alterations in type 2 diabetes reveals converging genetic- and state-driven β-cell gene expression defects</x:v>
      </x:c>
      <x:c r="D171" s="10" t="str">
        <x:v>normalization_integration</x:v>
      </x:c>
      <x:c r="E171" s="33" t="str">
        <x:v>87 Table 2). After batch correction (Supplementary Figure 1c), unsupervised clustering based on</x:v>
      </x:c>
      <x:c r="F171" s="33" t="str">
        <x:v>batch correction</x:v>
      </x:c>
      <x:c r="G171" s="33" t="str"/>
      <x:c r="H171" s="33" t="str"/>
      <x:c r="I171" s="33" t="str"/>
      <x:c r="J171" s="33" t="str"/>
      <x:c r="K171" s="33" t="str">
        <x:v>Markdown line 107</x:v>
      </x:c>
      <x:c r="L171" s="33" t="str">
        <x:v>87 Table 2). After batch correction (Supplementary Figure 1c), unsupervised clustering based on</x:v>
      </x:c>
      <x:c r="M171" s="23" t="str">
        <x:v>pending</x:v>
      </x:c>
    </x:row>
    <x:row r="172">
      <x:c r="A172" s="26" t="n">
        <x:v>27</x:v>
      </x:c>
      <x:c r="B172" s="10" t="str">
        <x:v>DOI_10.1101_2025.01.17.633590</x:v>
      </x:c>
      <x:c r="C172" s="10" t="str">
        <x:v>Single-cell decoding of human islet cell type-specific alterations in type 2 diabetes reveals converging genetic- and state-driven β-cell gene expression defects</x:v>
      </x:c>
      <x:c r="D172" s="10" t="str">
        <x:v>dimension_reduction_clustering</x:v>
      </x:c>
      <x:c r="E172" s="33" t="str">
        <x:v>87 Table 2). After batch correction (Supplementary Figure 1c), unsupervised clustering based on</x:v>
      </x:c>
      <x:c r="F172" s="33" t="str">
        <x:v>clustering</x:v>
      </x:c>
      <x:c r="G172" s="33" t="str"/>
      <x:c r="H172" s="33" t="str"/>
      <x:c r="I172" s="33" t="str"/>
      <x:c r="J172" s="33" t="str"/>
      <x:c r="K172" s="33" t="str">
        <x:v>Markdown line 107</x:v>
      </x:c>
      <x:c r="L172" s="33" t="str">
        <x:v>87 Table 2). After batch correction (Supplementary Figure 1c), unsupervised clustering based on</x:v>
      </x:c>
      <x:c r="M172" s="23" t="str">
        <x:v>pending</x:v>
      </x:c>
    </x:row>
    <x:row r="173">
      <x:c r="A173" s="26" t="n">
        <x:v>27</x:v>
      </x:c>
      <x:c r="B173" s="10" t="str">
        <x:v>DOI_10.1101_2025.01.17.633590</x:v>
      </x:c>
      <x:c r="C173" s="10" t="str">
        <x:v>Single-cell decoding of human islet cell type-specific alterations in type 2 diabetes reveals converging genetic- and state-driven β-cell gene expression defects</x:v>
      </x:c>
      <x:c r="D173" s="10" t="str">
        <x:v>differential_expression</x:v>
      </x:c>
      <x:c r="E173" s="33" t="str">
        <x:v>33 differentially expressed genes (DEGs), including new (66.5%) and validated genes (e.g.,</x:v>
      </x:c>
      <x:c r="F173" s="33" t="str">
        <x:v>differentially expressed</x:v>
      </x:c>
      <x:c r="G173" s="33" t="str"/>
      <x:c r="H173" s="33" t="str"/>
      <x:c r="I173" s="33" t="str"/>
      <x:c r="J173" s="33" t="str"/>
      <x:c r="K173" s="33" t="str">
        <x:v>Markdown line 42</x:v>
      </x:c>
      <x:c r="L173" s="33" t="str">
        <x:v>33 differentially expressed genes (DEGs), including new (66.5%) and validated genes (e.g.,</x:v>
      </x:c>
      <x:c r="M173" s="23" t="str">
        <x:v>pending</x:v>
      </x:c>
    </x:row>
    <x:row r="174">
      <x:c r="A174" s="26" t="n">
        <x:v>27</x:v>
      </x:c>
      <x:c r="B174" s="10" t="str">
        <x:v>DOI_10.1101_2025.01.17.633590</x:v>
      </x:c>
      <x:c r="C174" s="10" t="str">
        <x:v>Single-cell decoding of human islet cell type-specific alterations in type 2 diabetes reveals converging genetic- and state-driven β-cell gene expression defects</x:v>
      </x:c>
      <x:c r="D174" s="10" t="str">
        <x:v>enrichment</x:v>
      </x:c>
      <x:c r="E174" s="33" t="str">
        <x:v>168 (MSigDB, https://www.gsea-msigdb.org/gsea/msigdb) revealed 'neuroactive ligand-receptor</x:v>
      </x:c>
      <x:c r="F174" s="33" t="str">
        <x:v>GSEA</x:v>
      </x:c>
      <x:c r="G174" s="33" t="str"/>
      <x:c r="H174" s="33" t="str"/>
      <x:c r="I174" s="33" t="str"/>
      <x:c r="J174" s="33" t="str"/>
      <x:c r="K174" s="33" t="str">
        <x:v>Markdown line 211</x:v>
      </x:c>
      <x:c r="L174" s="33" t="str">
        <x:v>168 (MSigDB, https://www.gsea-msigdb.org/gsea/msigdb) revealed 'neuroactive ligand-receptor</x:v>
      </x:c>
      <x:c r="M174" s="23" t="str">
        <x:v>pending</x:v>
      </x:c>
    </x:row>
    <x:row r="175">
      <x:c r="A175" s="26" t="n">
        <x:v>27</x:v>
      </x:c>
      <x:c r="B175" s="10" t="str">
        <x:v>DOI_10.1101_2025.01.17.633590</x:v>
      </x:c>
      <x:c r="C175" s="10" t="str">
        <x:v>Single-cell decoding of human islet cell type-specific alterations in type 2 diabetes reveals converging genetic- and state-driven β-cell gene expression defects</x:v>
      </x:c>
      <x:c r="D175" s="10" t="str">
        <x:v>abundance_proportion</x:v>
      </x:c>
      <x:c r="E175" s="33" t="str">
        <x:v>120 ANOVA followed by Tukey's honest significance test) donor islets. α-cell proportions were</x:v>
      </x:c>
      <x:c r="F175" s="33" t="str">
        <x:v>cell proportion</x:v>
      </x:c>
      <x:c r="G175" s="33" t="str"/>
      <x:c r="H175" s="33" t="str"/>
      <x:c r="I175" s="33" t="str"/>
      <x:c r="J175" s="33" t="str"/>
      <x:c r="K175" s="33" t="str">
        <x:v>Markdown line 146</x:v>
      </x:c>
      <x:c r="L175" s="33" t="str">
        <x:v>120 ANOVA followed by Tukey's honest significance test) donor islets. α-cell proportions were</x:v>
      </x:c>
      <x:c r="M175" s="23" t="str">
        <x:v>pending</x:v>
      </x:c>
    </x:row>
    <x:row r="176">
      <x:c r="A176" s="26" t="n">
        <x:v>27</x:v>
      </x:c>
      <x:c r="B176" s="10" t="str">
        <x:v>DOI_10.1101_2025.01.17.633590</x:v>
      </x:c>
      <x:c r="C176" s="10" t="str">
        <x:v>Single-cell decoding of human islet cell type-specific alterations in type 2 diabetes reveals converging genetic- and state-driven β-cell gene expression defects</x:v>
      </x:c>
      <x:c r="D176" s="10" t="str">
        <x:v>multiple_testing</x:v>
      </x:c>
      <x:c r="E176" s="33" t="str">
        <x:v>98 discovery rate (FDR) &lt;5% in one-vs-all ANOVA comparisons (Supplementary Figure 2;</x:v>
      </x:c>
      <x:c r="F176" s="33" t="str">
        <x:v>FDR</x:v>
      </x:c>
      <x:c r="G176" s="33" t="str"/>
      <x:c r="H176" s="33" t="str"/>
      <x:c r="I176" s="33" t="str">
        <x:v>FDR) &lt;5% in one-vs-all ANOVA comparisons (Supplementary Figure 2</x:v>
      </x:c>
      <x:c r="J176" s="33" t="str">
        <x:v>98 discovery rate (FDR) &lt;5% in one-vs-all ANOVA comparisons (Supplementary Figure 2;</x:v>
      </x:c>
      <x:c r="K176" s="33" t="str">
        <x:v>Markdown line 118</x:v>
      </x:c>
      <x:c r="L176" s="33" t="str">
        <x:v>98 discovery rate (FDR) &lt;5% in one-vs-all ANOVA comparisons (Supplementary Figure 2;</x:v>
      </x:c>
      <x:c r="M176" s="23" t="str">
        <x:v>pending</x:v>
      </x:c>
    </x:row>
    <x:row r="177">
      <x:c r="A177" s="26" t="n">
        <x:v>27</x:v>
      </x:c>
      <x:c r="B177" s="10" t="str">
        <x:v>DOI_10.1101_2025.01.17.633590</x:v>
      </x:c>
      <x:c r="C177" s="10" t="str">
        <x:v>Single-cell decoding of human islet cell type-specific alterations in type 2 diabetes reveals converging genetic- and state-driven β-cell gene expression defects</x:v>
      </x:c>
      <x:c r="D177" s="10" t="str">
        <x:v>software</x:v>
      </x:c>
      <x:c r="E177" s="33" t="str">
        <x:v>UMI data into respective Seurat v.4 objects107 (STAR-Methods) that were subsequently merged</x:v>
      </x:c>
      <x:c r="F177" s="33" t="str">
        <x:v>Seurat</x:v>
      </x:c>
      <x:c r="G177" s="33" t="str">
        <x:v>Seurat</x:v>
      </x:c>
      <x:c r="H177" s="33" t="str"/>
      <x:c r="I177" s="33" t="str"/>
      <x:c r="J177" s="33" t="str"/>
      <x:c r="K177" s="33" t="str">
        <x:v>Markdown line 827</x:v>
      </x:c>
      <x:c r="L177" s="33" t="str">
        <x:v>UMI data into respective Seurat v.4 objects107 (STAR-Methods) that were subsequently merged</x:v>
      </x:c>
      <x:c r="M177" s="23" t="str">
        <x:v>pending</x:v>
      </x:c>
    </x:row>
    <x:row r="178">
      <x:c r="A178" s="26" t="n">
        <x:v>28</x:v>
      </x:c>
      <x:c r="B178" s="10" t="str">
        <x:v>DOI_10.1016_j.cell.2017.09.004</x:v>
      </x:c>
      <x:c r="C178" s="10" t="str">
        <x:v>Single-Cell Analysis of Human Pancreas Reveals Transcriptional Signatures of Aging and Somatic Mutation Patterns.</x:v>
      </x:c>
      <x:c r="D178" s="10" t="str">
        <x:v>quality_control</x:v>
      </x:c>
      <x:c r="E178" s="33" t="str">
        <x:v>mated quality control pipeline (see STAR Methods for details). (FiguresS1AandS1B;TablesS2andS3).Frominvestigationson</x:v>
      </x:c>
      <x:c r="F178" s="33" t="str">
        <x:v>quality control</x:v>
      </x:c>
      <x:c r="G178" s="33" t="str"/>
      <x:c r="H178" s="33" t="str"/>
      <x:c r="I178" s="33" t="str"/>
      <x:c r="J178" s="33" t="str"/>
      <x:c r="K178" s="33" t="str">
        <x:v>Markdown line 127</x:v>
      </x:c>
      <x:c r="L178" s="33" t="str">
        <x:v>mated quality control pipeline (see STAR Methods for details). (FiguresS1AandS1B;TablesS2andS3).Frominvestigationson</x:v>
      </x:c>
      <x:c r="M178" s="23" t="str">
        <x:v>pending</x:v>
      </x:c>
    </x:row>
    <x:row r="179">
      <x:c r="A179" s="26" t="n">
        <x:v>28</x:v>
      </x:c>
      <x:c r="B179" s="10" t="str">
        <x:v>DOI_10.1016_j.cell.2017.09.004</x:v>
      </x:c>
      <x:c r="C179" s="10" t="str">
        <x:v>Single-Cell Analysis of Human Pancreas Reveals Transcriptional Signatures of Aging and Somatic Mutation Patterns.</x:v>
      </x:c>
      <x:c r="D179" s="10" t="str">
        <x:v>normalization_integration</x:v>
      </x:c>
      <x:c r="E179" s="33" t="str">
        <x:v>normalizedintologtransformedcountspermillion(CPM),byapplyingtheformulalog2(c *1000000/tc +1,wherec isthetran-</x:v>
      </x:c>
      <x:c r="F179" s="33" t="str">
        <x:v>normalized</x:v>
      </x:c>
      <x:c r="G179" s="33" t="str"/>
      <x:c r="H179" s="33" t="str"/>
      <x:c r="I179" s="33" t="str"/>
      <x:c r="J179" s="33" t="str"/>
      <x:c r="K179" s="33" t="str">
        <x:v>Markdown line 778</x:v>
      </x:c>
      <x:c r="L179" s="33" t="str">
        <x:v>normalizedintologtransformedcountspermillion(CPM),byapplyingtheformulalog2(c *1000000/tc +1,wherec isthetran-</x:v>
      </x:c>
      <x:c r="M179" s="23" t="str">
        <x:v>pending</x:v>
      </x:c>
    </x:row>
    <x:row r="180">
      <x:c r="A180" s="26" t="n">
        <x:v>28</x:v>
      </x:c>
      <x:c r="B180" s="10" t="str">
        <x:v>DOI_10.1016_j.cell.2017.09.004</x:v>
      </x:c>
      <x:c r="C180" s="10" t="str">
        <x:v>Single-Cell Analysis of Human Pancreas Reveals Transcriptional Signatures of Aging and Somatic Mutation Patterns.</x:v>
      </x:c>
      <x:c r="D180" s="10" t="str">
        <x:v>dimension_reduction_clustering</x:v>
      </x:c>
      <x:c r="E180" s="33" t="str">
        <x:v>led to consistent clustering of different cell types into distinct haspreviouslybeensuggestedthatagingistheresultofanin-</x:v>
      </x:c>
      <x:c r="F180" s="33" t="str">
        <x:v>clustering</x:v>
      </x:c>
      <x:c r="G180" s="33" t="str"/>
      <x:c r="H180" s="33" t="str"/>
      <x:c r="I180" s="33" t="str"/>
      <x:c r="J180" s="33" t="str"/>
      <x:c r="K180" s="33" t="str">
        <x:v>Markdown line 129</x:v>
      </x:c>
      <x:c r="L180" s="33" t="str">
        <x:v>led to consistent clustering of different cell types into distinct haspreviouslybeensuggestedthatagingistheresultofanin-</x:v>
      </x:c>
      <x:c r="M180" s="23" t="str">
        <x:v>pending</x:v>
      </x:c>
    </x:row>
    <x:row r="181">
      <x:c r="A181" s="26" t="n">
        <x:v>28</x:v>
      </x:c>
      <x:c r="B181" s="10" t="str">
        <x:v>DOI_10.1016_j.cell.2017.09.004</x:v>
      </x:c>
      <x:c r="C181" s="10" t="str">
        <x:v>Single-Cell Analysis of Human Pancreas Reveals Transcriptional Signatures of Aging and Somatic Mutation Patterns.</x:v>
      </x:c>
      <x:c r="D181" s="10" t="str">
        <x:v>differential_expression</x:v>
      </x:c>
      <x:c r="E181" s="33" t="str">
        <x:v>EndocrineCellsDisplayaSpecificMutationalSignature excludedsignatureswithahighdegreeofsimilaritytothesubsti-</x:v>
      </x:c>
      <x:c r="F181" s="33" t="str">
        <x:v>DEG</x:v>
      </x:c>
      <x:c r="G181" s="33" t="str"/>
      <x:c r="H181" s="33" t="str"/>
      <x:c r="I181" s="33" t="str"/>
      <x:c r="J181" s="33" t="str"/>
      <x:c r="K181" s="33" t="str">
        <x:v>Markdown line 253</x:v>
      </x:c>
      <x:c r="L181" s="33" t="str">
        <x:v>EndocrineCellsDisplayaSpecificMutationalSignature excludedsignatureswithahighdegreeofsimilaritytothesubsti-</x:v>
      </x:c>
      <x:c r="M181" s="23" t="str">
        <x:v>pending</x:v>
      </x:c>
    </x:row>
    <x:row r="182">
      <x:c r="A182" s="26" t="n">
        <x:v>28</x:v>
      </x:c>
      <x:c r="B182" s="10" t="str">
        <x:v>DOI_10.1016_j.cell.2017.09.004</x:v>
      </x:c>
      <x:c r="C182" s="10" t="str">
        <x:v>Single-Cell Analysis of Human Pancreas Reveals Transcriptional Signatures of Aging and Somatic Mutation Patterns.</x:v>
      </x:c>
      <x:c r="D182" s="10" t="str">
        <x:v>enrichment</x:v>
      </x:c>
      <x:c r="E182" s="33" t="str">
        <x:v>Mesirov, J.P. (2005). Gene set enrichment analysis: a knowledge-based phy,A.J.,Yancopoulos,G.D.,etal.(2016).UseofthefluidigmC1platformfor</x:v>
      </x:c>
      <x:c r="F182" s="33" t="str">
        <x:v>gene set enrichment</x:v>
      </x:c>
      <x:c r="G182" s="33" t="str"/>
      <x:c r="H182" s="33" t="str"/>
      <x:c r="I182" s="33" t="str"/>
      <x:c r="J182" s="33" t="str"/>
      <x:c r="K182" s="33" t="str">
        <x:v>Markdown line 578</x:v>
      </x:c>
      <x:c r="L182" s="33" t="str">
        <x:v>Mesirov, J.P. (2005). Gene set enrichment analysis: a knowledge-based phy,A.J.,Yancopoulos,G.D.,etal.(2016).UseofthefluidigmC1platformfor</x:v>
      </x:c>
      <x:c r="M182" s="23" t="str">
        <x:v>pending</x:v>
      </x:c>
    </x:row>
    <x:row r="183">
      <x:c r="A183" s="26" t="n">
        <x:v>28</x:v>
      </x:c>
      <x:c r="B183" s="10" t="str">
        <x:v>DOI_10.1016_j.cell.2017.09.004</x:v>
      </x:c>
      <x:c r="C183" s="10" t="str">
        <x:v>Single-Cell Analysis of Human Pancreas Reveals Transcriptional Signatures of Aging and Somatic Mutation Patterns.</x:v>
      </x:c>
      <x:c r="D183" s="10" t="str">
        <x:v>abundance_proportion</x:v>
      </x:c>
      <x:c r="E183" s="33" t="str">
        <x:v>with transcript abundance expressed as counts per million however, overall we observed only modest systematic age-</x:v>
      </x:c>
      <x:c r="F183" s="33" t="str">
        <x:v>abundance</x:v>
      </x:c>
      <x:c r="G183" s="33" t="str"/>
      <x:c r="H183" s="33" t="str"/>
      <x:c r="I183" s="33" t="str"/>
      <x:c r="J183" s="33" t="str"/>
      <x:c r="K183" s="33" t="str">
        <x:v>Markdown line 125</x:v>
      </x:c>
      <x:c r="L183" s="33" t="str">
        <x:v>with transcript abundance expressed as counts per million however, overall we observed only modest systematic age-</x:v>
      </x:c>
      <x:c r="M183" s="23" t="str">
        <x:v>pending</x:v>
      </x:c>
    </x:row>
    <x:row r="184">
      <x:c r="A184" s="26" t="n">
        <x:v>28</x:v>
      </x:c>
      <x:c r="B184" s="10" t="str">
        <x:v>DOI_10.1016_j.cell.2017.09.004</x:v>
      </x:c>
      <x:c r="C184" s="10" t="str">
        <x:v>Single-Cell Analysis of Human Pancreas Reveals Transcriptional Signatures of Aging and Somatic Mutation Patterns.</x:v>
      </x:c>
      <x:c r="D184" s="10" t="str">
        <x:v>multiple_testing</x:v>
      </x:c>
      <x:c r="E184" s="33" t="str">
        <x:v>cient,withFDR&lt;1E-3.Heatmapshowsloessfit.</x:v>
      </x:c>
      <x:c r="F184" s="33" t="str">
        <x:v>FDR</x:v>
      </x:c>
      <x:c r="G184" s="33" t="str"/>
      <x:c r="H184" s="33" t="str"/>
      <x:c r="I184" s="33" t="str">
        <x:v>FDR&lt;1E-3</x:v>
      </x:c>
      <x:c r="J184" s="33" t="str">
        <x:v>cient,withFDR&lt;1E-3.Heatmapshowsloessfit.</x:v>
      </x:c>
      <x:c r="K184" s="33" t="str">
        <x:v>Markdown line 151</x:v>
      </x:c>
      <x:c r="L184" s="33" t="str">
        <x:v>cient,withFDR&lt;1E-3.Heatmapshowsloessfit.</x:v>
      </x:c>
      <x:c r="M184" s="23" t="str">
        <x:v>pending</x:v>
      </x:c>
    </x:row>
    <x:row r="185">
      <x:c r="A185" s="26" t="n">
        <x:v>29</x:v>
      </x:c>
      <x:c r="B185" s="10" t="str">
        <x:v>DOI_10.1038_s41591-024-03215-z</x:v>
      </x:c>
      <x:c r="C185" s="10" t="str">
        <x:v>A multi-modal single-cell and spatial expression map of metastatic breast cancer biopsies across clinicopathological features.</x:v>
      </x:c>
      <x:c r="D185" s="10" t="str">
        <x:v>quality_control</x:v>
      </x:c>
      <x:c r="E185" s="33" t="str">
        <x:v>ple quality control (QC) criteria individually (Methods). The com- istics. The sample with stem-like expression profiles came from the</x:v>
      </x:c>
      <x:c r="F185" s="33" t="str">
        <x:v>quality control</x:v>
      </x:c>
      <x:c r="G185" s="33" t="str"/>
      <x:c r="H185" s="33" t="str"/>
      <x:c r="I185" s="33" t="str"/>
      <x:c r="J185" s="33" t="str"/>
      <x:c r="K185" s="33" t="str">
        <x:v>Markdown line 76</x:v>
      </x:c>
      <x:c r="L185" s="33" t="str">
        <x:v>ple quality control (QC) criteria individually (Methods). The com- istics. The sample with stem-like expression profiles came from the</x:v>
      </x:c>
      <x:c r="M185" s="23" t="str">
        <x:v>pending</x:v>
      </x:c>
    </x:row>
    <x:row r="186">
      <x:c r="A186" s="26" t="n">
        <x:v>29</x:v>
      </x:c>
      <x:c r="B186" s="10" t="str">
        <x:v>DOI_10.1038_s41591-024-03215-z</x:v>
      </x:c>
      <x:c r="C186" s="10" t="str">
        <x:v>A multi-modal single-cell and spatial expression map of metastatic breast cancer biopsies across clinicopathological features.</x:v>
      </x:c>
      <x:c r="D186" s="10" t="str">
        <x:v>normalization_integration</x:v>
      </x:c>
      <x:c r="E186" s="33" t="str">
        <x:v>integration of different experimental techniques and used them to assess</x:v>
      </x:c>
      <x:c r="F186" s="33" t="str">
        <x:v>integration</x:v>
      </x:c>
      <x:c r="G186" s="33" t="str"/>
      <x:c r="H186" s="33" t="str"/>
      <x:c r="I186" s="33" t="str"/>
      <x:c r="J186" s="33" t="str"/>
      <x:c r="K186" s="33" t="str">
        <x:v>Markdown line 19</x:v>
      </x:c>
      <x:c r="L186" s="33" t="str">
        <x:v>integration of different experimental techniques and used them to assess</x:v>
      </x:c>
      <x:c r="M186" s="23" t="str">
        <x:v>pending</x:v>
      </x:c>
    </x:row>
    <x:row r="187">
      <x:c r="A187" s="26" t="n">
        <x:v>29</x:v>
      </x:c>
      <x:c r="B187" s="10" t="str">
        <x:v>DOI_10.1038_s41591-024-03215-z</x:v>
      </x:c>
      <x:c r="C187" s="10" t="str">
        <x:v>A multi-modal single-cell and spatial expression map of metastatic breast cancer biopsies across clinicopathological features.</x:v>
      </x:c>
      <x:c r="D187" s="10" t="str">
        <x:v>dimension_reduction_clustering</x:v>
      </x:c>
      <x:c r="E187" s="33" t="str">
        <x:v>(Slide-seq, CODEX, MERFISH and ExSeq) and H&amp;E staining. b, Schematic and connected through lines. d, Clustered heatmap depicting the pair-wise</x:v>
      </x:c>
      <x:c r="F187" s="33" t="str">
        <x:v>cluster</x:v>
      </x:c>
      <x:c r="G187" s="33" t="str"/>
      <x:c r="H187" s="33" t="str"/>
      <x:c r="I187" s="33" t="str"/>
      <x:c r="J187" s="33" t="str"/>
      <x:c r="K187" s="33" t="str">
        <x:v>Markdown line 107</x:v>
      </x:c>
      <x:c r="L187" s="33" t="str">
        <x:v>(Slide-seq, CODEX, MERFISH and ExSeq) and H&amp;E staining. b, Schematic and connected through lines. d, Clustered heatmap depicting the pair-wise</x:v>
      </x:c>
      <x:c r="M187" s="23" t="str">
        <x:v>pending</x:v>
      </x:c>
    </x:row>
    <x:row r="188">
      <x:c r="A188" s="26" t="n">
        <x:v>29</x:v>
      </x:c>
      <x:c r="B188" s="10" t="str">
        <x:v>DOI_10.1038_s41591-024-03215-z</x:v>
      </x:c>
      <x:c r="C188" s="10" t="str">
        <x:v>A multi-modal single-cell and spatial expression map of metastatic breast cancer biopsies across clinicopathological features.</x:v>
      </x:c>
      <x:c r="D188" s="10" t="str">
        <x:v>differential_expression</x:v>
      </x:c>
      <x:c r="E188" s="33" t="str">
        <x:v>expression profiles, colored by log-normalized expression of CD163, log- f, Dot plot depicting the differential expression significance (two-sided Welch’s</x:v>
      </x:c>
      <x:c r="F188" s="33" t="str">
        <x:v>differential expression</x:v>
      </x:c>
      <x:c r="G188" s="33" t="str"/>
      <x:c r="H188" s="33" t="str"/>
      <x:c r="I188" s="33" t="str"/>
      <x:c r="J188" s="33" t="str"/>
      <x:c r="K188" s="33" t="str">
        <x:v>Markdown line 848</x:v>
      </x:c>
      <x:c r="L188" s="33" t="str">
        <x:v>expression profiles, colored by log-normalized expression of CD163, log- f, Dot plot depicting the differential expression significance (two-sided Welch’s</x:v>
      </x:c>
      <x:c r="M188" s="23" t="str">
        <x:v>pending</x:v>
      </x:c>
    </x:row>
    <x:row r="189">
      <x:c r="A189" s="26" t="n">
        <x:v>29</x:v>
      </x:c>
      <x:c r="B189" s="10" t="str">
        <x:v>DOI_10.1038_s41591-024-03215-z</x:v>
      </x:c>
      <x:c r="C189" s="10" t="str">
        <x:v>A multi-modal single-cell and spatial expression map of metastatic breast cancer biopsies across clinicopathological features.</x:v>
      </x:c>
      <x:c r="D189" s="10" t="str">
        <x:v>enrichment</x:v>
      </x:c>
      <x:c r="E189" s="33" t="str">
        <x:v>sites (not bone specific) and was rather cell type specific (Extended by mean gene set enrichment analysis (GSEA) hallmark signature scores</x:v>
      </x:c>
      <x:c r="F189" s="33" t="str">
        <x:v>gene set enrichment</x:v>
      </x:c>
      <x:c r="G189" s="33" t="str"/>
      <x:c r="H189" s="33" t="str"/>
      <x:c r="I189" s="33" t="str"/>
      <x:c r="J189" s="33" t="str"/>
      <x:c r="K189" s="33" t="str">
        <x:v>Markdown line 577</x:v>
      </x:c>
      <x:c r="L189" s="33" t="str">
        <x:v>sites (not bone specific) and was rather cell type specific (Extended by mean gene set enrichment analysis (GSEA) hallmark signature scores</x:v>
      </x:c>
      <x:c r="M189" s="23" t="str">
        <x:v>pending</x:v>
      </x:c>
    </x:row>
    <x:row r="190">
      <x:c r="A190" s="26" t="n">
        <x:v>29</x:v>
      </x:c>
      <x:c r="B190" s="10" t="str">
        <x:v>DOI_10.1038_s41591-024-03215-z</x:v>
      </x:c>
      <x:c r="C190" s="10" t="str">
        <x:v>A multi-modal single-cell and spatial expression map of metastatic breast cancer biopsies across clinicopathological features.</x:v>
      </x:c>
      <x:c r="D190" s="10" t="str">
        <x:v>abundance_proportion</x:v>
      </x:c>
      <x:c r="E190" s="33" t="str">
        <x:v>tures, including cell composition, gene expression programs, immune observations per section in its segmented version, and this only slightly</x:v>
      </x:c>
      <x:c r="F190" s="33" t="str">
        <x:v>cell composition</x:v>
      </x:c>
      <x:c r="G190" s="33" t="str"/>
      <x:c r="H190" s="33" t="str"/>
      <x:c r="I190" s="33" t="str"/>
      <x:c r="J190" s="33" t="str"/>
      <x:c r="K190" s="33" t="str">
        <x:v>Markdown line 50</x:v>
      </x:c>
      <x:c r="L190" s="33" t="str">
        <x:v>tures, including cell composition, gene expression programs, immune observations per section in its segmented version, and this only slightly</x:v>
      </x:c>
      <x:c r="M190" s="23" t="str">
        <x:v>pending</x:v>
      </x:c>
    </x:row>
    <x:row r="191">
      <x:c r="A191" s="26" t="n">
        <x:v>29</x:v>
      </x:c>
      <x:c r="B191" s="10" t="str">
        <x:v>DOI_10.1038_s41591-024-03215-z</x:v>
      </x:c>
      <x:c r="C191" s="10" t="str">
        <x:v>A multi-modal single-cell and spatial expression map of metastatic breast cancer biopsies across clinicopathological features.</x:v>
      </x:c>
      <x:c r="D191" s="10" t="str">
        <x:v>multiple_testing</x:v>
      </x:c>
      <x:c r="E191" s="33" t="str">
        <x:v>eghaporcaM erocs .qerf Most recent tx class Receptor status FDR against all other groups: FDR against all other groups: Receptor</x:v>
      </x:c>
      <x:c r="F191" s="33" t="str">
        <x:v>FDR</x:v>
      </x:c>
      <x:c r="G191" s="33" t="str"/>
      <x:c r="H191" s="33" t="str"/>
      <x:c r="I191" s="33" t="str">
        <x:v>FDR against all other groups: FDR against all other groups: Receptor</x:v>
      </x:c>
      <x:c r="J191" s="33" t="str">
        <x:v>eghaporcaM erocs .qerf Most recent tx class Receptor status FDR against all other groups: FDR against all other groups: Receptor</x:v>
      </x:c>
      <x:c r="K191" s="33" t="str">
        <x:v>Markdown line 466</x:v>
      </x:c>
      <x:c r="L191" s="33" t="str">
        <x:v>eghaporcaM erocs .qerf Most recent tx class Receptor status FDR against all other groups: FDR against all other groups: Receptor</x:v>
      </x:c>
      <x:c r="M191" s="23" t="str">
        <x:v>pending</x:v>
      </x:c>
    </x:row>
    <x:row r="192">
      <x:c r="A192" s="26" t="n">
        <x:v>29</x:v>
      </x:c>
      <x:c r="B192" s="10" t="str">
        <x:v>DOI_10.1038_s41591-024-03215-z</x:v>
      </x:c>
      <x:c r="C192" s="10" t="str">
        <x:v>A multi-modal single-cell and spatial expression map of metastatic breast cancer biopsies across clinicopathological features.</x:v>
      </x:c>
      <x:c r="D192" s="10" t="str">
        <x:v>software</x:v>
      </x:c>
      <x:c r="E192" s="33" t="str">
        <x:v>relevant biology across methods (Fig. 2h), and Harmony37 (but not fer from the matching sc/snRNA-seq using RCTD43 and TACCO-OT44</x:v>
      </x:c>
      <x:c r="F192" s="33" t="str">
        <x:v>Harmony</x:v>
      </x:c>
      <x:c r="G192" s="33" t="str">
        <x:v>Harmony</x:v>
      </x:c>
      <x:c r="H192" s="33" t="str">
        <x:v>37</x:v>
      </x:c>
      <x:c r="I192" s="33" t="str"/>
      <x:c r="J192" s="33" t="str"/>
      <x:c r="K192" s="33" t="str">
        <x:v>Markdown line 825</x:v>
      </x:c>
      <x:c r="L192" s="33" t="str">
        <x:v>relevant biology across methods (Fig. 2h), and Harmony37 (but not fer from the matching sc/snRNA-seq using RCTD43 and TACCO-OT44</x:v>
      </x:c>
      <x:c r="M192" s="23" t="str">
        <x:v>pending</x:v>
      </x:c>
    </x:row>
    <x:row r="193">
      <x:c r="A193" s="26" t="n">
        <x:v>30</x:v>
      </x:c>
      <x:c r="B193" s="10" t="str">
        <x:v>DOI_10.1038_s42003-021-02562-8</x:v>
      </x:c>
      <x:c r="C193" s="10" t="str">
        <x:v>Identification of distinct tumor cell populations and key genetic mechanisms through single cell sequencing in hepatoblastoma.</x:v>
      </x:c>
      <x:c r="D193" s="10" t="str">
        <x:v>quality_control</x:v>
      </x:c>
      <x:c r="E193" s="33" t="str">
        <x:v>PDXmodelmimicsHBtumorexpressionandhistology.Inthe After preprocessing and quality control (see “Methods”), we</x:v>
      </x:c>
      <x:c r="F193" s="33" t="str">
        <x:v>quality control</x:v>
      </x:c>
      <x:c r="G193" s="33" t="str"/>
      <x:c r="H193" s="33" t="str"/>
      <x:c r="I193" s="33" t="str"/>
      <x:c r="J193" s="33" t="str"/>
      <x:c r="K193" s="33" t="str">
        <x:v>Markdown line 203</x:v>
      </x:c>
      <x:c r="L193" s="33" t="str">
        <x:v>PDXmodelmimicsHBtumorexpressionandhistology.Inthe After preprocessing and quality control (see “Methods”), we</x:v>
      </x:c>
      <x:c r="M193" s="23" t="str">
        <x:v>pending</x:v>
      </x:c>
    </x:row>
    <x:row r="194">
      <x:c r="A194" s="26" t="n">
        <x:v>30</x:v>
      </x:c>
      <x:c r="B194" s="10" t="str">
        <x:v>DOI_10.1038_s42003-021-02562-8</x:v>
      </x:c>
      <x:c r="C194" s="10" t="str">
        <x:v>Identification of distinct tumor cell populations and key genetic mechanisms through single cell sequencing in hepatoblastoma.</x:v>
      </x:c>
      <x:c r="D194" s="10" t="str">
        <x:v>normalization_integration</x:v>
      </x:c>
      <x:c r="E194" s="33" t="str">
        <x:v>Fig.4MaintenanceoffeaturesacrossthetumorandPDX.aScatterplotsfornormalizedexpressionvaluesofalldetectedgenesinhepatocytesof</x:v>
      </x:c>
      <x:c r="F194" s="33" t="str">
        <x:v>normalized</x:v>
      </x:c>
      <x:c r="G194" s="33" t="str"/>
      <x:c r="H194" s="33" t="str"/>
      <x:c r="I194" s="33" t="str"/>
      <x:c r="J194" s="33" t="str"/>
      <x:c r="K194" s="33" t="str">
        <x:v>Markdown line 394</x:v>
      </x:c>
      <x:c r="L194" s="33" t="str">
        <x:v>Fig.4MaintenanceoffeaturesacrossthetumorandPDX.aScatterplotsfornormalizedexpressionvaluesofalldetectedgenesinhepatocytesof</x:v>
      </x:c>
      <x:c r="M194" s="23" t="str">
        <x:v>pending</x:v>
      </x:c>
    </x:row>
    <x:row r="195">
      <x:c r="A195" s="26" t="n">
        <x:v>30</x:v>
      </x:c>
      <x:c r="B195" s="10" t="str">
        <x:v>DOI_10.1038_s42003-021-02562-8</x:v>
      </x:c>
      <x:c r="C195" s="10" t="str">
        <x:v>Identification of distinct tumor cell populations and key genetic mechanisms through single cell sequencing in hepatoblastoma.</x:v>
      </x:c>
      <x:c r="D195" s="10" t="str">
        <x:v>dimension_reduction_clustering</x:v>
      </x:c>
      <x:c r="E195" s="33" t="str">
        <x:v>identified a driver tumor cell cluster in HB by genetic expression which can be examined to</x:v>
      </x:c>
      <x:c r="F195" s="33" t="str">
        <x:v>cluster</x:v>
      </x:c>
      <x:c r="G195" s="33" t="str"/>
      <x:c r="H195" s="33" t="str"/>
      <x:c r="I195" s="33" t="str"/>
      <x:c r="J195" s="33" t="str"/>
      <x:c r="K195" s="33" t="str">
        <x:v>Markdown line 24</x:v>
      </x:c>
      <x:c r="L195" s="33" t="str">
        <x:v>identified a driver tumor cell cluster in HB by genetic expression which can be examined to</x:v>
      </x:c>
      <x:c r="M195" s="23" t="str">
        <x:v>pending</x:v>
      </x:c>
    </x:row>
    <x:row r="196">
      <x:c r="A196" s="26" t="n">
        <x:v>30</x:v>
      </x:c>
      <x:c r="B196" s="10" t="str">
        <x:v>DOI_10.1038_s42003-021-02562-8</x:v>
      </x:c>
      <x:c r="C196" s="10" t="str">
        <x:v>Identification of distinct tumor cell populations and key genetic mechanisms through single cell sequencing in hepatoblastoma.</x:v>
      </x:c>
      <x:c r="D196" s="10" t="str">
        <x:v>differential_expression</x:v>
      </x:c>
      <x:c r="E196" s="33" t="str">
        <x:v>canonicalmarkers,suchasCYP3A4,ALB,APOC3,andHPGDfor differentially expressed genes were identified and organized by</x:v>
      </x:c>
      <x:c r="F196" s="33" t="str">
        <x:v>differentially expressed</x:v>
      </x:c>
      <x:c r="G196" s="33" t="str"/>
      <x:c r="H196" s="33" t="str"/>
      <x:c r="I196" s="33" t="str"/>
      <x:c r="J196" s="33" t="str"/>
      <x:c r="K196" s="33" t="str">
        <x:v>Markdown line 227</x:v>
      </x:c>
      <x:c r="L196" s="33" t="str">
        <x:v>canonicalmarkers,suchasCYP3A4,ALB,APOC3,andHPGDfor differentially expressed genes were identified and organized by</x:v>
      </x:c>
      <x:c r="M196" s="23" t="str">
        <x:v>pending</x:v>
      </x:c>
    </x:row>
    <x:row r="197">
      <x:c r="A197" s="26" t="n">
        <x:v>30</x:v>
      </x:c>
      <x:c r="B197" s="10" t="str">
        <x:v>DOI_10.1038_s42003-021-02562-8</x:v>
      </x:c>
      <x:c r="C197" s="10" t="str">
        <x:v>Identification of distinct tumor cell populations and key genetic mechanisms through single cell sequencing in hepatoblastoma.</x:v>
      </x:c>
      <x:c r="D197" s="10" t="str">
        <x:v>enrichment</x:v>
      </x:c>
      <x:c r="E197" s="33" t="str">
        <x:v>cells account for the largest proportion of cells in the HB tumor ToppGene enrichment analysis, as well as gene-interaction net-</x:v>
      </x:c>
      <x:c r="F197" s="33" t="str">
        <x:v>enrichment analysis</x:v>
      </x:c>
      <x:c r="G197" s="33" t="str"/>
      <x:c r="H197" s="33" t="str"/>
      <x:c r="I197" s="33" t="str"/>
      <x:c r="J197" s="33" t="str"/>
      <x:c r="K197" s="33" t="str">
        <x:v>Markdown line 232</x:v>
      </x:c>
      <x:c r="L197" s="33" t="str">
        <x:v>cells account for the largest proportion of cells in the HB tumor ToppGene enrichment analysis, as well as gene-interaction net-</x:v>
      </x:c>
      <x:c r="M197" s="23" t="str">
        <x:v>pending</x:v>
      </x:c>
    </x:row>
    <x:row r="198">
      <x:c r="A198" s="26" t="n">
        <x:v>30</x:v>
      </x:c>
      <x:c r="B198" s="10" t="str">
        <x:v>DOI_10.1038_s42003-021-02562-8</x:v>
      </x:c>
      <x:c r="C198" s="10" t="str">
        <x:v>Identification of distinct tumor cell populations and key genetic mechanisms through single cell sequencing in hepatoblastoma.</x:v>
      </x:c>
      <x:c r="D198" s="10" t="str">
        <x:v>multiple_testing</x:v>
      </x:c>
      <x:c r="E198" s="33" t="str">
        <x:v>ighly AdjustedpvaluesofenrichmentwerecalculatedusingtheBenjamini–Hochberg</x:v>
      </x:c>
      <x:c r="F198" s="33" t="str">
        <x:v>Benjamini</x:v>
      </x:c>
      <x:c r="G198" s="33" t="str"/>
      <x:c r="H198" s="33" t="str"/>
      <x:c r="I198" s="33" t="str"/>
      <x:c r="J198" s="33" t="str">
        <x:v>ighly AdjustedpvaluesofenrichmentwerecalculatedusingtheBenjamini–Hochberg</x:v>
      </x:c>
      <x:c r="K198" s="33" t="str">
        <x:v>Markdown line 799</x:v>
      </x:c>
      <x:c r="L198" s="33" t="str">
        <x:v>ighly AdjustedpvaluesofenrichmentwerecalculatedusingtheBenjamini–Hochberg</x:v>
      </x:c>
      <x:c r="M198" s="23" t="str">
        <x:v>pending</x:v>
      </x:c>
    </x:row>
    <x:row r="199">
      <x:c r="A199" s="26" t="n">
        <x:v>30</x:v>
      </x:c>
      <x:c r="B199" s="10" t="str">
        <x:v>DOI_10.1038_s42003-021-02562-8</x:v>
      </x:c>
      <x:c r="C199" s="10" t="str">
        <x:v>Identification of distinct tumor cell populations and key genetic mechanisms through single cell sequencing in hepatoblastoma.</x:v>
      </x:c>
      <x:c r="D199" s="10" t="str">
        <x:v>software</x:v>
      </x:c>
      <x:c r="E199" s="33" t="str">
        <x:v>e, f) support an initiating/driving role of Tr2 through gene was predicted with scVelo to extrapolate differential flow from</x:v>
      </x:c>
      <x:c r="F199" s="33" t="str">
        <x:v>scVelo</x:v>
      </x:c>
      <x:c r="G199" s="33" t="str">
        <x:v>scVelo</x:v>
      </x:c>
      <x:c r="H199" s="33" t="str"/>
      <x:c r="I199" s="33" t="str"/>
      <x:c r="J199" s="33" t="str"/>
      <x:c r="K199" s="33" t="str">
        <x:v>Markdown line 427</x:v>
      </x:c>
      <x:c r="L199" s="33" t="str">
        <x:v>e, f) support an initiating/driving role of Tr2 through gene was predicted with scVelo to extrapolate differential flow from</x:v>
      </x:c>
      <x:c r="M199" s="23" t="str">
        <x:v>pending</x:v>
      </x:c>
    </x:row>
    <x:row r="200">
      <x:c r="A200" s="26" t="n">
        <x:v>31</x:v>
      </x:c>
      <x:c r="B200" s="10" t="str">
        <x:v>DOI_10.1038_s41588-025-02158-6</x:v>
      </x:c>
      <x:c r="C200" s="10" t="str">
        <x:v>Longitudinal single-cell multiomic atlas of high-risk neuroblastoma reveals chemotherapy-induced tumor microenvironment rewiring.</x:v>
      </x:c>
      <x:c r="D200" s="10" t="str">
        <x:v>quality_control</x:v>
      </x:c>
      <x:c r="E200" s="33" t="str">
        <x:v>identify tumor cell intrinsic and extrinsic therapy-induced shifts in the mentary Tables 1 and 2). After quality control, we obtained 372,619 and</x:v>
      </x:c>
      <x:c r="F200" s="33" t="str">
        <x:v>quality control</x:v>
      </x:c>
      <x:c r="G200" s="33" t="str"/>
      <x:c r="H200" s="33" t="str"/>
      <x:c r="I200" s="33" t="str"/>
      <x:c r="J200" s="33" t="str"/>
      <x:c r="K200" s="33" t="str">
        <x:v>Markdown line 67</x:v>
      </x:c>
      <x:c r="L200" s="33" t="str">
        <x:v>identify tumor cell intrinsic and extrinsic therapy-induced shifts in the mentary Tables 1 and 2). After quality control, we obtained 372,619 and</x:v>
      </x:c>
      <x:c r="M200" s="23" t="str">
        <x:v>pending</x:v>
      </x:c>
    </x:row>
    <x:row r="201">
      <x:c r="A201" s="26" t="n">
        <x:v>31</x:v>
      </x:c>
      <x:c r="B201" s="10" t="str">
        <x:v>DOI_10.1038_s41588-025-02158-6</x:v>
      </x:c>
      <x:c r="C201" s="10" t="str">
        <x:v>Longitudinal single-cell multiomic atlas of high-risk neuroblastoma reveals chemotherapy-induced tumor microenvironment rewiring.</x:v>
      </x:c>
      <x:c r="D201" s="10" t="str">
        <x:v>normalization_integration</x:v>
      </x:c>
      <x:c r="E201" s="33" t="str">
        <x:v>neoplastic cells from snRNA-seq data after integration and annotation of cell and the whiskers extend 1.5 times the interquartile range. g, Kaplan–Meier curves</x:v>
      </x:c>
      <x:c r="F201" s="33" t="str">
        <x:v>integration</x:v>
      </x:c>
      <x:c r="G201" s="33" t="str"/>
      <x:c r="H201" s="33" t="str"/>
      <x:c r="I201" s="33" t="str"/>
      <x:c r="J201" s="33" t="str"/>
      <x:c r="K201" s="33" t="str">
        <x:v>Markdown line 202</x:v>
      </x:c>
      <x:c r="L201" s="33" t="str">
        <x:v>neoplastic cells from snRNA-seq data after integration and annotation of cell and the whiskers extend 1.5 times the interquartile range. g, Kaplan–Meier curves</x:v>
      </x:c>
      <x:c r="M201" s="23" t="str">
        <x:v>pending</x:v>
      </x:c>
    </x:row>
    <x:row r="202">
      <x:c r="A202" s="26" t="n">
        <x:v>31</x:v>
      </x:c>
      <x:c r="B202" s="10" t="str">
        <x:v>DOI_10.1038_s41588-025-02158-6</x:v>
      </x:c>
      <x:c r="C202" s="10" t="str">
        <x:v>Longitudinal single-cell multiomic atlas of high-risk neuroblastoma reveals chemotherapy-induced tumor microenvironment rewiring.</x:v>
      </x:c>
      <x:c r="D202" s="10" t="str">
        <x:v>dimension_reduction_clustering</x:v>
      </x:c>
      <x:c r="E202" s="33" t="str">
        <x:v>UMAP 1</x:v>
      </x:c>
      <x:c r="F202" s="33" t="str">
        <x:v>UMAP</x:v>
      </x:c>
      <x:c r="G202" s="33" t="str"/>
      <x:c r="H202" s="33" t="str"/>
      <x:c r="I202" s="33" t="str"/>
      <x:c r="J202" s="33" t="str"/>
      <x:c r="K202" s="33" t="str">
        <x:v>Markdown line 93</x:v>
      </x:c>
      <x:c r="L202" s="33" t="str">
        <x:v>UMAP 1</x:v>
      </x:c>
      <x:c r="M202" s="23" t="str">
        <x:v>pending</x:v>
      </x:c>
    </x:row>
    <x:row r="203">
      <x:c r="A203" s="26" t="n">
        <x:v>31</x:v>
      </x:c>
      <x:c r="B203" s="10" t="str">
        <x:v>DOI_10.1038_s41588-025-02158-6</x:v>
      </x:c>
      <x:c r="C203" s="10" t="str">
        <x:v>Longitudinal single-cell multiomic atlas of high-risk neuroblastoma reveals chemotherapy-induced tumor microenvironment rewiring.</x:v>
      </x:c>
      <x:c r="D203" s="10" t="str">
        <x:v>differential_expression</x:v>
      </x:c>
      <x:c r="E203" s="33" t="str">
        <x:v>ADRN-baseline (few differentially expressed genes)) and one of which ated stages of the neuroblast and chromaffin lineage (ADRN-calcium</x:v>
      </x:c>
      <x:c r="F203" s="33" t="str">
        <x:v>differentially expressed</x:v>
      </x:c>
      <x:c r="G203" s="33" t="str"/>
      <x:c r="H203" s="33" t="str"/>
      <x:c r="I203" s="33" t="str"/>
      <x:c r="J203" s="33" t="str"/>
      <x:c r="K203" s="33" t="str">
        <x:v>Markdown line 191</x:v>
      </x:c>
      <x:c r="L203" s="33" t="str">
        <x:v>ADRN-baseline (few differentially expressed genes)) and one of which ated stages of the neuroblast and chromaffin lineage (ADRN-calcium</x:v>
      </x:c>
      <x:c r="M203" s="23" t="str">
        <x:v>pending</x:v>
      </x:c>
    </x:row>
    <x:row r="204">
      <x:c r="A204" s="26" t="n">
        <x:v>31</x:v>
      </x:c>
      <x:c r="B204" s="10" t="str">
        <x:v>DOI_10.1038_s41588-025-02158-6</x:v>
      </x:c>
      <x:c r="C204" s="10" t="str">
        <x:v>Longitudinal single-cell multiomic atlas of high-risk neuroblastoma reveals chemotherapy-induced tumor microenvironment rewiring.</x:v>
      </x:c>
      <x:c r="D204" s="10" t="str">
        <x:v>enrichment</x:v>
      </x:c>
      <x:c r="E204" s="33" t="str">
        <x:v>the most common extracranial solid tumor in children and accounts nal neuroblasts and recapitulate their developmental trajectory7,8.</x:v>
      </x:c>
      <x:c r="F204" s="33" t="str">
        <x:v>trajectory</x:v>
      </x:c>
      <x:c r="G204" s="33" t="str"/>
      <x:c r="H204" s="33" t="str"/>
      <x:c r="I204" s="33" t="str"/>
      <x:c r="J204" s="33" t="str"/>
      <x:c r="K204" s="33" t="str">
        <x:v>Markdown line 30</x:v>
      </x:c>
      <x:c r="L204" s="33" t="str">
        <x:v>the most common extracranial solid tumor in children and accounts nal neuroblasts and recapitulate their developmental trajectory7,8.</x:v>
      </x:c>
      <x:c r="M204" s="23" t="str">
        <x:v>pending</x:v>
      </x:c>
    </x:row>
    <x:row r="205">
      <x:c r="A205" s="26" t="n">
        <x:v>31</x:v>
      </x:c>
      <x:c r="B205" s="10" t="str">
        <x:v>DOI_10.1038_s41588-025-02158-6</x:v>
      </x:c>
      <x:c r="C205" s="10" t="str">
        <x:v>Longitudinal single-cell multiomic atlas of high-risk neuroblastoma reveals chemotherapy-induced tumor microenvironment rewiring.</x:v>
      </x:c>
      <x:c r="D205" s="10" t="str">
        <x:v>abundance_proportion</x:v>
      </x:c>
      <x:c r="E205" s="33" t="str">
        <x:v>consistently expanded after therapy in both snRNA-seq and snATAC-seq Extended Data Fig. 3d). As expected, the abundance of ADRN-baseline</x:v>
      </x:c>
      <x:c r="F205" s="33" t="str">
        <x:v>abundance</x:v>
      </x:c>
      <x:c r="G205" s="33" t="str"/>
      <x:c r="H205" s="33" t="str"/>
      <x:c r="I205" s="33" t="str"/>
      <x:c r="J205" s="33" t="str"/>
      <x:c r="K205" s="33" t="str">
        <x:v>Markdown line 153</x:v>
      </x:c>
      <x:c r="L205" s="33" t="str">
        <x:v>consistently expanded after therapy in both snRNA-seq and snATAC-seq Extended Data Fig. 3d). As expected, the abundance of ADRN-baseline</x:v>
      </x:c>
      <x:c r="M205" s="23" t="str">
        <x:v>pending</x:v>
      </x:c>
    </x:row>
    <x:row r="206">
      <x:c r="A206" s="26" t="n">
        <x:v>31</x:v>
      </x:c>
      <x:c r="B206" s="10" t="str">
        <x:v>DOI_10.1038_s41588-025-02158-6</x:v>
      </x:c>
      <x:c r="C206" s="10" t="str">
        <x:v>Longitudinal single-cell multiomic atlas of high-risk neuroblastoma reveals chemotherapy-induced tumor microenvironment rewiring.</x:v>
      </x:c>
      <x:c r="D206" s="10" t="str">
        <x:v>multiple_testing</x:v>
      </x:c>
      <x:c r="E206" s="33" t="str">
        <x:v>0. 290 .2 4 0.3 Unfolded  p ro te i n   r e s p o n s e −log [FDR] −lo g 10 [FDR]</x:v>
      </x:c>
      <x:c r="F206" s="33" t="str">
        <x:v>FDR</x:v>
      </x:c>
      <x:c r="G206" s="33" t="str"/>
      <x:c r="H206" s="33" t="str"/>
      <x:c r="I206" s="33" t="str">
        <x:v>FDR] −lo g 10 [FDR]</x:v>
      </x:c>
      <x:c r="J206" s="33" t="str">
        <x:v>0. 290 .2 4 0.3 Unfolded  p ro te i n   r e s p o n s e −log [FDR] −lo g 10 [FDR]</x:v>
      </x:c>
      <x:c r="K206" s="33" t="str">
        <x:v>Markdown line 941</x:v>
      </x:c>
      <x:c r="L206" s="33" t="str">
        <x:v>0. 290 .2 4 0.3 Unfolded  p ro te i n   r e s p o n s e −log [FDR] −lo g 10 [FDR]</x:v>
      </x:c>
      <x:c r="M206" s="23" t="str">
        <x:v>pending</x:v>
      </x:c>
    </x:row>
    <x:row r="207">
      <x:c r="A207" s="26" t="n">
        <x:v>31</x:v>
      </x:c>
      <x:c r="B207" s="10" t="str">
        <x:v>DOI_10.1038_s41588-025-02158-6</x:v>
      </x:c>
      <x:c r="C207" s="10" t="str">
        <x:v>Longitudinal single-cell multiomic atlas of high-risk neuroblastoma reveals chemotherapy-induced tumor microenvironment rewiring.</x:v>
      </x:c>
      <x:c r="D207" s="10" t="str">
        <x:v>software</x:v>
      </x:c>
      <x:c r="E207" s="33" t="str">
        <x:v>plates with the addition of 500 µl co-culture media. Macrophages and integrated all of the malignant cells using Harmony56 along with the</x:v>
      </x:c>
      <x:c r="F207" s="33" t="str">
        <x:v>Harmony</x:v>
      </x:c>
      <x:c r="G207" s="33" t="str">
        <x:v>Harmony</x:v>
      </x:c>
      <x:c r="H207" s="33" t="str">
        <x:v>56</x:v>
      </x:c>
      <x:c r="I207" s="33" t="str"/>
      <x:c r="J207" s="33" t="str"/>
      <x:c r="K207" s="33" t="str">
        <x:v>Markdown line 1246</x:v>
      </x:c>
      <x:c r="L207" s="33" t="str">
        <x:v>plates with the addition of 500 µl co-culture media. Macrophages and integrated all of the malignant cells using Harmony56 along with the</x:v>
      </x:c>
      <x:c r="M207" s="23" t="str">
        <x:v>pending</x:v>
      </x:c>
    </x:row>
    <x:row r="208">
      <x:c r="A208" s="26" t="n">
        <x:v>32</x:v>
      </x:c>
      <x:c r="B208" s="10" t="str">
        <x:v>DOI_10.1038_s41586-021-03929-x</x:v>
      </x:c>
      <x:c r="C208" s="10" t="str">
        <x:v>Blood and immune development in human fetal bone marrow and Down syndrome.</x:v>
      </x:c>
      <x:c r="D208" s="10" t="str">
        <x:v>quality_control</x:v>
      </x:c>
      <x:c r="E208" s="33" t="str">
        <x:v>From 115,993 FBM scRNA-seq cells, 103,228 passed quality control,  ogy and prospective FACS isolation for scRNA-seq (Smart-seq2) (Fig. 1f,</x:v>
      </x:c>
      <x:c r="F208" s="33" t="str">
        <x:v>quality control</x:v>
      </x:c>
      <x:c r="G208" s="33" t="str"/>
      <x:c r="H208" s="33" t="str"/>
      <x:c r="I208" s="33" t="str"/>
      <x:c r="J208" s="33" t="str"/>
      <x:c r="K208" s="33" t="str">
        <x:v>Markdown line 132</x:v>
      </x:c>
      <x:c r="L208" s="33" t="str">
        <x:v>From 115,993 FBM scRNA-seq cells, 103,228 passed quality control,  ogy and prospective FACS isolation for scRNA-seq (Smart-seq2) (Fig. 1f,</x:v>
      </x:c>
      <x:c r="M208" s="23" t="str">
        <x:v>pending</x:v>
      </x:c>
    </x:row>
    <x:row r="209">
      <x:c r="A209" s="26" t="n">
        <x:v>32</x:v>
      </x:c>
      <x:c r="B209" s="10" t="str">
        <x:v>DOI_10.1038_s41586-021-03929-x</x:v>
      </x:c>
      <x:c r="C209" s="10" t="str">
        <x:v>Blood and immune development in human fetal bone marrow and Down syndrome.</x:v>
      </x:c>
      <x:c r="D209" s="10" t="str">
        <x:v>normalization_integration</x:v>
      </x:c>
      <x:c r="E209" s="33" t="str">
        <x:v>log-transformed, normalized and scaled gene expression value. Dot size  dance between the two conditions). NS, not significant. e, Heat map visualizing</x:v>
      </x:c>
      <x:c r="F209" s="33" t="str">
        <x:v>normalized</x:v>
      </x:c>
      <x:c r="G209" s="33" t="str"/>
      <x:c r="H209" s="33" t="str"/>
      <x:c r="I209" s="33" t="str"/>
      <x:c r="J209" s="33" t="str"/>
      <x:c r="K209" s="33" t="str">
        <x:v>Markdown line 107</x:v>
      </x:c>
      <x:c r="L209" s="33" t="str">
        <x:v>log-transformed, normalized and scaled gene expression value. Dot size  dance between the two conditions). NS, not significant. e, Heat map visualizing</x:v>
      </x:c>
      <x:c r="M209" s="23" t="str">
        <x:v>pending</x:v>
      </x:c>
    </x:row>
    <x:row r="210">
      <x:c r="A210" s="26" t="n">
        <x:v>32</x:v>
      </x:c>
      <x:c r="B210" s="10" t="str">
        <x:v>DOI_10.1038_s41586-021-03929-x</x:v>
      </x:c>
      <x:c r="C210" s="10" t="str">
        <x:v>Blood and immune development in human fetal bone marrow and Down syndrome.</x:v>
      </x:c>
      <x:c r="D210" s="10" t="str">
        <x:v>dimension_reduction_clustering</x:v>
      </x:c>
      <x:c r="E210" s="33" t="str">
        <x:v>| UMAP1 |     |     |     | 100 |     |     |     |     |     |     |     |</x:v>
      </x:c>
      <x:c r="F210" s="33" t="str">
        <x:v>UMAP</x:v>
      </x:c>
      <x:c r="G210" s="33" t="str"/>
      <x:c r="H210" s="33" t="str"/>
      <x:c r="I210" s="33" t="str"/>
      <x:c r="J210" s="33" t="str"/>
      <x:c r="K210" s="33" t="str">
        <x:v>Markdown line 77</x:v>
      </x:c>
      <x:c r="L210" s="33" t="str">
        <x:v>| UMAP1 |     |     |     | 100 |     |     |     |     |     |     |     |</x:v>
      </x:c>
      <x:c r="M210" s="23" t="str">
        <x:v>pending</x:v>
      </x:c>
    </x:row>
    <x:row r="211">
      <x:c r="A211" s="26" t="n">
        <x:v>32</x:v>
      </x:c>
      <x:c r="B211" s="10" t="str">
        <x:v>DOI_10.1038_s41586-021-03929-x</x:v>
      </x:c>
      <x:c r="C211" s="10" t="str">
        <x:v>Blood and immune development in human fetal bone marrow and Down syndrome.</x:v>
      </x:c>
      <x:c r="D211" s="10" t="str">
        <x:v>differential_expression</x:v>
      </x:c>
      <x:c r="E211" s="33" t="str">
        <x:v>|              | Neutrophil |     |     |     | DEG  score Eosinophil |          |     |     | lihportueN |                |     |</x:v>
      </x:c>
      <x:c r="F211" s="33" t="str">
        <x:v>DEG</x:v>
      </x:c>
      <x:c r="G211" s="33" t="str"/>
      <x:c r="H211" s="33" t="str"/>
      <x:c r="I211" s="33" t="str"/>
      <x:c r="J211" s="33" t="str"/>
      <x:c r="K211" s="33" t="str">
        <x:v>Markdown line 93</x:v>
      </x:c>
      <x:c r="L211" s="33" t="str">
        <x:v>|              | Neutrophil |     |     |     | DEG  score Eosinophil |          |     |     | lihportueN |                |     |</x:v>
      </x:c>
      <x:c r="M211" s="23" t="str">
        <x:v>pending</x:v>
      </x:c>
    </x:row>
    <x:row r="212">
      <x:c r="A212" s="26" t="n">
        <x:v>32</x:v>
      </x:c>
      <x:c r="B212" s="10" t="str">
        <x:v>DOI_10.1038_s41586-021-03929-x</x:v>
      </x:c>
      <x:c r="C212" s="10" t="str">
        <x:v>Blood and immune development in human fetal bone marrow and Down syndrome.</x:v>
      </x:c>
      <x:c r="D212" s="10" t="str">
        <x:v>enrichment</x:v>
      </x:c>
      <x:c r="E212" s="33" t="str">
        <x:v>ferentiation pseudotime in Down syndrome (Monocle 3), an increase  IT G A 6 CD49f C D 3 4</x:v>
      </x:c>
      <x:c r="F212" s="33" t="str">
        <x:v>pseudotime</x:v>
      </x:c>
      <x:c r="G212" s="33" t="str"/>
      <x:c r="H212" s="33" t="str">
        <x:v>3</x:v>
      </x:c>
      <x:c r="I212" s="33" t="str"/>
      <x:c r="J212" s="33" t="str"/>
      <x:c r="K212" s="33" t="str">
        <x:v>Markdown line 248</x:v>
      </x:c>
      <x:c r="L212" s="33" t="str">
        <x:v>ferentiation pseudotime in Down syndrome (Monocle 3), an increase  IT G A 6 CD49f C D 3 4</x:v>
      </x:c>
      <x:c r="M212" s="23" t="str">
        <x:v>pending</x:v>
      </x:c>
    </x:row>
    <x:row r="213">
      <x:c r="A213" s="26" t="n">
        <x:v>32</x:v>
      </x:c>
      <x:c r="B213" s="10" t="str">
        <x:v>DOI_10.1038_s41586-021-03929-x</x:v>
      </x:c>
      <x:c r="C213" s="10" t="str">
        <x:v>Blood and immune development in human fetal bone marrow and Down syndrome.</x:v>
      </x:c>
      <x:c r="D213" s="10" t="str">
        <x:v>abundance_proportion</x:v>
      </x:c>
      <x:c r="E213" s="33" t="str">
        <x:v>Abundance of cell-type</x:v>
      </x:c>
      <x:c r="F213" s="33" t="str">
        <x:v>abundance</x:v>
      </x:c>
      <x:c r="G213" s="33" t="str"/>
      <x:c r="H213" s="33" t="str"/>
      <x:c r="I213" s="33" t="str"/>
      <x:c r="J213" s="33" t="str"/>
      <x:c r="K213" s="33" t="str">
        <x:v>Markdown line 79</x:v>
      </x:c>
      <x:c r="L213" s="33" t="str">
        <x:v>Abundance of cell-type</x:v>
      </x:c>
      <x:c r="M213" s="23" t="str">
        <x:v>pending</x:v>
      </x:c>
    </x:row>
    <x:row r="214">
      <x:c r="A214" s="26" t="n">
        <x:v>32</x:v>
      </x:c>
      <x:c r="B214" s="10" t="str">
        <x:v>DOI_10.1038_s41586-021-03929-x</x:v>
      </x:c>
      <x:c r="C214" s="10" t="str">
        <x:v>Blood and immune development in human fetal bone marrow and Down syndrome.</x:v>
      </x:c>
      <x:c r="D214" s="10" t="str">
        <x:v>multiple_testing</x:v>
      </x:c>
      <x:c r="E214" s="33" t="str">
        <x:v>MK, megakaryocyte. b, Gene expression dot plot of cell-state-defining genes  for multiple testing with a false discovery rate of greater than 10%) estimated</x:v>
      </x:c>
      <x:c r="F214" s="33" t="str">
        <x:v>multiple testing</x:v>
      </x:c>
      <x:c r="G214" s="33" t="str"/>
      <x:c r="H214" s="33" t="str"/>
      <x:c r="I214" s="33" t="str"/>
      <x:c r="J214" s="33" t="str">
        <x:v>MK, megakaryocyte. b, Gene expression dot plot of cell-state-defining genes  for multiple testing with a false discovery rate of greater than 10%) estimated</x:v>
      </x:c>
      <x:c r="K214" s="33" t="str">
        <x:v>Markdown line 105</x:v>
      </x:c>
      <x:c r="L214" s="33" t="str">
        <x:v>MK, megakaryocyte. b, Gene expression dot plot of cell-state-defining genes  for multiple testing with a false discovery rate of greater than 10%) estimated</x:v>
      </x:c>
      <x:c r="M214" s="23" t="str">
        <x:v>pending</x:v>
      </x:c>
    </x:row>
    <x:row r="215">
      <x:c r="A215" s="26" t="n">
        <x:v>32</x:v>
      </x:c>
      <x:c r="B215" s="10" t="str">
        <x:v>DOI_10.1038_s41586-021-03929-x</x:v>
      </x:c>
      <x:c r="C215" s="10" t="str">
        <x:v>Blood and immune development in human fetal bone marrow and Down syndrome.</x:v>
      </x:c>
      <x:c r="D215" s="10" t="str">
        <x:v>software</x:v>
      </x:c>
      <x:c r="E215" s="33" t="str">
        <x:v>pro-B and immature B cells, consistent with fetal liver data in Down  neutrophil differentiation (inferred by Monocle 3), genes associated</x:v>
      </x:c>
      <x:c r="F215" s="33" t="str">
        <x:v>Monocle</x:v>
      </x:c>
      <x:c r="G215" s="33" t="str">
        <x:v>Monocle</x:v>
      </x:c>
      <x:c r="H215" s="33" t="str">
        <x:v>3</x:v>
      </x:c>
      <x:c r="I215" s="33" t="str"/>
      <x:c r="J215" s="33" t="str"/>
      <x:c r="K215" s="33" t="str">
        <x:v>Markdown line 143</x:v>
      </x:c>
      <x:c r="L215" s="33" t="str">
        <x:v>pro-B and immature B cells, consistent with fetal liver data in Down  neutrophil differentiation (inferred by Monocle 3), genes associated</x:v>
      </x:c>
      <x:c r="M215" s="23" t="str">
        <x:v>pending</x:v>
      </x:c>
    </x:row>
    <x:row r="216">
      <x:c r="A216" s="26" t="n">
        <x:v>33</x:v>
      </x:c>
      <x:c r="B216" s="10" t="str">
        <x:v>DOI_10.1038_s41588-025-02182-6</x:v>
      </x:c>
      <x:c r="C216" s="10" t="str">
        <x:v>An integrated transcriptomic cell atlas of human endoderm-derived organoids.</x:v>
      </x:c>
      <x:c r="D216" s="10" t="str">
        <x:v>quality_control</x:v>
      </x:c>
      <x:c r="E216" s="33" t="str">
        <x:v>ing RNA genes. The low-quality cells in each sample were filed. The</x:v>
      </x:c>
      <x:c r="F216" s="33" t="str">
        <x:v>low-quality</x:v>
      </x:c>
      <x:c r="G216" s="33" t="str"/>
      <x:c r="H216" s="33" t="str"/>
      <x:c r="I216" s="33" t="str"/>
      <x:c r="J216" s="33" t="str"/>
      <x:c r="K216" s="33" t="str">
        <x:v>Markdown line 3116</x:v>
      </x:c>
      <x:c r="L216" s="33" t="str">
        <x:v>ing RNA genes. The low-quality cells in each sample were filed. The</x:v>
      </x:c>
      <x:c r="M216" s="23" t="str">
        <x:v>pending</x:v>
      </x:c>
    </x:row>
    <x:row r="217">
      <x:c r="A217" s="26" t="n">
        <x:v>33</x:v>
      </x:c>
      <x:c r="B217" s="10" t="str">
        <x:v>DOI_10.1038_s41588-025-02182-6</x:v>
      </x:c>
      <x:c r="C217" s="10" t="str">
        <x:v>An integrated transcriptomic cell atlas of human endoderm-derived organoids.</x:v>
      </x:c>
      <x:c r="D217" s="10" t="str">
        <x:v>normalization_integration</x:v>
      </x:c>
      <x:c r="E217" s="33" t="str">
        <x:v>version of a human endoderm-derived organoid cell atlas. The integration</x:v>
      </x:c>
      <x:c r="F217" s="33" t="str">
        <x:v>integration</x:v>
      </x:c>
      <x:c r="G217" s="33" t="str"/>
      <x:c r="H217" s="33" t="str"/>
      <x:c r="I217" s="33" t="str"/>
      <x:c r="J217" s="33" t="str"/>
      <x:c r="K217" s="33" t="str">
        <x:v>Markdown line 37</x:v>
      </x:c>
      <x:c r="L217" s="33" t="str">
        <x:v>version of a human endoderm-derived organoid cell atlas. The integration</x:v>
      </x:c>
      <x:c r="M217" s="23" t="str">
        <x:v>pending</x:v>
      </x:c>
    </x:row>
    <x:row r="218">
      <x:c r="A218" s="26" t="n">
        <x:v>33</x:v>
      </x:c>
      <x:c r="B218" s="10" t="str">
        <x:v>DOI_10.1038_s41588-025-02182-6</x:v>
      </x:c>
      <x:c r="C218" s="10" t="str">
        <x:v>An integrated transcriptomic cell atlas of human endoderm-derived organoids.</x:v>
      </x:c>
      <x:c r="D218" s="10" t="str">
        <x:v>dimension_reduction_clustering</x:v>
      </x:c>
      <x:c r="E218" s="33" t="str">
        <x:v>which cells derived from organoid models of a certain organ clustered</x:v>
      </x:c>
      <x:c r="F218" s="33" t="str">
        <x:v>cluster</x:v>
      </x:c>
      <x:c r="G218" s="33" t="str"/>
      <x:c r="H218" s="33" t="str"/>
      <x:c r="I218" s="33" t="str"/>
      <x:c r="J218" s="33" t="str"/>
      <x:c r="K218" s="33" t="str">
        <x:v>Markdown line 92</x:v>
      </x:c>
      <x:c r="L218" s="33" t="str">
        <x:v>which cells derived from organoid models of a certain organ clustered</x:v>
      </x:c>
      <x:c r="M218" s="23" t="str">
        <x:v>pending</x:v>
      </x:c>
    </x:row>
    <x:row r="219">
      <x:c r="A219" s="26" t="n">
        <x:v>33</x:v>
      </x:c>
      <x:c r="B219" s="10" t="str">
        <x:v>DOI_10.1038_s41588-025-02182-6</x:v>
      </x:c>
      <x:c r="C219" s="10" t="str">
        <x:v>An integrated transcriptomic cell atlas of human endoderm-derived organoids.</x:v>
      </x:c>
      <x:c r="D219" s="10" t="str">
        <x:v>differential_expression</x:v>
      </x:c>
      <x:c r="E219" s="33" t="str">
        <x:v>reference cells for differential expression analysis and mean distance</x:v>
      </x:c>
      <x:c r="F219" s="33" t="str">
        <x:v>differential expression</x:v>
      </x:c>
      <x:c r="G219" s="33" t="str"/>
      <x:c r="H219" s="33" t="str"/>
      <x:c r="I219" s="33" t="str"/>
      <x:c r="J219" s="33" t="str"/>
      <x:c r="K219" s="33" t="str">
        <x:v>Markdown line 1777</x:v>
      </x:c>
      <x:c r="L219" s="33" t="str">
        <x:v>reference cells for differential expression analysis and mean distance</x:v>
      </x:c>
      <x:c r="M219" s="23" t="str">
        <x:v>pending</x:v>
      </x:c>
    </x:row>
    <x:row r="220">
      <x:c r="A220" s="26" t="n">
        <x:v>33</x:v>
      </x:c>
      <x:c r="B220" s="10" t="str">
        <x:v>DOI_10.1038_s41588-025-02182-6</x:v>
      </x:c>
      <x:c r="C220" s="10" t="str">
        <x:v>An integrated transcriptomic cell atlas of human endoderm-derived organoids.</x:v>
      </x:c>
      <x:c r="D220" s="10" t="str">
        <x:v>enrichment</x:v>
      </x:c>
      <x:c r="E220" s="33" t="str">
        <x:v>atlas (Fig. 6f,g). Gene Ontology (GO) enrichment analysis showed that</x:v>
      </x:c>
      <x:c r="F220" s="33" t="str">
        <x:v>enrichment analysis</x:v>
      </x:c>
      <x:c r="G220" s="33" t="str"/>
      <x:c r="H220" s="33" t="str"/>
      <x:c r="I220" s="33" t="str"/>
      <x:c r="J220" s="33" t="str"/>
      <x:c r="K220" s="33" t="str">
        <x:v>Markdown line 1848</x:v>
      </x:c>
      <x:c r="L220" s="33" t="str">
        <x:v>atlas (Fig. 6f,g). Gene Ontology (GO) enrichment analysis showed that</x:v>
      </x:c>
      <x:c r="M220" s="23" t="str">
        <x:v>pending</x:v>
      </x:c>
    </x:row>
    <x:row r="221">
      <x:c r="A221" s="26" t="n">
        <x:v>33</x:v>
      </x:c>
      <x:c r="B221" s="10" t="str">
        <x:v>DOI_10.1038_s41588-025-02182-6</x:v>
      </x:c>
      <x:c r="C221" s="10" t="str">
        <x:v>An integrated transcriptomic cell atlas of human endoderm-derived organoids.</x:v>
      </x:c>
      <x:c r="D221" s="10" t="str">
        <x:v>abundance_proportion</x:v>
      </x:c>
      <x:c r="E221" s="33" t="str">
        <x:v>aspects of cell composition, cytoarchitecture and functional proper­</x:v>
      </x:c>
      <x:c r="F221" s="33" t="str">
        <x:v>cell composition</x:v>
      </x:c>
      <x:c r="G221" s="33" t="str"/>
      <x:c r="H221" s="33" t="str"/>
      <x:c r="I221" s="33" t="str"/>
      <x:c r="J221" s="33" t="str"/>
      <x:c r="K221" s="33" t="str">
        <x:v>Markdown line 53</x:v>
      </x:c>
      <x:c r="L221" s="33" t="str">
        <x:v>aspects of cell composition, cytoarchitecture and functional proper­</x:v>
      </x:c>
      <x:c r="M221" s="23" t="str">
        <x:v>pending</x:v>
      </x:c>
    </x:row>
    <x:row r="222">
      <x:c r="A222" s="26" t="n">
        <x:v>33</x:v>
      </x:c>
      <x:c r="B222" s="10" t="str">
        <x:v>DOI_10.1038_s41588-025-02182-6</x:v>
      </x:c>
      <x:c r="C222" s="10" t="str">
        <x:v>An integrated transcriptomic cell atlas of human endoderm-derived organoids.</x:v>
      </x:c>
      <x:c r="D222" s="10" t="str">
        <x:v>software</x:v>
      </x:c>
      <x:c r="E222" s="33" t="str">
        <x:v>single-cell data with Harmony. Nat. Methods 16, 1289–1296</x:v>
      </x:c>
      <x:c r="F222" s="33" t="str">
        <x:v>Harmony</x:v>
      </x:c>
      <x:c r="G222" s="33" t="str">
        <x:v>Harmony</x:v>
      </x:c>
      <x:c r="H222" s="33" t="str"/>
      <x:c r="I222" s="33" t="str"/>
      <x:c r="J222" s="33" t="str"/>
      <x:c r="K222" s="33" t="str">
        <x:v>Markdown line 2939</x:v>
      </x:c>
      <x:c r="L222" s="33" t="str">
        <x:v>single-cell data with Harmony. Nat. Methods 16, 1289–1296</x:v>
      </x:c>
      <x:c r="M222" s="23" t="str">
        <x:v>pending</x:v>
      </x:c>
    </x:row>
    <x:row r="223">
      <x:c r="A223" s="26" t="n">
        <x:v>34</x:v>
      </x:c>
      <x:c r="B223" s="10" t="str">
        <x:v>DOI_10.1126_science.abl4290</x:v>
      </x:c>
      <x:c r="C223" s="10" t="str">
        <x:v>Single-nucleus cross-tissue molecular reference maps toward understanding disease gene function.</x:v>
      </x:c>
      <x:c r="D223" s="10" t="str">
        <x:v>quality_control</x:v>
      </x:c>
      <x:c r="E223" s="33" t="str">
        <x:v>quality control metrics per profiled cell or nucleus, as well as the diversity and proportions</x:v>
      </x:c>
      <x:c r="F223" s="33" t="str">
        <x:v>quality control</x:v>
      </x:c>
      <x:c r="G223" s="33" t="str"/>
      <x:c r="H223" s="33" t="str"/>
      <x:c r="I223" s="33" t="str"/>
      <x:c r="J223" s="33" t="str"/>
      <x:c r="K223" s="33" t="str">
        <x:v>Markdown line 732</x:v>
      </x:c>
      <x:c r="L223" s="33" t="str">
        <x:v>quality control metrics per profiled cell or nucleus, as well as the diversity and proportions</x:v>
      </x:c>
      <x:c r="M223" s="23" t="str">
        <x:v>pending</x:v>
      </x:c>
    </x:row>
    <x:row r="224">
      <x:c r="A224" s="26" t="n">
        <x:v>34</x:v>
      </x:c>
      <x:c r="B224" s="10" t="str">
        <x:v>DOI_10.1126_science.abl4290</x:v>
      </x:c>
      <x:c r="C224" s="10" t="str">
        <x:v>Single-nucleus cross-tissue molecular reference maps toward understanding disease gene function.</x:v>
      </x:c>
      <x:c r="D224" s="10" t="str">
        <x:v>normalization_integration</x:v>
      </x:c>
      <x:c r="E224" s="33" t="str">
        <x:v>data integration and interpretation require cross-tissue analytical frameworks to remove</x:v>
      </x:c>
      <x:c r="F224" s="33" t="str">
        <x:v>integration</x:v>
      </x:c>
      <x:c r="G224" s="33" t="str"/>
      <x:c r="H224" s="33" t="str"/>
      <x:c r="I224" s="33" t="str"/>
      <x:c r="J224" s="33" t="str"/>
      <x:c r="K224" s="33" t="str">
        <x:v>Markdown line 478</x:v>
      </x:c>
      <x:c r="L224" s="33" t="str">
        <x:v>data integration and interpretation require cross-tissue analytical frameworks to remove</x:v>
      </x:c>
      <x:c r="M224" s="23" t="str">
        <x:v>pending</x:v>
      </x:c>
    </x:row>
    <x:row r="225">
      <x:c r="A225" s="26" t="n">
        <x:v>34</x:v>
      </x:c>
      <x:c r="B225" s="10" t="str">
        <x:v>DOI_10.1126_science.abl4290</x:v>
      </x:c>
      <x:c r="C225" s="10" t="str">
        <x:v>Single-nucleus cross-tissue molecular reference maps toward understanding disease gene function.</x:v>
      </x:c>
      <x:c r="D225" s="10" t="str">
        <x:v>dimension_reduction_clustering</x:v>
      </x:c>
      <x:c r="E225" s="33" t="str">
        <x:v>tissue-specific subclusters (Fig. 1, B to D), suggesting that the variation between cell types is</x:v>
      </x:c>
      <x:c r="F225" s="33" t="str">
        <x:v>cluster</x:v>
      </x:c>
      <x:c r="G225" s="33" t="str"/>
      <x:c r="H225" s="33" t="str"/>
      <x:c r="I225" s="33" t="str"/>
      <x:c r="J225" s="33" t="str"/>
      <x:c r="K225" s="33" t="str">
        <x:v>Markdown line 604</x:v>
      </x:c>
      <x:c r="L225" s="33" t="str">
        <x:v>tissue-specific subclusters (Fig. 1, B to D), suggesting that the variation between cell types is</x:v>
      </x:c>
      <x:c r="M225" s="23" t="str">
        <x:v>pending</x:v>
      </x:c>
    </x:row>
    <x:row r="226">
      <x:c r="A226" s="26" t="n">
        <x:v>34</x:v>
      </x:c>
      <x:c r="B226" s="10" t="str">
        <x:v>DOI_10.1126_science.abl4290</x:v>
      </x:c>
      <x:c r="C226" s="10" t="str">
        <x:v>Single-nucleus cross-tissue molecular reference maps toward understanding disease gene function.</x:v>
      </x:c>
      <x:c r="D226" s="10" t="str">
        <x:v>differential_expression</x:v>
      </x:c>
      <x:c r="E226" s="33" t="str">
        <x:v>clustering (28) by identifying genes that are differentially expressed between clusters and</x:v>
      </x:c>
      <x:c r="F226" s="33" t="str">
        <x:v>differentially expressed</x:v>
      </x:c>
      <x:c r="G226" s="33" t="str"/>
      <x:c r="H226" s="33" t="str"/>
      <x:c r="I226" s="33" t="str"/>
      <x:c r="J226" s="33" t="str"/>
      <x:c r="K226" s="33" t="str">
        <x:v>Markdown line 608</x:v>
      </x:c>
      <x:c r="L226" s="33" t="str">
        <x:v>clustering (28) by identifying genes that are differentially expressed between clusters and</x:v>
      </x:c>
      <x:c r="M226" s="23" t="str">
        <x:v>pending</x:v>
      </x:c>
    </x:row>
    <x:row r="227">
      <x:c r="A227" s="26" t="n">
        <x:v>34</x:v>
      </x:c>
      <x:c r="B227" s="10" t="str">
        <x:v>DOI_10.1126_science.abl4290</x:v>
      </x:c>
      <x:c r="C227" s="10" t="str">
        <x:v>Single-nucleus cross-tissue molecular reference maps toward understanding disease gene function.</x:v>
      </x:c>
      <x:c r="D227" s="10" t="str">
        <x:v>enrichment</x:v>
      </x:c>
      <x:c r="E227" s="33" t="str">
        <x:v>144. Efremova M, Vento-Tormo M, Teichmann SA, Vento-Tormo R, CellPhoneDB: Inferring cell-cell</x:v>
      </x:c>
      <x:c r="F227" s="33" t="str">
        <x:v>CellPhoneDB</x:v>
      </x:c>
      <x:c r="G227" s="33" t="str"/>
      <x:c r="H227" s="33" t="str"/>
      <x:c r="I227" s="33" t="str"/>
      <x:c r="J227" s="33" t="str"/>
      <x:c r="K227" s="33" t="str">
        <x:v>Markdown line 3540</x:v>
      </x:c>
      <x:c r="L227" s="33" t="str">
        <x:v>144. Efremova M, Vento-Tormo M, Teichmann SA, Vento-Tormo R, CellPhoneDB: Inferring cell-cell</x:v>
      </x:c>
      <x:c r="M227" s="23" t="str">
        <x:v>pending</x:v>
      </x:c>
    </x:row>
    <x:row r="228">
      <x:c r="A228" s="26" t="n">
        <x:v>34</x:v>
      </x:c>
      <x:c r="B228" s="10" t="str">
        <x:v>DOI_10.1126_science.abl4290</x:v>
      </x:c>
      <x:c r="C228" s="10" t="str">
        <x:v>Single-nucleus cross-tissue molecular reference maps toward understanding disease gene function.</x:v>
      </x:c>
      <x:c r="D228" s="10" t="str">
        <x:v>abundance_proportion</x:v>
      </x:c>
      <x:c r="E228" s="33" t="str">
        <x:v>[current study; (28)], and prostate (38). For cell composition (Fig. 2B), we recovered the</x:v>
      </x:c>
      <x:c r="F228" s="33" t="str">
        <x:v>cell composition</x:v>
      </x:c>
      <x:c r="G228" s="33" t="str"/>
      <x:c r="H228" s="33" t="str"/>
      <x:c r="I228" s="33" t="str"/>
      <x:c r="J228" s="33" t="str"/>
      <x:c r="K228" s="33" t="str">
        <x:v>Markdown line 847</x:v>
      </x:c>
      <x:c r="L228" s="33" t="str">
        <x:v>[current study; (28)], and prostate (38). For cell composition (Fig. 2B), we recovered the</x:v>
      </x:c>
      <x:c r="M228" s="23" t="str">
        <x:v>pending</x:v>
      </x:c>
    </x:row>
    <x:row r="229">
      <x:c r="A229" s="26" t="n">
        <x:v>34</x:v>
      </x:c>
      <x:c r="B229" s="10" t="str">
        <x:v>DOI_10.1126_science.abl4290</x:v>
      </x:c>
      <x:c r="C229" s="10" t="str">
        <x:v>Single-nucleus cross-tissue molecular reference maps toward understanding disease gene function.</x:v>
      </x:c>
      <x:c r="D229" s="10" t="str">
        <x:v>multiple_testing</x:v>
      </x:c>
      <x:c r="E229" s="33" t="str">
        <x:v>skeletal muscle and heart [false discovery rate (FDR) &lt; 0.05], irrespective of protocol,</x:v>
      </x:c>
      <x:c r="F229" s="33" t="str">
        <x:v>FDR</x:v>
      </x:c>
      <x:c r="G229" s="33" t="str"/>
      <x:c r="H229" s="33" t="str"/>
      <x:c r="I229" s="33" t="str">
        <x:v>FDR) &lt; 0</x:v>
      </x:c>
      <x:c r="J229" s="33" t="str">
        <x:v>skeletal muscle and heart [false discovery rate (FDR) &lt; 0.05], irrespective of protocol,</x:v>
      </x:c>
      <x:c r="K229" s="33" t="str">
        <x:v>Markdown line 588</x:v>
      </x:c>
      <x:c r="L229" s="33" t="str">
        <x:v>skeletal muscle and heart [false discovery rate (FDR) &lt; 0.05], irrespective of protocol,</x:v>
      </x:c>
      <x:c r="M229" s="23" t="str">
        <x:v>pending</x:v>
      </x:c>
    </x:row>
    <x:row r="230">
      <x:c r="A230" s="26" t="n">
        <x:v>34</x:v>
      </x:c>
      <x:c r="B230" s="10" t="str">
        <x:v>DOI_10.1126_science.abl4290</x:v>
      </x:c>
      <x:c r="C230" s="10" t="str">
        <x:v>Single-nucleus cross-tissue molecular reference maps toward understanding disease gene function.</x:v>
      </x:c>
      <x:c r="D230" s="10" t="str">
        <x:v>software</x:v>
      </x:c>
      <x:c r="E230" s="33" t="str">
        <x:v>144. Efremova M, Vento-Tormo M, Teichmann SA, Vento-Tormo R, CellPhoneDB: Inferring cell-cell</x:v>
      </x:c>
      <x:c r="F230" s="33" t="str">
        <x:v>CellPhoneDB</x:v>
      </x:c>
      <x:c r="G230" s="33" t="str">
        <x:v>CellPhoneDB</x:v>
      </x:c>
      <x:c r="H230" s="33" t="str"/>
      <x:c r="I230" s="33" t="str"/>
      <x:c r="J230" s="33" t="str"/>
      <x:c r="K230" s="33" t="str">
        <x:v>Markdown line 3540</x:v>
      </x:c>
      <x:c r="L230" s="33" t="str">
        <x:v>144. Efremova M, Vento-Tormo M, Teichmann SA, Vento-Tormo R, CellPhoneDB: Inferring cell-cell</x:v>
      </x:c>
      <x:c r="M230" s="23" t="str">
        <x:v>pending</x:v>
      </x:c>
    </x:row>
    <x:row r="231">
      <x:c r="A231" s="26" t="n">
        <x:v>35</x:v>
      </x:c>
      <x:c r="B231" s="10" t="str">
        <x:v>DOI_10.1126_science.abo0510</x:v>
      </x:c>
      <x:c r="C231" s="10" t="str">
        <x:v>Mapping the developing human immune system across organs.</x:v>
      </x:c>
      <x:c r="D231" s="10" t="str">
        <x:v>quality_control</x:v>
      </x:c>
      <x:c r="E231" s="33" t="str">
        <x:v>subjected to z-max projection followed by 2D Gaussian filtering (sigma = 0.5 pixels). The DAPI</x:v>
      </x:c>
      <x:c r="F231" s="33" t="str">
        <x:v>filtering</x:v>
      </x:c>
      <x:c r="G231" s="33" t="str"/>
      <x:c r="H231" s="33" t="str"/>
      <x:c r="I231" s="33" t="str"/>
      <x:c r="J231" s="33" t="str"/>
      <x:c r="K231" s="33" t="str">
        <x:v>Markdown line 158</x:v>
      </x:c>
      <x:c r="L231" s="33" t="str">
        <x:v>subjected to z-max projection followed by 2D Gaussian filtering (sigma = 0.5 pixels). The DAPI</x:v>
      </x:c>
      <x:c r="M231" s="23" t="str">
        <x:v>pending</x:v>
      </x:c>
    </x:row>
    <x:row r="232">
      <x:c r="A232" s="26" t="n">
        <x:v>35</x:v>
      </x:c>
      <x:c r="B232" s="10" t="str">
        <x:v>DOI_10.1126_science.abo0510</x:v>
      </x:c>
      <x:c r="C232" s="10" t="str">
        <x:v>Mapping the developing human immune system across organs.</x:v>
      </x:c>
      <x:c r="D232" s="10" t="str">
        <x:v>normalization_integration</x:v>
      </x:c>
      <x:c r="E232" s="33" t="str">
        <x:v>Data integration and annotation</x:v>
      </x:c>
      <x:c r="F232" s="33" t="str">
        <x:v>integration</x:v>
      </x:c>
      <x:c r="G232" s="33" t="str"/>
      <x:c r="H232" s="33" t="str"/>
      <x:c r="I232" s="33" t="str"/>
      <x:c r="J232" s="33" t="str"/>
      <x:c r="K232" s="33" t="str">
        <x:v>Markdown line 204</x:v>
      </x:c>
      <x:c r="L232" s="33" t="str">
        <x:v>Data integration and annotation</x:v>
      </x:c>
      <x:c r="M232" s="23" t="str">
        <x:v>pending</x:v>
      </x:c>
    </x:row>
    <x:row r="233">
      <x:c r="A233" s="26" t="n">
        <x:v>35</x:v>
      </x:c>
      <x:c r="B233" s="10" t="str">
        <x:v>DOI_10.1126_science.abo0510</x:v>
      </x:c>
      <x:c r="C233" s="10" t="str">
        <x:v>Mapping the developing human immune system across organs.</x:v>
      </x:c>
      <x:c r="D233" s="10" t="str">
        <x:v>dimension_reduction_clustering</x:v>
      </x:c>
      <x:c r="E233" s="33" t="str">
        <x:v>was run twice, setting the number of genotype clusters to 1 and 2 to obtain models for no</x:v>
      </x:c>
      <x:c r="F233" s="33" t="str">
        <x:v>cluster</x:v>
      </x:c>
      <x:c r="G233" s="33" t="str"/>
      <x:c r="H233" s="33" t="str"/>
      <x:c r="I233" s="33" t="str"/>
      <x:c r="J233" s="33" t="str"/>
      <x:c r="K233" s="33" t="str">
        <x:v>Markdown line 189</x:v>
      </x:c>
      <x:c r="L233" s="33" t="str">
        <x:v>was run twice, setting the number of genotype clusters to 1 and 2 to obtain models for no</x:v>
      </x:c>
      <x:c r="M233" s="23" t="str">
        <x:v>pending</x:v>
      </x:c>
    </x:row>
    <x:row r="234">
      <x:c r="A234" s="26" t="n">
        <x:v>35</x:v>
      </x:c>
      <x:c r="B234" s="10" t="str">
        <x:v>DOI_10.1126_science.abo0510</x:v>
      </x:c>
      <x:c r="C234" s="10" t="str">
        <x:v>Mapping the developing human immune system across organs.</x:v>
      </x:c>
      <x:c r="D234" s="10" t="str">
        <x:v>differential_expression</x:v>
      </x:c>
      <x:c r="E234" s="33" t="str">
        <x:v>differential expression between cells from organ o assigned to the significant neighborhoods</x:v>
      </x:c>
      <x:c r="F234" s="33" t="str">
        <x:v>differential expression</x:v>
      </x:c>
      <x:c r="G234" s="33" t="str"/>
      <x:c r="H234" s="33" t="str"/>
      <x:c r="I234" s="33" t="str"/>
      <x:c r="J234" s="33" t="str"/>
      <x:c r="K234" s="33" t="str">
        <x:v>Markdown line 354</x:v>
      </x:c>
      <x:c r="L234" s="33" t="str">
        <x:v>differential expression between cells from organ o assigned to the significant neighborhoods</x:v>
      </x:c>
      <x:c r="M234" s="23" t="str">
        <x:v>pending</x:v>
      </x:c>
    </x:row>
    <x:row r="235">
      <x:c r="A235" s="26" t="n">
        <x:v>35</x:v>
      </x:c>
      <x:c r="B235" s="10" t="str">
        <x:v>DOI_10.1126_science.abo0510</x:v>
      </x:c>
      <x:c r="C235" s="10" t="str">
        <x:v>Mapping the developing human immune system across organs.</x:v>
      </x:c>
      <x:c r="D235" s="10" t="str">
        <x:v>enrichment</x:v>
      </x:c>
      <x:c r="E235" s="33" t="str">
        <x:v>FDR &lt; 0.1%. Gene set enrichment analysis was performed using the implementation of the</x:v>
      </x:c>
      <x:c r="F235" s="33" t="str">
        <x:v>gene set enrichment</x:v>
      </x:c>
      <x:c r="G235" s="33" t="str"/>
      <x:c r="H235" s="33" t="str"/>
      <x:c r="I235" s="33" t="str">
        <x:v>FDR &lt; 0</x:v>
      </x:c>
      <x:c r="J235" s="33" t="str"/>
      <x:c r="K235" s="33" t="str">
        <x:v>Markdown line 359</x:v>
      </x:c>
      <x:c r="L235" s="33" t="str">
        <x:v>FDR &lt; 0.1%. Gene set enrichment analysis was performed using the implementation of the</x:v>
      </x:c>
      <x:c r="M235" s="23" t="str">
        <x:v>pending</x:v>
      </x:c>
    </x:row>
    <x:row r="236">
      <x:c r="A236" s="26" t="n">
        <x:v>35</x:v>
      </x:c>
      <x:c r="B236" s="10" t="str">
        <x:v>DOI_10.1126_science.abo0510</x:v>
      </x:c>
      <x:c r="C236" s="10" t="str">
        <x:v>Mapping the developing human immune system across organs.</x:v>
      </x:c>
      <x:c r="D236" s="10" t="str">
        <x:v>abundance_proportion</x:v>
      </x:c>
      <x:c r="E236" s="33" t="str">
        <x:v>Differential abundance analysis</x:v>
      </x:c>
      <x:c r="F236" s="33" t="str">
        <x:v>differential abundance</x:v>
      </x:c>
      <x:c r="G236" s="33" t="str"/>
      <x:c r="H236" s="33" t="str"/>
      <x:c r="I236" s="33" t="str"/>
      <x:c r="J236" s="33" t="str"/>
      <x:c r="K236" s="33" t="str">
        <x:v>Markdown line 270</x:v>
      </x:c>
      <x:c r="L236" s="33" t="str">
        <x:v>Differential abundance analysis</x:v>
      </x:c>
      <x:c r="M236" s="23" t="str">
        <x:v>pending</x:v>
      </x:c>
    </x:row>
    <x:row r="237">
      <x:c r="A237" s="26" t="n">
        <x:v>35</x:v>
      </x:c>
      <x:c r="B237" s="10" t="str">
        <x:v>DOI_10.1126_science.abo0510</x:v>
      </x:c>
      <x:c r="C237" s="10" t="str">
        <x:v>Mapping the developing human immune system across organs.</x:v>
      </x:c>
      <x:c r="D237" s="10" t="str">
        <x:v>multiple_testing</x:v>
      </x:c>
      <x:c r="E237" s="33" t="str">
        <x:v>To control for multiple testing, we used the weighted BH correction as previously implemented</x:v>
      </x:c>
      <x:c r="F237" s="33" t="str">
        <x:v>multiple testing</x:v>
      </x:c>
      <x:c r="G237" s="33" t="str"/>
      <x:c r="H237" s="33" t="str"/>
      <x:c r="I237" s="33" t="str"/>
      <x:c r="J237" s="33" t="str">
        <x:v>To control for multiple testing, we used the weighted BH correction as previously implemented</x:v>
      </x:c>
      <x:c r="K237" s="33" t="str">
        <x:v>Markdown line 338</x:v>
      </x:c>
      <x:c r="L237" s="33" t="str">
        <x:v>To control for multiple testing, we used the weighted BH correction as previously implemented</x:v>
      </x:c>
      <x:c r="M237" s="23" t="str">
        <x:v>pending</x:v>
      </x:c>
    </x:row>
    <x:row r="238">
      <x:c r="A238" s="26" t="n">
        <x:v>35</x:v>
      </x:c>
      <x:c r="B238" s="10" t="str">
        <x:v>DOI_10.1126_science.abo0510</x:v>
      </x:c>
      <x:c r="C238" s="10" t="str">
        <x:v>Mapping the developing human immune system across organs.</x:v>
      </x:c>
      <x:c r="D238" s="10" t="str">
        <x:v>software</x:v>
      </x:c>
      <x:c r="E238" s="33" t="str">
        <x:v>Data normalization and preprocessing were performed using the Scanpy workflow (v1.8.1) (79).</x:v>
      </x:c>
      <x:c r="F238" s="33" t="str">
        <x:v>Scanpy</x:v>
      </x:c>
      <x:c r="G238" s="33" t="str">
        <x:v>Scanpy</x:v>
      </x:c>
      <x:c r="H238" s="33" t="str"/>
      <x:c r="I238" s="33" t="str"/>
      <x:c r="J238" s="33" t="str"/>
      <x:c r="K238" s="33" t="str">
        <x:v>Markdown line 205</x:v>
      </x:c>
      <x:c r="L238" s="33" t="str">
        <x:v>Data normalization and preprocessing were performed using the Scanpy workflow (v1.8.1) (79).</x:v>
      </x:c>
      <x:c r="M238" s="23" t="str">
        <x:v>pending</x:v>
      </x:c>
    </x:row>
    <x:row r="239">
      <x:c r="A239" s="26" t="n">
        <x:v>36</x:v>
      </x:c>
      <x:c r="B239" s="10" t="str">
        <x:v>DOI_10.1038_s41467-024-52052-8</x:v>
      </x:c>
      <x:c r="C239" s="10" t="str">
        <x:v>The single-cell transcriptomic atlas iPain identifies senescence of nociceptors as a therapeutical target for chronic pain treatment.</x:v>
      </x:c>
      <x:c r="D239" s="10" t="str">
        <x:v>quality_control</x:v>
      </x:c>
      <x:c r="E239" s="33" t="str">
        <x:v>fromhDRGbulkRNA-seqcoloredbydifferentcelltypes.eAheatmapplotrepre- family-wiseerrorrateof0.05.Boxplotsindicatethemedianatthecenter,upper</x:v>
      </x:c>
      <x:c r="F239" s="33" t="str">
        <x:v>QC</x:v>
      </x:c>
      <x:c r="G239" s="33" t="str"/>
      <x:c r="H239" s="33" t="str"/>
      <x:c r="I239" s="33" t="str"/>
      <x:c r="J239" s="33" t="str"/>
      <x:c r="K239" s="33" t="str">
        <x:v>Markdown line 335</x:v>
      </x:c>
      <x:c r="L239" s="33" t="str">
        <x:v>fromhDRGbulkRNA-seqcoloredbydifferentcelltypes.eAheatmapplotrepre- family-wiseerrorrateof0.05.Boxplotsindicatethemedianatthecenter,upper</x:v>
      </x:c>
      <x:c r="M239" s="23" t="str">
        <x:v>pending</x:v>
      </x:c>
    </x:row>
    <x:row r="240">
      <x:c r="A240" s="26" t="n">
        <x:v>36</x:v>
      </x:c>
      <x:c r="B240" s="10" t="str">
        <x:v>DOI_10.1038_s41467-024-52052-8</x:v>
      </x:c>
      <x:c r="C240" s="10" t="str">
        <x:v>The single-cell transcriptomic atlas iPain identifies senescence of nociceptors as a therapeutical target for chronic pain treatment.</x:v>
      </x:c>
      <x:c r="D240" s="10" t="str">
        <x:v>normalization_integration</x:v>
      </x:c>
      <x:c r="E240" s="33" t="str">
        <x:v>|        |        |     | Data 2–3).       | Finally, the atlases | allow for  | the integration          | of datasets |</x:v>
      </x:c>
      <x:c r="F240" s="33" t="str">
        <x:v>integration</x:v>
      </x:c>
      <x:c r="G240" s="33" t="str"/>
      <x:c r="H240" s="33" t="str"/>
      <x:c r="I240" s="33" t="str"/>
      <x:c r="J240" s="33" t="str"/>
      <x:c r="K240" s="33" t="str">
        <x:v>Markdown line 55</x:v>
      </x:c>
      <x:c r="L240" s="33" t="str">
        <x:v>|        |        |     | Data 2–3).       | Finally, the atlases | allow for  | the integration          | of datasets |</x:v>
      </x:c>
      <x:c r="M240" s="23" t="str">
        <x:v>pending</x:v>
      </x:c>
    </x:row>
    <x:row r="241">
      <x:c r="A241" s="26" t="n">
        <x:v>36</x:v>
      </x:c>
      <x:c r="B241" s="10" t="str">
        <x:v>DOI_10.1038_s41467-024-52052-8</x:v>
      </x:c>
      <x:c r="C241" s="10" t="str">
        <x:v>The single-cell transcriptomic atlas iPain identifies senescence of nociceptors as a therapeutical target for chronic pain treatment.</x:v>
      </x:c>
      <x:c r="D241" s="10" t="str">
        <x:v>dimension_reduction_clustering</x:v>
      </x:c>
      <x:c r="E241" s="33" t="str">
        <x:v>Nguyenetal.16 isolatedandre-clusteredneuronsfromthenociceptivelineageinDRG,</x:v>
      </x:c>
      <x:c r="F241" s="33" t="str">
        <x:v>cluster</x:v>
      </x:c>
      <x:c r="G241" s="33" t="str"/>
      <x:c r="H241" s="33" t="str"/>
      <x:c r="I241" s="33" t="str"/>
      <x:c r="J241" s="33" t="str"/>
      <x:c r="K241" s="33" t="str">
        <x:v>Markdown line 84</x:v>
      </x:c>
      <x:c r="L241" s="33" t="str">
        <x:v>Nguyenetal.16 isolatedandre-clusteredneuronsfromthenociceptivelineageinDRG,</x:v>
      </x:c>
      <x:c r="M241" s="23" t="str">
        <x:v>pending</x:v>
      </x:c>
    </x:row>
    <x:row r="242">
      <x:c r="A242" s="26" t="n">
        <x:v>36</x:v>
      </x:c>
      <x:c r="B242" s="10" t="str">
        <x:v>DOI_10.1038_s41467-024-52052-8</x:v>
      </x:c>
      <x:c r="C242" s="10" t="str">
        <x:v>The single-cell transcriptomic atlas iPain identifies senescence of nociceptors as a therapeutical target for chronic pain treatment.</x:v>
      </x:c>
      <x:c r="D242" s="10" t="str">
        <x:v>differential_expression</x:v>
      </x:c>
      <x:c r="E242" s="33" t="str">
        <x:v>integrationmethodscompatiblewiththeimputationofmissinggenes, transitionmatrixandobservedahighdegreeofalignmentwhenwe</x:v>
      </x:c>
      <x:c r="F242" s="33" t="str">
        <x:v>DEG</x:v>
      </x:c>
      <x:c r="G242" s="33" t="str"/>
      <x:c r="H242" s="33" t="str"/>
      <x:c r="I242" s="33" t="str"/>
      <x:c r="J242" s="33" t="str"/>
      <x:c r="K242" s="33" t="str">
        <x:v>Markdown line 132</x:v>
      </x:c>
      <x:c r="L242" s="33" t="str">
        <x:v>integrationmethodscompatiblewiththeimputationofmissinggenes, transitionmatrixandobservedahighdegreeofalignmentwhenwe</x:v>
      </x:c>
      <x:c r="M242" s="23" t="str">
        <x:v>pending</x:v>
      </x:c>
    </x:row>
    <x:row r="243">
      <x:c r="A243" s="26" t="n">
        <x:v>36</x:v>
      </x:c>
      <x:c r="B243" s="10" t="str">
        <x:v>DOI_10.1038_s41467-024-52052-8</x:v>
      </x:c>
      <x:c r="C243" s="10" t="str">
        <x:v>The single-cell transcriptomic atlas iPain identifies senescence of nociceptors as a therapeutical target for chronic pain treatment.</x:v>
      </x:c>
      <x:c r="D243" s="10" t="str">
        <x:v>enrichment</x:v>
      </x:c>
      <x:c r="E243" s="33" t="str">
        <x:v>responsible for the microstates transition and performed cell-cell pseudotime.Sox11wasidentifiedasthesoletranscriptionfactor(TF)</x:v>
      </x:c>
      <x:c r="F243" s="33" t="str">
        <x:v>pseudotime</x:v>
      </x:c>
      <x:c r="G243" s="33" t="str"/>
      <x:c r="H243" s="33" t="str"/>
      <x:c r="I243" s="33" t="str"/>
      <x:c r="J243" s="33" t="str"/>
      <x:c r="K243" s="33" t="str">
        <x:v>Markdown line 146</x:v>
      </x:c>
      <x:c r="L243" s="33" t="str">
        <x:v>responsible for the microstates transition and performed cell-cell pseudotime.Sox11wasidentifiedasthesoletranscriptionfactor(TF)</x:v>
      </x:c>
      <x:c r="M243" s="23" t="str">
        <x:v>pending</x:v>
      </x:c>
    </x:row>
    <x:row r="244">
      <x:c r="A244" s="26" t="n">
        <x:v>36</x:v>
      </x:c>
      <x:c r="B244" s="10" t="str">
        <x:v>DOI_10.1038_s41467-024-52052-8</x:v>
      </x:c>
      <x:c r="C244" s="10" t="str">
        <x:v>The single-cell transcriptomic atlas iPain identifies senescence of nociceptors as a therapeutical target for chronic pain treatment.</x:v>
      </x:c>
      <x:c r="D244" s="10" t="str">
        <x:v>multiple_testing</x:v>
      </x:c>
      <x:c r="E244" s="33" t="str">
        <x:v>andariskofdrugabuse2,3.Thesetreatmentsalsocenteronpainsig- enabledthetransformativeadvancementinourunderstandingofthe</x:v>
      </x:c>
      <x:c r="F244" s="33" t="str">
        <x:v>FDR</x:v>
      </x:c>
      <x:c r="G244" s="33" t="str"/>
      <x:c r="H244" s="33" t="str"/>
      <x:c r="I244" s="33" t="str">
        <x:v>fdrugabuse2,3</x:v>
      </x:c>
      <x:c r="J244" s="33" t="str">
        <x:v>andariskofdrugabuse2,3.Thesetreatmentsalsocenteronpainsig- enabledthetransformativeadvancementinourunderstandingofthe</x:v>
      </x:c>
      <x:c r="K244" s="33" t="str">
        <x:v>Markdown line 25</x:v>
      </x:c>
      <x:c r="L244" s="33" t="str">
        <x:v>andariskofdrugabuse2,3.Thesetreatmentsalsocenteronpainsig- enabledthetransformativeadvancementinourunderstandingofthe</x:v>
      </x:c>
      <x:c r="M244" s="23" t="str">
        <x:v>pending</x:v>
      </x:c>
    </x:row>
    <x:row r="245">
      <x:c r="A245" s="26" t="n">
        <x:v>36</x:v>
      </x:c>
      <x:c r="B245" s="10" t="str">
        <x:v>DOI_10.1038_s41467-024-52052-8</x:v>
      </x:c>
      <x:c r="C245" s="10" t="str">
        <x:v>The single-cell transcriptomic atlas iPain identifies senescence of nociceptors as a therapeutical target for chronic pain treatment.</x:v>
      </x:c>
      <x:c r="D245" s="10" t="str">
        <x:v>software</x:v>
      </x:c>
      <x:c r="E245" s="33" t="str">
        <x:v>gescenteringonthecommunicationbetweennociceptors,immune ceptorsubtypes(Fig.2fandSupplementaryData5).WeusedSCENIC</x:v>
      </x:c>
      <x:c r="F245" s="33" t="str">
        <x:v>SCENIC</x:v>
      </x:c>
      <x:c r="G245" s="33" t="str">
        <x:v>SCENIC</x:v>
      </x:c>
      <x:c r="H245" s="33" t="str"/>
      <x:c r="I245" s="33" t="str"/>
      <x:c r="J245" s="33" t="str"/>
      <x:c r="K245" s="33" t="str">
        <x:v>Markdown line 148</x:v>
      </x:c>
      <x:c r="L245" s="33" t="str">
        <x:v>gescenteringonthecommunicationbetweennociceptors,immune ceptorsubtypes(Fig.2fandSupplementaryData5).WeusedSCENIC</x:v>
      </x:c>
      <x:c r="M245" s="23" t="str">
        <x:v>pending</x:v>
      </x:c>
    </x:row>
    <x:row r="246">
      <x:c r="A246" s="26" t="n">
        <x:v>38</x:v>
      </x:c>
      <x:c r="B246" s="10" t="str">
        <x:v>PMID_35115729</x:v>
      </x:c>
      <x:c r="C246" s="10" t="str">
        <x:v>Disentangling glial diversity in peripheral nerves at single-nuclei resolution</x:v>
      </x:c>
      <x:c r="D246" s="10" t="str">
        <x:v>quality_control</x:v>
      </x:c>
      <x:c r="E246" s="33" t="str">
        <x:v>gene using PySam (v15). The first QC step involved the removal of nuclei with less than</x:v>
      </x:c>
      <x:c r="F246" s="33" t="str">
        <x:v>QC</x:v>
      </x:c>
      <x:c r="G246" s="33" t="str"/>
      <x:c r="H246" s="33" t="str"/>
      <x:c r="I246" s="33" t="str"/>
      <x:c r="J246" s="33" t="str"/>
      <x:c r="K246" s="33" t="str">
        <x:v>Markdown line 578</x:v>
      </x:c>
      <x:c r="L246" s="33" t="str">
        <x:v>gene using PySam (v15). The first QC step involved the removal of nuclei with less than</x:v>
      </x:c>
      <x:c r="M246" s="23" t="str">
        <x:v>pending</x:v>
      </x:c>
    </x:row>
    <x:row r="247">
      <x:c r="A247" s="26" t="n">
        <x:v>38</x:v>
      </x:c>
      <x:c r="B247" s="10" t="str">
        <x:v>PMID_35115729</x:v>
      </x:c>
      <x:c r="C247" s="10" t="str">
        <x:v>Disentangling glial diversity in peripheral nerves at single-nuclei resolution</x:v>
      </x:c>
      <x:c r="D247" s="10" t="str">
        <x:v>normalization_integration</x:v>
      </x:c>
      <x:c r="E247" s="33" t="str">
        <x:v>Computational data integration using Seurat that adjusts for uncontrolled batch effects</x:v>
      </x:c>
      <x:c r="F247" s="33" t="str">
        <x:v>integration</x:v>
      </x:c>
      <x:c r="G247" s="33" t="str"/>
      <x:c r="H247" s="33" t="str"/>
      <x:c r="I247" s="33" t="str"/>
      <x:c r="J247" s="33" t="str"/>
      <x:c r="K247" s="33" t="str">
        <x:v>Markdown line 127</x:v>
      </x:c>
      <x:c r="L247" s="33" t="str">
        <x:v>Computational data integration using Seurat that adjusts for uncontrolled batch effects</x:v>
      </x:c>
      <x:c r="M247" s="23" t="str">
        <x:v>pending</x:v>
      </x:c>
    </x:row>
    <x:row r="248">
      <x:c r="A248" s="26" t="n">
        <x:v>38</x:v>
      </x:c>
      <x:c r="B248" s="10" t="str">
        <x:v>PMID_35115729</x:v>
      </x:c>
      <x:c r="C248" s="10" t="str">
        <x:v>Disentangling glial diversity in peripheral nerves at single-nuclei resolution</x:v>
      </x:c>
      <x:c r="D248" s="10" t="str">
        <x:v>dimension_reduction_clustering</x:v>
      </x:c>
      <x:c r="E248" s="33" t="str">
        <x:v>enabled clustering and identification of 15 distinct cell types in mouse sciatic nerve (Fig.</x:v>
      </x:c>
      <x:c r="F248" s="33" t="str">
        <x:v>clustering</x:v>
      </x:c>
      <x:c r="G248" s="33" t="str"/>
      <x:c r="H248" s="33" t="str"/>
      <x:c r="I248" s="33" t="str"/>
      <x:c r="J248" s="33" t="str"/>
      <x:c r="K248" s="33" t="str">
        <x:v>Markdown line 128</x:v>
      </x:c>
      <x:c r="L248" s="33" t="str">
        <x:v>enabled clustering and identification of 15 distinct cell types in mouse sciatic nerve (Fig.</x:v>
      </x:c>
      <x:c r="M248" s="23" t="str">
        <x:v>pending</x:v>
      </x:c>
    </x:row>
    <x:row r="249">
      <x:c r="A249" s="26" t="n">
        <x:v>38</x:v>
      </x:c>
      <x:c r="B249" s="10" t="str">
        <x:v>PMID_35115729</x:v>
      </x:c>
      <x:c r="C249" s="10" t="str">
        <x:v>Disentangling glial diversity in peripheral nerves at single-nuclei resolution</x:v>
      </x:c>
      <x:c r="D249" s="10" t="str">
        <x:v>differential_expression</x:v>
      </x:c>
      <x:c r="E249" s="33" t="str">
        <x:v>differentially expressed in mSC or nmSC by comparing relative expression between these</x:v>
      </x:c>
      <x:c r="F249" s="33" t="str">
        <x:v>differentially expressed</x:v>
      </x:c>
      <x:c r="G249" s="33" t="str"/>
      <x:c r="H249" s="33" t="str"/>
      <x:c r="I249" s="33" t="str"/>
      <x:c r="J249" s="33" t="str"/>
      <x:c r="K249" s="33" t="str">
        <x:v>Markdown line 283</x:v>
      </x:c>
      <x:c r="L249" s="33" t="str">
        <x:v>differentially expressed in mSC or nmSC by comparing relative expression between these</x:v>
      </x:c>
      <x:c r="M249" s="23" t="str">
        <x:v>pending</x:v>
      </x:c>
    </x:row>
    <x:row r="250">
      <x:c r="A250" s="26" t="n">
        <x:v>38</x:v>
      </x:c>
      <x:c r="B250" s="10" t="str">
        <x:v>PMID_35115729</x:v>
      </x:c>
      <x:c r="C250" s="10" t="str">
        <x:v>Disentangling glial diversity in peripheral nerves at single-nuclei resolution</x:v>
      </x:c>
      <x:c r="D250" s="10" t="str">
        <x:v>enrichment</x:v>
      </x:c>
      <x:c r="E250" s="33" t="str">
        <x:v>and neuroactive ligand-receptor interactions increased in nmSCs (Supp. Table 2). The</x:v>
      </x:c>
      <x:c r="F250" s="33" t="str">
        <x:v>ligand-receptor</x:v>
      </x:c>
      <x:c r="G250" s="33" t="str"/>
      <x:c r="H250" s="33" t="str"/>
      <x:c r="I250" s="33" t="str"/>
      <x:c r="J250" s="33" t="str"/>
      <x:c r="K250" s="33" t="str">
        <x:v>Markdown line 308</x:v>
      </x:c>
      <x:c r="L250" s="33" t="str">
        <x:v>and neuroactive ligand-receptor interactions increased in nmSCs (Supp. Table 2). The</x:v>
      </x:c>
      <x:c r="M250" s="23" t="str">
        <x:v>pending</x:v>
      </x:c>
    </x:row>
    <x:row r="251">
      <x:c r="A251" s="26" t="n">
        <x:v>38</x:v>
      </x:c>
      <x:c r="B251" s="10" t="str">
        <x:v>PMID_35115729</x:v>
      </x:c>
      <x:c r="C251" s="10" t="str">
        <x:v>Disentangling glial diversity in peripheral nerves at single-nuclei resolution</x:v>
      </x:c>
      <x:c r="D251" s="10" t="str">
        <x:v>abundance_proportion</x:v>
      </x:c>
      <x:c r="E251" s="33" t="str">
        <x:v>Mpz-Sun1 mice, n=4 mice in each library). As nuclei contain an abundance of intronic</x:v>
      </x:c>
      <x:c r="F251" s="33" t="str">
        <x:v>abundance</x:v>
      </x:c>
      <x:c r="G251" s="33" t="str"/>
      <x:c r="H251" s="33" t="str"/>
      <x:c r="I251" s="33" t="str"/>
      <x:c r="J251" s="33" t="str"/>
      <x:c r="K251" s="33" t="str">
        <x:v>Markdown line 116</x:v>
      </x:c>
      <x:c r="L251" s="33" t="str">
        <x:v>Mpz-Sun1 mice, n=4 mice in each library). As nuclei contain an abundance of intronic</x:v>
      </x:c>
      <x:c r="M251" s="23" t="str">
        <x:v>pending</x:v>
      </x:c>
    </x:row>
    <x:row r="252">
      <x:c r="A252" s="26" t="n">
        <x:v>38</x:v>
      </x:c>
      <x:c r="B252" s="10" t="str">
        <x:v>PMID_35115729</x:v>
      </x:c>
      <x:c r="C252" s="10" t="str">
        <x:v>Disentangling glial diversity in peripheral nerves at single-nuclei resolution</x:v>
      </x:c>
      <x:c r="D252" s="10" t="str">
        <x:v>multiple_testing</x:v>
      </x:c>
      <x:c r="E252" s="33" t="str">
        <x:v>only those genes with Benjamini-Hochberg false-discovery rate adjusted p-values less than</x:v>
      </x:c>
      <x:c r="F252" s="33" t="str">
        <x:v>Benjamini</x:v>
      </x:c>
      <x:c r="G252" s="33" t="str"/>
      <x:c r="H252" s="33" t="str"/>
      <x:c r="I252" s="33" t="str">
        <x:v>adjusted p-values less than</x:v>
      </x:c>
      <x:c r="J252" s="33" t="str">
        <x:v>only those genes with Benjamini-Hochberg false-discovery rate adjusted p-values less than</x:v>
      </x:c>
      <x:c r="K252" s="33" t="str">
        <x:v>Markdown line 677</x:v>
      </x:c>
      <x:c r="L252" s="33" t="str">
        <x:v>only those genes with Benjamini-Hochberg false-discovery rate adjusted p-values less than</x:v>
      </x:c>
      <x:c r="M252" s="23" t="str">
        <x:v>pending</x:v>
      </x:c>
    </x:row>
    <x:row r="253">
      <x:c r="A253" s="26" t="n">
        <x:v>38</x:v>
      </x:c>
      <x:c r="B253" s="10" t="str">
        <x:v>PMID_35115729</x:v>
      </x:c>
      <x:c r="C253" s="10" t="str">
        <x:v>Disentangling glial diversity in peripheral nerves at single-nuclei resolution</x:v>
      </x:c>
      <x:c r="D253" s="10" t="str">
        <x:v>software</x:v>
      </x:c>
      <x:c r="E253" s="33" t="str">
        <x:v>Computational data integration using Seurat that adjusts for uncontrolled batch effects</x:v>
      </x:c>
      <x:c r="F253" s="33" t="str">
        <x:v>Seurat</x:v>
      </x:c>
      <x:c r="G253" s="33" t="str">
        <x:v>Seurat</x:v>
      </x:c>
      <x:c r="H253" s="33" t="str"/>
      <x:c r="I253" s="33" t="str"/>
      <x:c r="J253" s="33" t="str"/>
      <x:c r="K253" s="33" t="str">
        <x:v>Markdown line 127</x:v>
      </x:c>
      <x:c r="L253" s="33" t="str">
        <x:v>Computational data integration using Seurat that adjusts for uncontrolled batch effects</x:v>
      </x:c>
      <x:c r="M253" s="23" t="str">
        <x:v>pending</x:v>
      </x:c>
    </x:row>
    <x:row r="254">
      <x:c r="A254" s="26" t="n">
        <x:v>39</x:v>
      </x:c>
      <x:c r="B254" s="10" t="str">
        <x:v>DOI_10.1101_2025.09.26.678707</x:v>
      </x:c>
      <x:c r="C254" s="10" t="str">
        <x:v>Cellular and Spatial Drivers of Unresolved Injury and Functional Decline in the Human Kidney</x:v>
      </x:c>
      <x:c r="D254" s="10" t="str">
        <x:v>quality_control</x:v>
      </x:c>
      <x:c r="E254" s="33" t="str">
        <x:v>Degenerative states were frequently enriched for pathways involved in translation, mitochondrial</x:v>
      </x:c>
      <x:c r="F254" s="33" t="str">
        <x:v>mitochondrial</x:v>
      </x:c>
      <x:c r="G254" s="33" t="str"/>
      <x:c r="H254" s="33" t="str"/>
      <x:c r="I254" s="33" t="str"/>
      <x:c r="J254" s="33" t="str"/>
      <x:c r="K254" s="33" t="str">
        <x:v>Markdown line 411</x:v>
      </x:c>
      <x:c r="L254" s="33" t="str">
        <x:v>Degenerative states were frequently enriched for pathways involved in translation, mitochondrial</x:v>
      </x:c>
      <x:c r="M254" s="23" t="str">
        <x:v>pending</x:v>
      </x:c>
    </x:row>
    <x:row r="255">
      <x:c r="A255" s="26" t="n">
        <x:v>39</x:v>
      </x:c>
      <x:c r="B255" s="10" t="str">
        <x:v>DOI_10.1101_2025.09.26.678707</x:v>
      </x:c>
      <x:c r="C255" s="10" t="str">
        <x:v>Cellular and Spatial Drivers of Unresolved Injury and Functional Decline in the Human Kidney</x:v>
      </x:c>
      <x:c r="D255" s="10" t="str">
        <x:v>normalization_integration</x:v>
      </x:c>
      <x:c r="E255" s="33" t="str">
        <x:v>kidney biopsy samples and insufficient integration across disease states and clinical outcomes.</x:v>
      </x:c>
      <x:c r="F255" s="33" t="str">
        <x:v>integration</x:v>
      </x:c>
      <x:c r="G255" s="33" t="str"/>
      <x:c r="H255" s="33" t="str"/>
      <x:c r="I255" s="33" t="str"/>
      <x:c r="J255" s="33" t="str"/>
      <x:c r="K255" s="33" t="str">
        <x:v>Markdown line 154</x:v>
      </x:c>
      <x:c r="L255" s="33" t="str">
        <x:v>kidney biopsy samples and insufficient integration across disease states and clinical outcomes.</x:v>
      </x:c>
      <x:c r="M255" s="23" t="str">
        <x:v>pending</x:v>
      </x:c>
    </x:row>
    <x:row r="256">
      <x:c r="A256" s="26" t="n">
        <x:v>39</x:v>
      </x:c>
      <x:c r="B256" s="10" t="str">
        <x:v>DOI_10.1101_2025.09.26.678707</x:v>
      </x:c>
      <x:c r="C256" s="10" t="str">
        <x:v>Cellular and Spatial Drivers of Unresolved Injury and Functional Decline in the Human Kidney</x:v>
      </x:c>
      <x:c r="D256" s="10" t="str">
        <x:v>dimension_reduction_clustering</x:v>
      </x:c>
      <x:c r="E256" s="33" t="str">
        <x:v>cell type categories were independently clustered to identify fine-grained cell subpopulations</x:v>
      </x:c>
      <x:c r="F256" s="33" t="str">
        <x:v>cluster</x:v>
      </x:c>
      <x:c r="G256" s="33" t="str"/>
      <x:c r="H256" s="33" t="str"/>
      <x:c r="I256" s="33" t="str"/>
      <x:c r="J256" s="33" t="str"/>
      <x:c r="K256" s="33" t="str">
        <x:v>Markdown line 190</x:v>
      </x:c>
      <x:c r="L256" s="33" t="str">
        <x:v>cell type categories were independently clustered to identify fine-grained cell subpopulations</x:v>
      </x:c>
      <x:c r="M256" s="23" t="str">
        <x:v>pending</x:v>
      </x:c>
    </x:row>
    <x:row r="257">
      <x:c r="A257" s="26" t="n">
        <x:v>39</x:v>
      </x:c>
      <x:c r="B257" s="10" t="str">
        <x:v>DOI_10.1101_2025.09.26.678707</x:v>
      </x:c>
      <x:c r="C257" s="10" t="str">
        <x:v>Cellular and Spatial Drivers of Unresolved Injury and Functional Decline in the Human Kidney</x:v>
      </x:c>
      <x:c r="D257" s="10" t="str">
        <x:v>differential_expression</x:v>
      </x:c>
      <x:c r="E257" s="33" t="str">
        <x:v>degenerative or dedifferentiated (d) states associated with elevated stress and cell-death</x:v>
      </x:c>
      <x:c r="F257" s="33" t="str">
        <x:v>DEG</x:v>
      </x:c>
      <x:c r="G257" s="33" t="str"/>
      <x:c r="H257" s="33" t="str"/>
      <x:c r="I257" s="33" t="str"/>
      <x:c r="J257" s="33" t="str"/>
      <x:c r="K257" s="33" t="str">
        <x:v>Markdown line 135</x:v>
      </x:c>
      <x:c r="L257" s="33" t="str">
        <x:v>degenerative or dedifferentiated (d) states associated with elevated stress and cell-death</x:v>
      </x:c>
      <x:c r="M257" s="23" t="str">
        <x:v>pending</x:v>
      </x:c>
    </x:row>
    <x:row r="258">
      <x:c r="A258" s="26" t="n">
        <x:v>39</x:v>
      </x:c>
      <x:c r="B258" s="10" t="str">
        <x:v>DOI_10.1101_2025.09.26.678707</x:v>
      </x:c>
      <x:c r="C258" s="10" t="str">
        <x:v>Cellular and Spatial Drivers of Unresolved Injury and Functional Decline in the Human Kidney</x:v>
      </x:c>
      <x:c r="D258" s="10" t="str">
        <x:v>enrichment</x:v>
      </x:c>
      <x:c r="E258" s="33" t="str">
        <x:v>Pathway enrichment analysis suggests high immune-response, in particular complement-related</x:v>
      </x:c>
      <x:c r="F258" s="33" t="str">
        <x:v>enrichment analysis</x:v>
      </x:c>
      <x:c r="G258" s="33" t="str"/>
      <x:c r="H258" s="33" t="str"/>
      <x:c r="I258" s="33" t="str"/>
      <x:c r="J258" s="33" t="str"/>
      <x:c r="K258" s="33" t="str">
        <x:v>Markdown line 239</x:v>
      </x:c>
      <x:c r="L258" s="33" t="str">
        <x:v>Pathway enrichment analysis suggests high immune-response, in particular complement-related</x:v>
      </x:c>
      <x:c r="M258" s="23" t="str">
        <x:v>pending</x:v>
      </x:c>
    </x:row>
    <x:row r="259">
      <x:c r="A259" s="26" t="n">
        <x:v>39</x:v>
      </x:c>
      <x:c r="B259" s="10" t="str">
        <x:v>DOI_10.1101_2025.09.26.678707</x:v>
      </x:c>
      <x:c r="C259" s="10" t="str">
        <x:v>Cellular and Spatial Drivers of Unresolved Injury and Functional Decline in the Human Kidney</x:v>
      </x:c>
      <x:c r="D259" s="10" t="str">
        <x:v>abundance_proportion</x:v>
      </x:c>
      <x:c r="E259" s="33" t="str">
        <x:v>snRNA-seq abundance trends (Figure 2). Transcription factors driving epithelial repair states</x:v>
      </x:c>
      <x:c r="F259" s="33" t="str">
        <x:v>abundance</x:v>
      </x:c>
      <x:c r="G259" s="33" t="str"/>
      <x:c r="H259" s="33" t="str"/>
      <x:c r="I259" s="33" t="str"/>
      <x:c r="J259" s="33" t="str"/>
      <x:c r="K259" s="33" t="str">
        <x:v>Markdown line 491</x:v>
      </x:c>
      <x:c r="L259" s="33" t="str">
        <x:v>snRNA-seq abundance trends (Figure 2). Transcription factors driving epithelial repair states</x:v>
      </x:c>
      <x:c r="M259" s="23" t="str">
        <x:v>pending</x:v>
      </x:c>
    </x:row>
    <x:row r="260">
      <x:c r="A260" s="26" t="n">
        <x:v>39</x:v>
      </x:c>
      <x:c r="B260" s="10" t="str">
        <x:v>DOI_10.1101_2025.09.26.678707</x:v>
      </x:c>
      <x:c r="C260" s="10" t="str">
        <x:v>Cellular and Spatial Drivers of Unresolved Injury and Functional Decline in the Human Kidney</x:v>
      </x:c>
      <x:c r="D260" s="10" t="str">
        <x:v>multiple_testing</x:v>
      </x:c>
      <x:c r="E260" s="33" t="str">
        <x:v>proteins were significantly associated with increased risk of ESKD after Bonferroni correction</x:v>
      </x:c>
      <x:c r="F260" s="33" t="str">
        <x:v>Bonferroni</x:v>
      </x:c>
      <x:c r="G260" s="33" t="str"/>
      <x:c r="H260" s="33" t="str"/>
      <x:c r="I260" s="33" t="str"/>
      <x:c r="J260" s="33" t="str">
        <x:v>proteins were significantly associated with increased risk of ESKD after Bonferroni correction</x:v>
      </x:c>
      <x:c r="K260" s="33" t="str">
        <x:v>Markdown line 676</x:v>
      </x:c>
      <x:c r="L260" s="33" t="str">
        <x:v>proteins were significantly associated with increased risk of ESKD after Bonferroni correction</x:v>
      </x:c>
      <x:c r="M260" s="23" t="str">
        <x:v>pending</x:v>
      </x:c>
    </x:row>
    <x:row r="261">
      <x:c r="A261" s="26" t="n">
        <x:v>39</x:v>
      </x:c>
      <x:c r="B261" s="10" t="str">
        <x:v>DOI_10.1101_2025.09.26.678707</x:v>
      </x:c>
      <x:c r="C261" s="10" t="str">
        <x:v>Cellular and Spatial Drivers of Unresolved Injury and Functional Decline in the Human Kidney</x:v>
      </x:c>
      <x:c r="D261" s="10" t="str">
        <x:v>software</x:v>
      </x:c>
      <x:c r="E261" s="33" t="str">
        <x:v>Ranger v7.0.0 (RNA-seq) or the 10X Cell Ranger Arc v2.0.2 (Multiome) pipelines using the</x:v>
      </x:c>
      <x:c r="F261" s="33" t="str">
        <x:v>Cell Ranger</x:v>
      </x:c>
      <x:c r="G261" s="33" t="str">
        <x:v>Cell Ranger</x:v>
      </x:c>
      <x:c r="H261" s="33" t="str"/>
      <x:c r="I261" s="33" t="str"/>
      <x:c r="J261" s="33" t="str"/>
      <x:c r="K261" s="33" t="str">
        <x:v>Markdown line 1262</x:v>
      </x:c>
      <x:c r="L261" s="33" t="str">
        <x:v>Ranger v7.0.0 (RNA-seq) or the 10X Cell Ranger Arc v2.0.2 (Multiome) pipelines using the</x:v>
      </x:c>
      <x:c r="M261" s="23" t="str">
        <x:v>pending</x:v>
      </x:c>
    </x:row>
    <x:row r="262">
      <x:c r="A262" s="26" t="n">
        <x:v>40</x:v>
      </x:c>
      <x:c r="B262" s="10" t="str">
        <x:v>DOI_10.1038_s41467-021-21783-3</x:v>
      </x:c>
      <x:c r="C262" s="10" t="str">
        <x:v>Time-resolved single-cell analysis of Brca1 associated mammary tumourigenesis reveals aberrant differentiation of luminal progenitors.</x:v>
      </x:c>
      <x:c r="D262" s="10" t="str">
        <x:v>quality_control</x:v>
      </x:c>
      <x:c r="E262" s="33" t="str">
        <x:v>C1qc,LgmnandApoe)(SupplementaryFig.7)18.Theseseemtobe</x:v>
      </x:c>
      <x:c r="F262" s="33" t="str">
        <x:v>QC</x:v>
      </x:c>
      <x:c r="G262" s="33" t="str"/>
      <x:c r="H262" s="33" t="str"/>
      <x:c r="I262" s="33" t="str"/>
      <x:c r="J262" s="33" t="str"/>
      <x:c r="K262" s="33" t="str">
        <x:v>Markdown line 204</x:v>
      </x:c>
      <x:c r="L262" s="33" t="str">
        <x:v>C1qc,LgmnandApoe)(SupplementaryFig.7)18.Theseseemtobe</x:v>
      </x:c>
      <x:c r="M262" s="23" t="str">
        <x:v>pending</x:v>
      </x:c>
    </x:row>
    <x:row r="263">
      <x:c r="A263" s="26" t="n">
        <x:v>40</x:v>
      </x:c>
      <x:c r="B263" s="10" t="str">
        <x:v>DOI_10.1038_s41467-021-21783-3</x:v>
      </x:c>
      <x:c r="C263" s="10" t="str">
        <x:v>Time-resolved single-cell analysis of Brca1 associated mammary tumourigenesis reveals aberrant differentiation of luminal progenitors.</x:v>
      </x:c>
      <x:c r="D263" s="10" t="str">
        <x:v>normalization_integration</x:v>
      </x:c>
      <x:c r="E263" s="33" t="str">
        <x:v>removalbeforethefinalintegrationstepofthetwodatasets. remaininggeneswiththeclusterassignmentsascovariate(s).The“glmQLFTest”</x:v>
      </x:c>
      <x:c r="F263" s="33" t="str">
        <x:v>integration</x:v>
      </x:c>
      <x:c r="G263" s="33" t="str"/>
      <x:c r="H263" s="33" t="str"/>
      <x:c r="I263" s="33" t="str"/>
      <x:c r="J263" s="33" t="str"/>
      <x:c r="K263" s="33" t="str">
        <x:v>Markdown line 753</x:v>
      </x:c>
      <x:c r="L263" s="33" t="str">
        <x:v>removalbeforethefinalintegrationstepofthetwodatasets. remaininggeneswiththeclusterassignmentsascovariate(s).The“glmQLFTest”</x:v>
      </x:c>
      <x:c r="M263" s="23" t="str">
        <x:v>pending</x:v>
      </x:c>
    </x:row>
    <x:row r="264">
      <x:c r="A264" s="26" t="n">
        <x:v>40</x:v>
      </x:c>
      <x:c r="B264" s="10" t="str">
        <x:v>DOI_10.1038_s41467-021-21783-3</x:v>
      </x:c>
      <x:c r="C264" s="10" t="str">
        <x:v>Time-resolved single-cell analysis of Brca1 associated mammary tumourigenesis reveals aberrant differentiation of luminal progenitors.</x:v>
      </x:c>
      <x:c r="D264" s="10" t="str">
        <x:v>dimension_reduction_clustering</x:v>
      </x:c>
      <x:c r="E264" s="33" t="str">
        <x:v>initiating cells impact the cell state of nascent tumour cells and profile per sample and performed principal component analysis</x:v>
      </x:c>
      <x:c r="F264" s="33" t="str">
        <x:v>principal component</x:v>
      </x:c>
      <x:c r="G264" s="33" t="str"/>
      <x:c r="H264" s="33" t="str"/>
      <x:c r="I264" s="33" t="str"/>
      <x:c r="J264" s="33" t="str"/>
      <x:c r="K264" s="33" t="str">
        <x:v>Markdown line 49</x:v>
      </x:c>
      <x:c r="L264" s="33" t="str">
        <x:v>initiating cells impact the cell state of nascent tumour cells and profile per sample and performed principal component analysis</x:v>
      </x:c>
      <x:c r="M264" s="23" t="str">
        <x:v>pending</x:v>
      </x:c>
    </x:row>
    <x:row r="265">
      <x:c r="A265" s="26" t="n">
        <x:v>40</x:v>
      </x:c>
      <x:c r="B265" s="10" t="str">
        <x:v>DOI_10.1038_s41467-021-21783-3</x:v>
      </x:c>
      <x:c r="C265" s="10" t="str">
        <x:v>Time-resolved single-cell analysis of Brca1 associated mammary tumourigenesis reveals aberrant differentiation of luminal progenitors.</x:v>
      </x:c>
      <x:c r="D265" s="10" t="str">
        <x:v>differential_expression</x:v>
      </x:c>
      <x:c r="E265" s="33" t="str">
        <x:v>forthetumourigenesisdata,7forpregnancy)25.Beforeannotatingcelltypes,we the“findMarkers”functioninscranwithdefaultsettings.</x:v>
      </x:c>
      <x:c r="F265" s="33" t="str">
        <x:v>FindMarkers</x:v>
      </x:c>
      <x:c r="G265" s="33" t="str"/>
      <x:c r="H265" s="33" t="str"/>
      <x:c r="I265" s="33" t="str"/>
      <x:c r="J265" s="33" t="str"/>
      <x:c r="K265" s="33" t="str">
        <x:v>Markdown line 756</x:v>
      </x:c>
      <x:c r="L265" s="33" t="str">
        <x:v>forthetumourigenesisdata,7forpregnancy)25.Beforeannotatingcelltypes,we the“findMarkers”functioninscranwithdefaultsettings.</x:v>
      </x:c>
      <x:c r="M265" s="23" t="str">
        <x:v>pending</x:v>
      </x:c>
    </x:row>
    <x:row r="266">
      <x:c r="A266" s="26" t="n">
        <x:v>40</x:v>
      </x:c>
      <x:c r="B266" s="10" t="str">
        <x:v>DOI_10.1038_s41467-021-21783-3</x:v>
      </x:c>
      <x:c r="C266" s="10" t="str">
        <x:v>Time-resolved single-cell analysis of Brca1 associated mammary tumourigenesis reveals aberrant differentiation of luminal progenitors.</x:v>
      </x:c>
      <x:c r="D266" s="10" t="str">
        <x:v>enrichment</x:v>
      </x:c>
      <x:c r="E266" s="33" t="str">
        <x:v>To further validate this, we performed RNA-sequencing on an cell–cell communication pathways using CellPhoneDB11, a</x:v>
      </x:c>
      <x:c r="F266" s="33" t="str">
        <x:v>CellPhoneDB</x:v>
      </x:c>
      <x:c r="G266" s="33" t="str"/>
      <x:c r="H266" s="33" t="str">
        <x:v>11</x:v>
      </x:c>
      <x:c r="I266" s="33" t="str"/>
      <x:c r="J266" s="33" t="str"/>
      <x:c r="K266" s="33" t="str">
        <x:v>Markdown line 141</x:v>
      </x:c>
      <x:c r="L266" s="33" t="str">
        <x:v>To further validate this, we performed RNA-sequencing on an cell–cell communication pathways using CellPhoneDB11, a</x:v>
      </x:c>
      <x:c r="M266" s="23" t="str">
        <x:v>pending</x:v>
      </x:c>
    </x:row>
    <x:row r="267">
      <x:c r="A267" s="26" t="n">
        <x:v>40</x:v>
      </x:c>
      <x:c r="B267" s="10" t="str">
        <x:v>DOI_10.1038_s41467-021-21783-3</x:v>
      </x:c>
      <x:c r="C267" s="10" t="str">
        <x:v>Time-resolved single-cell analysis of Brca1 associated mammary tumourigenesis reveals aberrant differentiation of luminal progenitors.</x:v>
      </x:c>
      <x:c r="D267" s="10" t="str">
        <x:v>abundance_proportion</x:v>
      </x:c>
      <x:c r="E267" s="33" t="str">
        <x:v>ning various premalignant stages (n=15) and fully developed totalof16celltypesthatchangeinabundanceduringtheearlystages</x:v>
      </x:c>
      <x:c r="F267" s="33" t="str">
        <x:v>abundance</x:v>
      </x:c>
      <x:c r="G267" s="33" t="str"/>
      <x:c r="H267" s="33" t="str"/>
      <x:c r="I267" s="33" t="str"/>
      <x:c r="J267" s="33" t="str"/>
      <x:c r="K267" s="33" t="str">
        <x:v>Markdown line 63</x:v>
      </x:c>
      <x:c r="L267" s="33" t="str">
        <x:v>ning various premalignant stages (n=15) and fully developed totalof16celltypesthatchangeinabundanceduringtheearlystages</x:v>
      </x:c>
      <x:c r="M267" s="23" t="str">
        <x:v>pending</x:v>
      </x:c>
    </x:row>
    <x:row r="268">
      <x:c r="A268" s="26" t="n">
        <x:v>40</x:v>
      </x:c>
      <x:c r="B268" s="10" t="str">
        <x:v>DOI_10.1038_s41467-021-21783-3</x:v>
      </x:c>
      <x:c r="C268" s="10" t="str">
        <x:v>Time-resolved single-cell analysis of Brca1 associated mammary tumourigenesis reveals aberrant differentiation of luminal progenitors.</x:v>
      </x:c>
      <x:c r="D268" s="10" t="str">
        <x:v>multiple_testing</x:v>
      </x:c>
      <x:c r="E268" s="33" t="str">
        <x:v>tumours (n=2) (Fig. 1a and Supplementary Fig. 1a, b). of tumourigenesis (false discovery rate (FDR)&lt;0.1; Fig. 2a, b and</x:v>
      </x:c>
      <x:c r="F268" s="33" t="str">
        <x:v>FDR</x:v>
      </x:c>
      <x:c r="G268" s="33" t="str"/>
      <x:c r="H268" s="33" t="str"/>
      <x:c r="I268" s="33" t="str">
        <x:v>FDR)&lt;0</x:v>
      </x:c>
      <x:c r="J268" s="33" t="str">
        <x:v>tumours (n=2) (Fig. 1a and Supplementary Fig. 1a, b). of tumourigenesis (false discovery rate (FDR)&lt;0.1; Fig. 2a, b and</x:v>
      </x:c>
      <x:c r="K268" s="33" t="str">
        <x:v>Markdown line 64</x:v>
      </x:c>
      <x:c r="L268" s="33" t="str">
        <x:v>tumours (n=2) (Fig. 1a and Supplementary Fig. 1a, b). of tumourigenesis (false discovery rate (FDR)&lt;0.1; Fig. 2a, b and</x:v>
      </x:c>
      <x:c r="M268" s="23" t="str">
        <x:v>pending</x:v>
      </x:c>
    </x:row>
    <x:row r="269">
      <x:c r="A269" s="26" t="n">
        <x:v>40</x:v>
      </x:c>
      <x:c r="B269" s="10" t="str">
        <x:v>DOI_10.1038_s41467-021-21783-3</x:v>
      </x:c>
      <x:c r="C269" s="10" t="str">
        <x:v>Time-resolved single-cell analysis of Brca1 associated mammary tumourigenesis reveals aberrant differentiation of luminal progenitors.</x:v>
      </x:c>
      <x:c r="D269" s="10" t="str">
        <x:v>software</x:v>
      </x:c>
      <x:c r="E269" s="33" t="str">
        <x:v>To further validate this, we performed RNA-sequencing on an cell–cell communication pathways using CellPhoneDB11, a</x:v>
      </x:c>
      <x:c r="F269" s="33" t="str">
        <x:v>CellPhoneDB</x:v>
      </x:c>
      <x:c r="G269" s="33" t="str">
        <x:v>CellPhoneDB</x:v>
      </x:c>
      <x:c r="H269" s="33" t="str">
        <x:v>11</x:v>
      </x:c>
      <x:c r="I269" s="33" t="str"/>
      <x:c r="J269" s="33" t="str"/>
      <x:c r="K269" s="33" t="str">
        <x:v>Markdown line 141</x:v>
      </x:c>
      <x:c r="L269" s="33" t="str">
        <x:v>To further validate this, we performed RNA-sequencing on an cell–cell communication pathways using CellPhoneDB11, a</x:v>
      </x:c>
      <x:c r="M269" s="23" t="str">
        <x:v>pending</x:v>
      </x:c>
    </x:row>
    <x:row r="270">
      <x:c r="A270" s="26" t="n">
        <x:v>41</x:v>
      </x:c>
      <x:c r="B270" s="10" t="str">
        <x:v>DOI_10.1038_s42255-023-00876-x</x:v>
      </x:c>
      <x:c r="C270" s="10" t="str">
        <x:v>Delineating mouse β-cell identity during lifetime and in diabetes with a single cell atlas.</x:v>
      </x:c>
      <x:c r="D270" s="10" t="str">
        <x:v>quality_control</x:v>
      </x:c>
      <x:c r="E270" s="33" t="str">
        <x:v>responding human datasets44–46. While previous efforts have been nical artifacts that colocalized across datasets, namely a low-quality</x:v>
      </x:c>
      <x:c r="F270" s="33" t="str">
        <x:v>low-quality</x:v>
      </x:c>
      <x:c r="G270" s="33" t="str"/>
      <x:c r="H270" s="33" t="str"/>
      <x:c r="I270" s="33" t="str"/>
      <x:c r="J270" s="33" t="str"/>
      <x:c r="K270" s="33" t="str">
        <x:v>Markdown line 129</x:v>
      </x:c>
      <x:c r="L270" s="33" t="str">
        <x:v>responding human datasets44–46. While previous efforts have been nical artifacts that colocalized across datasets, namely a low-quality</x:v>
      </x:c>
      <x:c r="M270" s="23" t="str">
        <x:v>pending</x:v>
      </x:c>
    </x:row>
    <x:row r="271">
      <x:c r="A271" s="26" t="n">
        <x:v>41</x:v>
      </x:c>
      <x:c r="B271" s="10" t="str">
        <x:v>DOI_10.1038_s42255-023-00876-x</x:v>
      </x:c>
      <x:c r="C271" s="10" t="str">
        <x:v>Delineating mouse β-cell identity during lifetime and in diabetes with a single cell atlas.</x:v>
      </x:c>
      <x:c r="D271" s="10" t="str">
        <x:v>normalization_integration</x:v>
      </x:c>
      <x:c r="E271" s="33" t="str">
        <x:v>between batch correction and biological preservation on the level of markers (Ttr in α-cells and Rbp4 in δ-cells) with immunohistochemistry</x:v>
      </x:c>
      <x:c r="F271" s="33" t="str">
        <x:v>batch correction</x:v>
      </x:c>
      <x:c r="G271" s="33" t="str"/>
      <x:c r="H271" s="33" t="str"/>
      <x:c r="I271" s="33" t="str"/>
      <x:c r="J271" s="33" t="str"/>
      <x:c r="K271" s="33" t="str">
        <x:v>Markdown line 174</x:v>
      </x:c>
      <x:c r="L271" s="33" t="str">
        <x:v>between batch correction and biological preservation on the level of markers (Ttr in α-cells and Rbp4 in δ-cells) with immunohistochemistry</x:v>
      </x:c>
      <x:c r="M271" s="23" t="str">
        <x:v>pending</x:v>
      </x:c>
    </x:row>
    <x:row r="272">
      <x:c r="A272" s="26" t="n">
        <x:v>41</x:v>
      </x:c>
      <x:c r="B272" s="10" t="str">
        <x:v>DOI_10.1038_s42255-023-00876-x</x:v>
      </x:c>
      <x:c r="C272" s="10" t="str">
        <x:v>Delineating mouse β-cell identity during lifetime and in diabetes with a single cell atlas.</x:v>
      </x:c>
      <x:c r="D272" s="10" t="str">
        <x:v>dimension_reduction_clustering</x:v>
      </x:c>
      <x:c r="E272" s="33" t="str">
        <x:v>of unknown environmental factors26,32,35,38,39. Such complexity cannot Note 1. The integrated atlas shows clear separation into clusters that</x:v>
      </x:c>
      <x:c r="F272" s="33" t="str">
        <x:v>cluster</x:v>
      </x:c>
      <x:c r="G272" s="33" t="str"/>
      <x:c r="H272" s="33" t="str"/>
      <x:c r="I272" s="33" t="str"/>
      <x:c r="J272" s="33" t="str"/>
      <x:c r="K272" s="33" t="str">
        <x:v>Markdown line 113</x:v>
      </x:c>
      <x:c r="L272" s="33" t="str">
        <x:v>of unknown environmental factors26,32,35,38,39. Such complexity cannot Note 1. The integrated atlas shows clear separation into clusters that</x:v>
      </x:c>
      <x:c r="M272" s="23" t="str">
        <x:v>pending</x:v>
      </x:c>
    </x:row>
    <x:row r="273">
      <x:c r="A273" s="26" t="n">
        <x:v>41</x:v>
      </x:c>
      <x:c r="B273" s="10" t="str">
        <x:v>DOI_10.1038_s42255-023-00876-x</x:v>
      </x:c>
      <x:c r="C273" s="10" t="str">
        <x:v>Delineating mouse β-cell identity during lifetime and in diabetes with a single cell atlas.</x:v>
      </x:c>
      <x:c r="D273" s="10" t="str">
        <x:v>differential_expression</x:v>
      </x:c>
      <x:c r="E273" s="33" t="str">
        <x:v>(LIMES) Institute, University of Bonn, Bonn, Germany. 8Systems Medicine, Deutsches Zentrum für Neurodegenerative Erkrankungen (DZNE), Bonn,</x:v>
      </x:c>
      <x:c r="F273" s="33" t="str">
        <x:v>DEG</x:v>
      </x:c>
      <x:c r="G273" s="33" t="str"/>
      <x:c r="H273" s="33" t="str"/>
      <x:c r="I273" s="33" t="str"/>
      <x:c r="J273" s="33" t="str"/>
      <x:c r="K273" s="33" t="str">
        <x:v>Markdown line 42</x:v>
      </x:c>
      <x:c r="L273" s="33" t="str">
        <x:v>(LIMES) Institute, University of Bonn, Bonn, Germany. 8Systems Medicine, Deutsches Zentrum für Neurodegenerative Erkrankungen (DZNE), Bonn,</x:v>
      </x:c>
      <x:c r="M273" s="23" t="str">
        <x:v>pending</x:v>
      </x:c>
    </x:row>
    <x:row r="274">
      <x:c r="A274" s="26" t="n">
        <x:v>41</x:v>
      </x:c>
      <x:c r="B274" s="10" t="str">
        <x:v>DOI_10.1038_s42255-023-00876-x</x:v>
      </x:c>
      <x:c r="C274" s="10" t="str">
        <x:v>Delineating mouse β-cell identity during lifetime and in diabetes with a single cell atlas.</x:v>
      </x:c>
      <x:c r="D274" s="10" t="str">
        <x:v>enrichment</x:v>
      </x:c>
      <x:c r="E274" s="33" t="str">
        <x:v>els along a healthy–dysfunctional trajectory (Extended Data Fig. 10a across diabetes models. In contrast, some gene groups were conversely</x:v>
      </x:c>
      <x:c r="F274" s="33" t="str">
        <x:v>trajectory</x:v>
      </x:c>
      <x:c r="G274" s="33" t="str"/>
      <x:c r="H274" s="33" t="str"/>
      <x:c r="I274" s="33" t="str"/>
      <x:c r="J274" s="33" t="str"/>
      <x:c r="K274" s="33" t="str">
        <x:v>Markdown line 730</x:v>
      </x:c>
      <x:c r="L274" s="33" t="str">
        <x:v>els along a healthy–dysfunctional trajectory (Extended Data Fig. 10a across diabetes models. In contrast, some gene groups were conversely</x:v>
      </x:c>
      <x:c r="M274" s="23" t="str">
        <x:v>pending</x:v>
      </x:c>
    </x:row>
    <x:row r="275">
      <x:c r="A275" s="26" t="n">
        <x:v>41</x:v>
      </x:c>
      <x:c r="B275" s="10" t="str">
        <x:v>DOI_10.1038_s42255-023-00876-x</x:v>
      </x:c>
      <x:c r="C275" s="10" t="str">
        <x:v>Delineating mouse β-cell identity during lifetime and in diabetes with a single cell atlas.</x:v>
      </x:c>
      <x:c r="D275" s="10" t="str">
        <x:v>abundance_proportion</x:v>
      </x:c>
      <x:c r="E275" s="33" t="str">
        <x:v>the sample with the largest cell proportion localizing in this state rather than T1D and the identification of molecular pathways involved</x:v>
      </x:c>
      <x:c r="F275" s="33" t="str">
        <x:v>cell proportion</x:v>
      </x:c>
      <x:c r="G275" s="33" t="str"/>
      <x:c r="H275" s="33" t="str"/>
      <x:c r="I275" s="33" t="str"/>
      <x:c r="J275" s="33" t="str"/>
      <x:c r="K275" s="33" t="str">
        <x:v>Markdown line 936</x:v>
      </x:c>
      <x:c r="L275" s="33" t="str">
        <x:v>the sample with the largest cell proportion localizing in this state rather than T1D and the identification of molecular pathways involved</x:v>
      </x:c>
      <x:c r="M275" s="23" t="str">
        <x:v>pending</x:v>
      </x:c>
    </x:row>
    <x:row r="276">
      <x:c r="A276" s="26" t="n">
        <x:v>41</x:v>
      </x:c>
      <x:c r="B276" s="10" t="str">
        <x:v>DOI_10.1038_s42255-023-00876-x</x:v>
      </x:c>
      <x:c r="C276" s="10" t="str">
        <x:v>Delineating mouse β-cell identity during lifetime and in diabetes with a single cell atlas.</x:v>
      </x:c>
      <x:c r="D276" s="10" t="str">
        <x:v>multiple_testing</x:v>
      </x:c>
      <x:c r="E276" s="33" t="str">
        <x:v>fied based on low expression and high empty droplet probability and selected based on a false discovery rate (FDR) &lt;0.05 and log fold change</x:v>
      </x:c>
      <x:c r="F276" s="33" t="str">
        <x:v>FDR</x:v>
      </x:c>
      <x:c r="G276" s="33" t="str"/>
      <x:c r="H276" s="33" t="str"/>
      <x:c r="I276" s="33" t="str">
        <x:v>FDR) &lt;0</x:v>
      </x:c>
      <x:c r="J276" s="33" t="str">
        <x:v>fied based on low expression and high empty droplet probability and selected based on a false discovery rate (FDR) &lt;0.05 and log fold change</x:v>
      </x:c>
      <x:c r="K276" s="33" t="str">
        <x:v>Markdown line 1152</x:v>
      </x:c>
      <x:c r="L276" s="33" t="str">
        <x:v>fied based on low expression and high empty droplet probability and selected based on a false discovery rate (FDR) &lt;0.05 and log fold change</x:v>
      </x:c>
      <x:c r="M276" s="23" t="str">
        <x:v>pending</x:v>
      </x:c>
    </x:row>
    <x:row r="277">
      <x:c r="A277" s="26" t="n">
        <x:v>41</x:v>
      </x:c>
      <x:c r="B277" s="10" t="str">
        <x:v>DOI_10.1038_s42255-023-00876-x</x:v>
      </x:c>
      <x:c r="C277" s="10" t="str">
        <x:v>Delineating mouse β-cell identity during lifetime and in diabetes with a single cell atlas.</x:v>
      </x:c>
      <x:c r="D277" s="10" t="str">
        <x:v>software</x:v>
      </x:c>
      <x:c r="E277" s="33" t="str">
        <x:v>ses (https://github.com/theislab/mouse_cross-condition_pancre- with Scanpy (v.1.6–1.8.1)153, except where noted elsewhere.</x:v>
      </x:c>
      <x:c r="F277" s="33" t="str">
        <x:v>Scanpy</x:v>
      </x:c>
      <x:c r="G277" s="33" t="str">
        <x:v>Scanpy</x:v>
      </x:c>
      <x:c r="H277" s="33" t="str"/>
      <x:c r="I277" s="33" t="str"/>
      <x:c r="J277" s="33" t="str"/>
      <x:c r="K277" s="33" t="str">
        <x:v>Markdown line 1010</x:v>
      </x:c>
      <x:c r="L277" s="33" t="str">
        <x:v>ses (https://github.com/theislab/mouse_cross-condition_pancre- with Scanpy (v.1.6–1.8.1)153, except where noted elsewhere.</x:v>
      </x:c>
      <x:c r="M277" s="23" t="str">
        <x:v>pending</x:v>
      </x:c>
    </x:row>
    <x:row r="278">
      <x:c r="A278" s="26" t="n">
        <x:v>42</x:v>
      </x:c>
      <x:c r="B278" s="10" t="str">
        <x:v>DOI_10.1038_s41586-024-07069-w</x:v>
      </x:c>
      <x:c r="C278" s="10" t="str">
        <x:v>A single-cell time-lapse of mouse prenatal development from gastrula to birth.</x:v>
      </x:c>
      <x:c r="D278" s="10" t="str">
        <x:v>quality_control</x:v>
      </x:c>
      <x:c r="E278" s="33" t="str">
        <x:v>Following aggressive filtering of low-quality nuclei and potential dou-</x:v>
      </x:c>
      <x:c r="F278" s="33" t="str">
        <x:v>low-quality</x:v>
      </x:c>
      <x:c r="G278" s="33" t="str"/>
      <x:c r="H278" s="33" t="str"/>
      <x:c r="I278" s="33" t="str"/>
      <x:c r="J278" s="33" t="str"/>
      <x:c r="K278" s="33" t="str">
        <x:v>Markdown line 98</x:v>
      </x:c>
      <x:c r="L278" s="33" t="str">
        <x:v>Following aggressive filtering of low-quality nuclei and potential dou-</x:v>
      </x:c>
      <x:c r="M278" s="23" t="str">
        <x:v>pending</x:v>
      </x:c>
    </x:row>
    <x:row r="279">
      <x:c r="A279" s="26" t="n">
        <x:v>42</x:v>
      </x:c>
      <x:c r="B279" s="10" t="str">
        <x:v>DOI_10.1038_s41586-024-07069-w</x:v>
      </x:c>
      <x:c r="C279" s="10" t="str">
        <x:v>A single-cell time-lapse of mouse prenatal development from gastrula to birth.</x:v>
      </x:c>
      <x:c r="D279" s="10" t="str">
        <x:v>normalization_integration</x:v>
      </x:c>
      <x:c r="E279" s="33" t="str">
        <x:v>between top three principal components and the normalized expression of</x:v>
      </x:c>
      <x:c r="F279" s="33" t="str">
        <x:v>normalized</x:v>
      </x:c>
      <x:c r="G279" s="33" t="str"/>
      <x:c r="H279" s="33" t="str"/>
      <x:c r="I279" s="33" t="str"/>
      <x:c r="J279" s="33" t="str"/>
      <x:c r="K279" s="33" t="str">
        <x:v>Markdown line 674</x:v>
      </x:c>
      <x:c r="L279" s="33" t="str">
        <x:v>between top three principal components and the normalized expression of</x:v>
      </x:c>
      <x:c r="M279" s="23" t="str">
        <x:v>pending</x:v>
      </x:c>
    </x:row>
    <x:row r="280">
      <x:c r="A280" s="26" t="n">
        <x:v>42</x:v>
      </x:c>
      <x:c r="B280" s="10" t="str">
        <x:v>DOI_10.1038_s41586-024-07069-w</x:v>
      </x:c>
      <x:c r="C280" s="10" t="str">
        <x:v>A single-cell time-lapse of mouse prenatal development from gastrula to birth.</x:v>
      </x:c>
      <x:c r="D280" s="10" t="str">
        <x:v>dimension_reduction_clustering</x:v>
      </x:c>
      <x:c r="E280" s="33" t="str">
        <x:v>grated (Extended Data Fig. 2g–i). Furthermore, principal component</x:v>
      </x:c>
      <x:c r="F280" s="33" t="str">
        <x:v>principal component</x:v>
      </x:c>
      <x:c r="G280" s="33" t="str"/>
      <x:c r="H280" s="33" t="str"/>
      <x:c r="I280" s="33" t="str"/>
      <x:c r="J280" s="33" t="str"/>
      <x:c r="K280" s="33" t="str">
        <x:v>Markdown line 111</x:v>
      </x:c>
      <x:c r="L280" s="33" t="str">
        <x:v>grated (Extended Data Fig. 2g–i). Furthermore, principal component</x:v>
      </x:c>
      <x:c r="M280" s="23" t="str">
        <x:v>pending</x:v>
      </x:c>
    </x:row>
    <x:row r="281">
      <x:c r="A281" s="26" t="n">
        <x:v>42</x:v>
      </x:c>
      <x:c r="B281" s="10" t="str">
        <x:v>DOI_10.1038_s41586-024-07069-w</x:v>
      </x:c>
      <x:c r="C281" s="10" t="str">
        <x:v>A single-cell time-lapse of mouse prenatal development from gastrula to birth.</x:v>
      </x:c>
      <x:c r="D281" s="10" t="str">
        <x:v>differential_expression</x:v>
      </x:c>
      <x:c r="E281" s="33" t="str">
        <x:v>Extended Data Fig. 11i,j). Next, we identified differentially expressed</x:v>
      </x:c>
      <x:c r="F281" s="33" t="str">
        <x:v>differentially expressed</x:v>
      </x:c>
      <x:c r="G281" s="33" t="str"/>
      <x:c r="H281" s="33" t="str"/>
      <x:c r="I281" s="33" t="str"/>
      <x:c r="J281" s="33" t="str"/>
      <x:c r="K281" s="33" t="str">
        <x:v>Markdown line 2426</x:v>
      </x:c>
      <x:c r="L281" s="33" t="str">
        <x:v>Extended Data Fig. 11i,j). Next, we identified differentially expressed</x:v>
      </x:c>
      <x:c r="M281" s="23" t="str">
        <x:v>pending</x:v>
      </x:c>
    </x:row>
    <x:row r="282">
      <x:c r="A282" s="26" t="n">
        <x:v>42</x:v>
      </x:c>
      <x:c r="B282" s="10" t="str">
        <x:v>DOI_10.1038_s41586-024-07069-w</x:v>
      </x:c>
      <x:c r="C282" s="10" t="str">
        <x:v>A single-cell time-lapse of mouse prenatal development from gastrula to birth.</x:v>
      </x:c>
      <x:c r="D282" s="10" t="str">
        <x:v>enrichment</x:v>
      </x:c>
      <x:c r="E282" s="33" t="str">
        <x:v>within a morphogenetic trajectory and the dynamic progression of</x:v>
      </x:c>
      <x:c r="F282" s="33" t="str">
        <x:v>trajectory</x:v>
      </x:c>
      <x:c r="G282" s="33" t="str"/>
      <x:c r="H282" s="33" t="str"/>
      <x:c r="I282" s="33" t="str"/>
      <x:c r="J282" s="33" t="str"/>
      <x:c r="K282" s="33" t="str">
        <x:v>Markdown line 81</x:v>
      </x:c>
      <x:c r="L282" s="33" t="str">
        <x:v>within a morphogenetic trajectory and the dynamic progression of</x:v>
      </x:c>
      <x:c r="M282" s="23" t="str">
        <x:v>pending</x:v>
      </x:c>
    </x:row>
    <x:row r="283">
      <x:c r="A283" s="26" t="n">
        <x:v>42</x:v>
      </x:c>
      <x:c r="B283" s="10" t="str">
        <x:v>DOI_10.1038_s41586-024-07069-w</x:v>
      </x:c>
      <x:c r="C283" s="10" t="str">
        <x:v>A single-cell time-lapse of mouse prenatal development from gastrula to birth.</x:v>
      </x:c>
      <x:c r="D283" s="10" t="str">
        <x:v>abundance_proportion</x:v>
      </x:c>
      <x:c r="E283" s="33" t="str">
        <x:v>major clusters was somewhat arbitrary and affected by abundance. To</x:v>
      </x:c>
      <x:c r="F283" s="33" t="str">
        <x:v>abundance</x:v>
      </x:c>
      <x:c r="G283" s="33" t="str"/>
      <x:c r="H283" s="33" t="str"/>
      <x:c r="I283" s="33" t="str"/>
      <x:c r="J283" s="33" t="str"/>
      <x:c r="K283" s="33" t="str">
        <x:v>Markdown line 136</x:v>
      </x:c>
      <x:c r="L283" s="33" t="str">
        <x:v>major clusters was somewhat arbitrary and affected by abundance. To</x:v>
      </x:c>
      <x:c r="M283" s="23" t="str">
        <x:v>pending</x:v>
      </x:c>
    </x:row>
    <x:row r="284">
      <x:c r="A284" s="26" t="n">
        <x:v>42</x:v>
      </x:c>
      <x:c r="B284" s="10" t="str">
        <x:v>DOI_10.1038_s41586-024-07069-w</x:v>
      </x:c>
      <x:c r="C284" s="10" t="str">
        <x:v>A single-cell time-lapse of mouse prenatal development from gastrula to birth.</x:v>
      </x:c>
      <x:c r="D284" s="10" t="str">
        <x:v>multiple_testing</x:v>
      </x:c>
      <x:c r="E284" s="33" t="str">
        <x:v>mean + 1 × s.d. of all the correlation coefficients, and false discovery</x:v>
      </x:c>
      <x:c r="F284" s="33" t="str">
        <x:v>false discovery</x:v>
      </x:c>
      <x:c r="G284" s="33" t="str"/>
      <x:c r="H284" s="33" t="str"/>
      <x:c r="I284" s="33" t="str"/>
      <x:c r="J284" s="33" t="str">
        <x:v>mean + 1 × s.d. of all the correlation coefficients, and false discovery</x:v>
      </x:c>
      <x:c r="K284" s="33" t="str">
        <x:v>Markdown line 3445</x:v>
      </x:c>
      <x:c r="L284" s="33" t="str">
        <x:v>mean + 1 × s.d. of all the correlation coefficients, and false discovery</x:v>
      </x:c>
      <x:c r="M284" s="23" t="str">
        <x:v>pending</x:v>
      </x:c>
    </x:row>
    <x:row r="285">
      <x:c r="A285" s="26" t="n">
        <x:v>42</x:v>
      </x:c>
      <x:c r="B285" s="10" t="str">
        <x:v>DOI_10.1038_s41586-024-07069-w</x:v>
      </x:c>
      <x:c r="C285" s="10" t="str">
        <x:v>A single-cell time-lapse of mouse prenatal development from gastrula to birth.</x:v>
      </x:c>
      <x:c r="D285" s="10" t="str">
        <x:v>software</x:v>
      </x:c>
      <x:c r="E285" s="33" t="str">
        <x:v>To get our bearings, we used Scanpy20 to generate a global embedding</x:v>
      </x:c>
      <x:c r="F285" s="33" t="str">
        <x:v>Scanpy</x:v>
      </x:c>
      <x:c r="G285" s="33" t="str">
        <x:v>Scanpy</x:v>
      </x:c>
      <x:c r="H285" s="33" t="str">
        <x:v>20</x:v>
      </x:c>
      <x:c r="I285" s="33" t="str"/>
      <x:c r="J285" s="33" t="str"/>
      <x:c r="K285" s="33" t="str">
        <x:v>Markdown line 127</x:v>
      </x:c>
      <x:c r="L285" s="33" t="str">
        <x:v>To get our bearings, we used Scanpy20 to generate a global embedding</x:v>
      </x:c>
      <x:c r="M285" s="23" t="str">
        <x:v>pending</x:v>
      </x:c>
    </x:row>
    <x:row r="286">
      <x:c r="A286" s="26" t="n">
        <x:v>43</x:v>
      </x:c>
      <x:c r="B286" s="10" t="str">
        <x:v>DOI_10.1038_s41586-020-2496-1</x:v>
      </x:c>
      <x:c r="C286" s="10" t="str">
        <x:v>A single-cell transcriptomic atlas characterizes ageing tissues in the mouse.</x:v>
      </x:c>
      <x:c r="D286" s="10" t="str">
        <x:v>quality_control</x:v>
      </x:c>
      <x:c r="E286" s="33" t="str">
        <x:v>for FACS and 245,389 cells for droplet passed our strict filtering criteria (Extended Data</x:v>
      </x:c>
      <x:c r="F286" s="33" t="str">
        <x:v>filtering</x:v>
      </x:c>
      <x:c r="G286" s="33" t="str"/>
      <x:c r="H286" s="33" t="str"/>
      <x:c r="I286" s="33" t="str"/>
      <x:c r="J286" s="33" t="str"/>
      <x:c r="K286" s="33" t="str">
        <x:v>Markdown line 256</x:v>
      </x:c>
      <x:c r="L286" s="33" t="str">
        <x:v>for FACS and 245,389 cells for droplet passed our strict filtering criteria (Extended Data</x:v>
      </x:c>
      <x:c r="M286" s="23" t="str">
        <x:v>pending</x:v>
      </x:c>
    </x:row>
    <x:row r="287">
      <x:c r="A287" s="26" t="n">
        <x:v>43</x:v>
      </x:c>
      <x:c r="B287" s="10" t="str">
        <x:v>DOI_10.1038_s41586-020-2496-1</x:v>
      </x:c>
      <x:c r="C287" s="10" t="str">
        <x:v>A single-cell transcriptomic atlas characterizes ageing tissues in the mouse.</x:v>
      </x:c>
      <x:c r="D287" s="10" t="str">
        <x:v>normalization_integration</x:v>
      </x:c>
      <x:c r="E287" s="33" t="str">
        <x:v>(Supplementary Table 3). Following batch correction, we clustered all cells using an</x:v>
      </x:c>
      <x:c r="F287" s="33" t="str">
        <x:v>batch correction</x:v>
      </x:c>
      <x:c r="G287" s="33" t="str"/>
      <x:c r="H287" s="33" t="str"/>
      <x:c r="I287" s="33" t="str"/>
      <x:c r="J287" s="33" t="str"/>
      <x:c r="K287" s="33" t="str">
        <x:v>Markdown line 261</x:v>
      </x:c>
      <x:c r="L287" s="33" t="str">
        <x:v>(Supplementary Table 3). Following batch correction, we clustered all cells using an</x:v>
      </x:c>
      <x:c r="M287" s="23" t="str">
        <x:v>pending</x:v>
      </x:c>
    </x:row>
    <x:row r="288">
      <x:c r="A288" s="26" t="n">
        <x:v>43</x:v>
      </x:c>
      <x:c r="B288" s="10" t="str">
        <x:v>DOI_10.1038_s41586-020-2496-1</x:v>
      </x:c>
      <x:c r="C288" s="10" t="str">
        <x:v>A single-cell transcriptomic atlas characterizes ageing tissues in the mouse.</x:v>
      </x:c>
      <x:c r="D288" s="10" t="str">
        <x:v>dimension_reduction_clustering</x:v>
      </x:c>
      <x:c r="E288" s="33" t="str">
        <x:v>(Supplementary Table 3). Following batch correction, we clustered all cells using an</x:v>
      </x:c>
      <x:c r="F288" s="33" t="str">
        <x:v>cluster</x:v>
      </x:c>
      <x:c r="G288" s="33" t="str"/>
      <x:c r="H288" s="33" t="str"/>
      <x:c r="I288" s="33" t="str"/>
      <x:c r="J288" s="33" t="str"/>
      <x:c r="K288" s="33" t="str">
        <x:v>Markdown line 261</x:v>
      </x:c>
      <x:c r="L288" s="33" t="str">
        <x:v>(Supplementary Table 3). Following batch correction, we clustered all cells using an</x:v>
      </x:c>
      <x:c r="M288" s="23" t="str">
        <x:v>pending</x:v>
      </x:c>
    </x:row>
    <x:row r="289">
      <x:c r="A289" s="26" t="n">
        <x:v>43</x:v>
      </x:c>
      <x:c r="B289" s="10" t="str">
        <x:v>DOI_10.1038_s41586-020-2496-1</x:v>
      </x:c>
      <x:c r="C289" s="10" t="str">
        <x:v>A single-cell transcriptomic atlas characterizes ageing tissues in the mouse.</x:v>
      </x:c>
      <x:c r="D289" s="10" t="str">
        <x:v>differential_expression</x:v>
      </x:c>
      <x:c r="E289" s="33" t="str">
        <x:v>genes associated with degenerative disease (e.g. Fth1)47,48. When contrasting with clusters 1</x:v>
      </x:c>
      <x:c r="F289" s="33" t="str">
        <x:v>DEG</x:v>
      </x:c>
      <x:c r="G289" s="33" t="str"/>
      <x:c r="H289" s="33" t="str"/>
      <x:c r="I289" s="33" t="str"/>
      <x:c r="J289" s="33" t="str"/>
      <x:c r="K289" s="33" t="str">
        <x:v>Markdown line 656</x:v>
      </x:c>
      <x:c r="L289" s="33" t="str">
        <x:v>genes associated with degenerative disease (e.g. Fth1)47,48. When contrasting with clusters 1</x:v>
      </x:c>
      <x:c r="M289" s="23" t="str">
        <x:v>pending</x:v>
      </x:c>
    </x:row>
    <x:row r="290">
      <x:c r="A290" s="26" t="n">
        <x:v>43</x:v>
      </x:c>
      <x:c r="B290" s="10" t="str">
        <x:v>DOI_10.1038_s41586-020-2496-1</x:v>
      </x:c>
      <x:c r="C290" s="10" t="str">
        <x:v>A single-cell transcriptomic atlas characterizes ageing tissues in the mouse.</x:v>
      </x:c>
      <x:c r="D290" s="10" t="str">
        <x:v>enrichment</x:v>
      </x:c>
      <x:c r="E290" s="33" t="str">
        <x:v>majority of cells in clusters 10, 12 and 14 (Figure 4d). Trajectory analysis suggests that</x:v>
      </x:c>
      <x:c r="F290" s="33" t="str">
        <x:v>trajectory</x:v>
      </x:c>
      <x:c r="G290" s="33" t="str"/>
      <x:c r="H290" s="33" t="str"/>
      <x:c r="I290" s="33" t="str"/>
      <x:c r="J290" s="33" t="str"/>
      <x:c r="K290" s="33" t="str">
        <x:v>Markdown line 651</x:v>
      </x:c>
      <x:c r="L290" s="33" t="str">
        <x:v>majority of cells in clusters 10, 12 and 14 (Figure 4d). Trajectory analysis suggests that</x:v>
      </x:c>
      <x:c r="M290" s="23" t="str">
        <x:v>pending</x:v>
      </x:c>
    </x:row>
    <x:row r="291">
      <x:c r="A291" s="26" t="n">
        <x:v>43</x:v>
      </x:c>
      <x:c r="B291" s="10" t="str">
        <x:v>DOI_10.1038_s41586-020-2496-1</x:v>
      </x:c>
      <x:c r="C291" s="10" t="str">
        <x:v>A single-cell transcriptomic atlas characterizes ageing tissues in the mouse.</x:v>
      </x:c>
      <x:c r="D291" s="10" t="str">
        <x:v>abundance_proportion</x:v>
      </x:c>
      <x:c r="E291" s="33" t="str">
        <x:v>Age-dependent changes in the kidney include a decrease in the relative abundance of</x:v>
      </x:c>
      <x:c r="F291" s="33" t="str">
        <x:v>abundance</x:v>
      </x:c>
      <x:c r="G291" s="33" t="str"/>
      <x:c r="H291" s="33" t="str"/>
      <x:c r="I291" s="33" t="str"/>
      <x:c r="J291" s="33" t="str"/>
      <x:c r="K291" s="33" t="str">
        <x:v>Markdown line 393</x:v>
      </x:c>
      <x:c r="L291" s="33" t="str">
        <x:v>Age-dependent changes in the kidney include a decrease in the relative abundance of</x:v>
      </x:c>
      <x:c r="M291" s="23" t="str">
        <x:v>pending</x:v>
      </x:c>
    </x:row>
    <x:row r="292">
      <x:c r="A292" s="26" t="n">
        <x:v>43</x:v>
      </x:c>
      <x:c r="B292" s="10" t="str">
        <x:v>DOI_10.1038_s41586-020-2496-1</x:v>
      </x:c>
      <x:c r="C292" s="10" t="str">
        <x:v>A single-cell transcriptomic atlas characterizes ageing tissues in the mouse.</x:v>
      </x:c>
      <x:c r="D292" s="10" t="str">
        <x:v>multiple_testing</x:v>
      </x:c>
      <x:c r="E292" s="33" t="str">
        <x:v>sex and technology. We applied a false-discovery rate (FDR) threshold of 0.01 and an age</x:v>
      </x:c>
      <x:c r="F292" s="33" t="str">
        <x:v>FDR</x:v>
      </x:c>
      <x:c r="G292" s="33" t="str"/>
      <x:c r="H292" s="33" t="str"/>
      <x:c r="I292" s="33" t="str">
        <x:v>FDR) threshold of 0</x:v>
      </x:c>
      <x:c r="J292" s="33" t="str">
        <x:v>sex and technology. We applied a false-discovery rate (FDR) threshold of 0.01 and an age</x:v>
      </x:c>
      <x:c r="K292" s="33" t="str">
        <x:v>Markdown line 1116</x:v>
      </x:c>
      <x:c r="L292" s="33" t="str">
        <x:v>sex and technology. We applied a false-discovery rate (FDR) threshold of 0.01 and an age</x:v>
      </x:c>
      <x:c r="M292" s="23" t="str">
        <x:v>pending</x:v>
      </x:c>
    </x:row>
    <x:row r="293">
      <x:c r="A293" s="26" t="n">
        <x:v>43</x:v>
      </x:c>
      <x:c r="B293" s="10" t="str">
        <x:v>DOI_10.1038_s41586-020-2496-1</x:v>
      </x:c>
      <x:c r="C293" s="10" t="str">
        <x:v>A single-cell transcriptomic atlas characterizes ageing tissues in the mouse.</x:v>
      </x:c>
      <x:c r="D293" s="10" t="str">
        <x:v>software</x:v>
      </x:c>
      <x:c r="E293" s="33" t="str">
        <x:v>Gene count tables were combined with the metadata variables using the Scanpy55 Python</x:v>
      </x:c>
      <x:c r="F293" s="33" t="str">
        <x:v>Scanpy</x:v>
      </x:c>
      <x:c r="G293" s="33" t="str">
        <x:v>Scanpy</x:v>
      </x:c>
      <x:c r="H293" s="33" t="str">
        <x:v>55</x:v>
      </x:c>
      <x:c r="I293" s="33" t="str"/>
      <x:c r="J293" s="33" t="str"/>
      <x:c r="K293" s="33" t="str">
        <x:v>Markdown line 999</x:v>
      </x:c>
      <x:c r="L293" s="33" t="str">
        <x:v>Gene count tables were combined with the metadata variables using the Scanpy55 Python</x:v>
      </x:c>
      <x:c r="M293" s="23" t="str">
        <x:v>pending</x:v>
      </x:c>
    </x:row>
    <x:row r="294">
      <x:c r="A294" s="26" t="n">
        <x:v>44</x:v>
      </x:c>
      <x:c r="B294" s="10" t="str">
        <x:v>DOI_10.1038_s42003-024-07315-x</x:v>
      </x:c>
      <x:c r="C294" s="10" t="str">
        <x:v>Cross-species single-cell RNA-seq analysis reveals disparate and conserved cardiac and extracardiac inflammatory responses upon heart injury.</x:v>
      </x:c>
      <x:c r="D294" s="10" t="str">
        <x:v>quality_control</x:v>
      </x:c>
      <x:c r="E294" s="33" t="str">
        <x:v>mitochondrial dysfunction, and mTOR Signaling) with an activation pat-</x:v>
      </x:c>
      <x:c r="F294" s="33" t="str">
        <x:v>mitochondrial</x:v>
      </x:c>
      <x:c r="G294" s="33" t="str"/>
      <x:c r="H294" s="33" t="str"/>
      <x:c r="I294" s="33" t="str"/>
      <x:c r="J294" s="33" t="str"/>
      <x:c r="K294" s="33" t="str">
        <x:v>Markdown line 421</x:v>
      </x:c>
      <x:c r="L294" s="33" t="str">
        <x:v>mitochondrial dysfunction, and mTOR Signaling) with an activation pat-</x:v>
      </x:c>
      <x:c r="M294" s="23" t="str">
        <x:v>pending</x:v>
      </x:c>
    </x:row>
    <x:row r="295">
      <x:c r="A295" s="26" t="n">
        <x:v>44</x:v>
      </x:c>
      <x:c r="B295" s="10" t="str">
        <x:v>DOI_10.1038_s42003-024-07315-x</x:v>
      </x:c>
      <x:c r="C295" s="10" t="str">
        <x:v>Cross-species single-cell RNA-seq analysis reveals disparate and conserved cardiac and extracardiac inflammatory responses upon heart injury.</x:v>
      </x:c>
      <x:c r="D295" s="10" t="str">
        <x:v>normalization_integration</x:v>
      </x:c>
      <x:c r="E295" s="33" t="str">
        <x:v>and tissue of origin (right). d Dot plot shows normalized gene expression (dot color</x:v>
      </x:c>
      <x:c r="F295" s="33" t="str">
        <x:v>normalized</x:v>
      </x:c>
      <x:c r="G295" s="33" t="str"/>
      <x:c r="H295" s="33" t="str"/>
      <x:c r="I295" s="33" t="str"/>
      <x:c r="J295" s="33" t="str"/>
      <x:c r="K295" s="33" t="str">
        <x:v>Markdown line 467</x:v>
      </x:c>
      <x:c r="L295" s="33" t="str">
        <x:v>and tissue of origin (right). d Dot plot shows normalized gene expression (dot color</x:v>
      </x:c>
      <x:c r="M295" s="23" t="str">
        <x:v>pending</x:v>
      </x:c>
    </x:row>
    <x:row r="296">
      <x:c r="A296" s="26" t="n">
        <x:v>44</x:v>
      </x:c>
      <x:c r="B296" s="10" t="str">
        <x:v>DOI_10.1038_s42003-024-07315-x</x:v>
      </x:c>
      <x:c r="C296" s="10" t="str">
        <x:v>Cross-species single-cell RNA-seq analysis reveals disparate and conserved cardiac and extracardiac inflammatory responses upon heart injury.</x:v>
      </x:c>
      <x:c r="D296" s="10" t="str">
        <x:v>dimension_reduction_clustering</x:v>
      </x:c>
      <x:c r="E296" s="33" t="str">
        <x:v>healing versus scarring. We identify distinct transcriptional clusters of monocytes/macrophages</x:v>
      </x:c>
      <x:c r="F296" s="33" t="str">
        <x:v>cluster</x:v>
      </x:c>
      <x:c r="G296" s="33" t="str"/>
      <x:c r="H296" s="33" t="str"/>
      <x:c r="I296" s="33" t="str"/>
      <x:c r="J296" s="33" t="str"/>
      <x:c r="K296" s="33" t="str">
        <x:v>Markdown line 69</x:v>
      </x:c>
      <x:c r="L296" s="33" t="str">
        <x:v>healing versus scarring. We identify distinct transcriptional clusters of monocytes/macrophages</x:v>
      </x:c>
      <x:c r="M296" s="23" t="str">
        <x:v>pending</x:v>
      </x:c>
    </x:row>
    <x:row r="297">
      <x:c r="A297" s="26" t="n">
        <x:v>44</x:v>
      </x:c>
      <x:c r="B297" s="10" t="str">
        <x:v>DOI_10.1038_s42003-024-07315-x</x:v>
      </x:c>
      <x:c r="C297" s="10" t="str">
        <x:v>Cross-species single-cell RNA-seq analysis reveals disparate and conserved cardiac and extracardiac inflammatory responses upon heart injury.</x:v>
      </x:c>
      <x:c r="D297" s="10" t="str">
        <x:v>differential_expression</x:v>
      </x:c>
      <x:c r="E297" s="33" t="str">
        <x:v>number of differentially expressed genes (DEGs). In mouse, MI elicited</x:v>
      </x:c>
      <x:c r="F297" s="33" t="str">
        <x:v>differentially expressed</x:v>
      </x:c>
      <x:c r="G297" s="33" t="str"/>
      <x:c r="H297" s="33" t="str"/>
      <x:c r="I297" s="33" t="str"/>
      <x:c r="J297" s="33" t="str"/>
      <x:c r="K297" s="33" t="str">
        <x:v>Markdown line 251</x:v>
      </x:c>
      <x:c r="L297" s="33" t="str">
        <x:v>number of differentially expressed genes (DEGs). In mouse, MI elicited</x:v>
      </x:c>
      <x:c r="M297" s="23" t="str">
        <x:v>pending</x:v>
      </x:c>
    </x:row>
    <x:row r="298">
      <x:c r="A298" s="26" t="n">
        <x:v>44</x:v>
      </x:c>
      <x:c r="B298" s="10" t="str">
        <x:v>DOI_10.1038_s42003-024-07315-x</x:v>
      </x:c>
      <x:c r="C298" s="10" t="str">
        <x:v>Cross-species single-cell RNA-seq analysis reveals disparate and conserved cardiac and extracardiac inflammatory responses upon heart injury.</x:v>
      </x:c>
      <x:c r="D298" s="10" t="str">
        <x:v>enrichment</x:v>
      </x:c>
      <x:c r="E298" s="33" t="str">
        <x:v>process (BP) enrichment analysis. Leukocyte migration, pyruvate metabo-</x:v>
      </x:c>
      <x:c r="F298" s="33" t="str">
        <x:v>enrichment analysis</x:v>
      </x:c>
      <x:c r="G298" s="33" t="str"/>
      <x:c r="H298" s="33" t="str"/>
      <x:c r="I298" s="33" t="str"/>
      <x:c r="J298" s="33" t="str"/>
      <x:c r="K298" s="33" t="str">
        <x:v>Markdown line 695</x:v>
      </x:c>
      <x:c r="L298" s="33" t="str">
        <x:v>process (BP) enrichment analysis. Leukocyte migration, pyruvate metabo-</x:v>
      </x:c>
      <x:c r="M298" s="23" t="str">
        <x:v>pending</x:v>
      </x:c>
    </x:row>
    <x:row r="299">
      <x:c r="A299" s="26" t="n">
        <x:v>44</x:v>
      </x:c>
      <x:c r="B299" s="10" t="str">
        <x:v>DOI_10.1038_s42003-024-07315-x</x:v>
      </x:c>
      <x:c r="C299" s="10" t="str">
        <x:v>Cross-species single-cell RNA-seq analysis reveals disparate and conserved cardiac and extracardiac inflammatory responses upon heart injury.</x:v>
      </x:c>
      <x:c r="D299" s="10" t="str">
        <x:v>abundance_proportion</x:v>
      </x:c>
      <x:c r="E299" s="33" t="str">
        <x:v>concurrently at 1 dpci. Interestingly, minor changes in the abundance of</x:v>
      </x:c>
      <x:c r="F299" s="33" t="str">
        <x:v>abundance</x:v>
      </x:c>
      <x:c r="G299" s="33" t="str"/>
      <x:c r="H299" s="33" t="str"/>
      <x:c r="I299" s="33" t="str"/>
      <x:c r="J299" s="33" t="str"/>
      <x:c r="K299" s="33" t="str">
        <x:v>Markdown line 352</x:v>
      </x:c>
      <x:c r="L299" s="33" t="str">
        <x:v>concurrently at 1 dpci. Interestingly, minor changes in the abundance of</x:v>
      </x:c>
      <x:c r="M299" s="23" t="str">
        <x:v>pending</x:v>
      </x:c>
    </x:row>
    <x:row r="300">
      <x:c r="A300" s="27" t="n">
        <x:v>44</x:v>
      </x:c>
      <x:c r="B300" s="28" t="str">
        <x:v>DOI_10.1038_s42003-024-07315-x</x:v>
      </x:c>
      <x:c r="C300" s="28" t="str">
        <x:v>Cross-species single-cell RNA-seq analysis reveals disparate and conserved cardiac and extracardiac inflammatory responses upon heart injury.</x:v>
      </x:c>
      <x:c r="D300" s="28" t="str">
        <x:v>multiple_testing</x:v>
      </x:c>
      <x:c r="E300" s="34" t="str">
        <x:v>type. Bars are colored by timepoint. Genes with FDR &lt; 0.05 and absolute</x:v>
      </x:c>
      <x:c r="F300" s="34" t="str">
        <x:v>FDR</x:v>
      </x:c>
      <x:c r="G300" s="34" t="str"/>
      <x:c r="H300" s="34" t="str"/>
      <x:c r="I300" s="34" t="str">
        <x:v>FDR &lt; 0</x:v>
      </x:c>
      <x:c r="J300" s="34" t="str">
        <x:v>type. Bars are colored by timepoint. Genes with FDR &lt; 0.05 and absolute</x:v>
      </x:c>
      <x:c r="K300" s="34" t="str">
        <x:v>Markdown line 284</x:v>
      </x:c>
      <x:c r="L300" s="34" t="str">
        <x:v>type. Bars are colored by timepoint. Genes with FDR &lt; 0.05 and absolute</x:v>
      </x:c>
      <x:c r="M300" s="29" t="str">
        <x:v>pending</x:v>
      </x:c>
    </x:row>
  </x:sheetData>
  <x:pageMargins left="0.7" right="0.7" top="0.75" bottom="0.75" header="0.3" footer="0.3"/>
  <x:tableParts count="1">
    <x:tablePart xmlns:r="http://schemas.openxmlformats.org/officeDocument/2006/relationships" r:id="R4ddba863474a4f0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31" hidden="0" customWidth="1"/>
    <x:col min="3" max="3" width="44" hidden="0" customWidth="1"/>
    <x:col min="4" max="4" width="32" hidden="0" customWidth="1"/>
    <x:col min="5" max="5" width="14" hidden="0" customWidth="1"/>
    <x:col min="6" max="6" width="24" hidden="0" customWidth="1"/>
    <x:col min="7" max="7" width="60" hidden="0" customWidth="1"/>
    <x:col min="8" max="8" width="32" hidden="0" customWidth="1"/>
    <x:col min="9" max="9" width="70" hidden="0" customWidth="1"/>
  </x:cols>
  <x:sheetData>
    <x:row r="1">
      <x:c r="A1" s="30" t="str">
        <x:v>task_no</x:v>
      </x:c>
      <x:c r="B1" s="31" t="str">
        <x:v>paper_id</x:v>
      </x:c>
      <x:c r="C1" s="31" t="str">
        <x:v>title_original</x:v>
      </x:c>
      <x:c r="D1" s="31" t="str">
        <x:v>issue_type</x:v>
      </x:c>
      <x:c r="E1" s="31" t="str">
        <x:v>severity</x:v>
      </x:c>
      <x:c r="F1" s="31" t="str">
        <x:v>field</x:v>
      </x:c>
      <x:c r="G1" s="31" t="str">
        <x:v>description</x:v>
      </x:c>
      <x:c r="H1" s="31" t="str">
        <x:v>source_locator</x:v>
      </x:c>
      <x:c r="I1" s="32" t="str">
        <x:v>evidence_snippet</x:v>
      </x:c>
    </x:row>
    <x:row r="2">
      <x:c r="A2" s="26" t="n">
        <x:v>2</x:v>
      </x:c>
      <x:c r="B2" s="10" t="str">
        <x:v>TITLE_single_cell_atlas_of_the_human_optic_nerve</x:v>
      </x:c>
      <x:c r="C2" s="10" t="str">
        <x:v>Single cell atlas of the human optic nerve</x:v>
      </x:c>
      <x:c r="D2" s="10" t="str">
        <x:v>missing_markdown_skipped</x:v>
      </x:c>
      <x:c r="E2" s="10" t="str">
        <x:v>blocking</x:v>
      </x:c>
      <x:c r="F2" s="10" t="str">
        <x:v>source_markdown</x:v>
      </x:c>
      <x:c r="G2" s="33" t="str">
        <x:v>按用户要求跳过：当前没有可用的 review_md 正文。</x:v>
      </x:c>
      <x:c r="H2" s="33" t="str">
        <x:v>scope_mapping.json</x:v>
      </x:c>
      <x:c r="I2" s="35" t="str">
        <x:v>PDF状态=缺有效PDF；预期文件=</x:v>
      </x:c>
    </x:row>
    <x:row r="3">
      <x:c r="A3" s="26" t="n">
        <x:v>3</x:v>
      </x:c>
      <x:c r="B3" s="10" t="str">
        <x:v>DOI_10.7554_elife.71752</x:v>
      </x:c>
      <x:c r="C3" s="10" t="str">
        <x:v>Single-nucleus transcriptomic analysis of human dorsal root ganglion neurons.</x:v>
      </x:c>
      <x:c r="D3" s="10" t="str">
        <x:v>missing_markdown_skipped</x:v>
      </x:c>
      <x:c r="E3" s="10" t="str">
        <x:v>blocking</x:v>
      </x:c>
      <x:c r="F3" s="10" t="str">
        <x:v>source_markdown</x:v>
      </x:c>
      <x:c r="G3" s="33" t="str">
        <x:v>按用户要求跳过：当前没有可用的 review_md 正文。</x:v>
      </x:c>
      <x:c r="H3" s="33" t="str">
        <x:v>scope_mapping.json</x:v>
      </x:c>
      <x:c r="I3" s="35" t="str">
        <x:v>PDF状态=已核验；预期文件=</x:v>
      </x:c>
    </x:row>
    <x:row r="4">
      <x:c r="A4" s="26" t="n">
        <x:v>4</x:v>
      </x:c>
      <x:c r="B4" s="10" t="str">
        <x:v>DOI_10.1038_s41586-020-2922-4</x:v>
      </x:c>
      <x:c r="C4" s="10" t="str">
        <x:v>A molecular cell atlas of the human lung from single-cell RNA sequencing.</x:v>
      </x:c>
      <x:c r="D4" s="10" t="str">
        <x:v>task_neural_cell_not_located</x:v>
      </x:c>
      <x:c r="E4" s="10" t="str">
        <x:v>warning</x:v>
      </x:c>
      <x:c r="F4" s="10" t="str">
        <x:v>neural_cells</x:v>
      </x:c>
      <x:c r="G4" s="33" t="str">
        <x:v>任务表标注的神经相关细胞未在 Markdown 中直接定位：Pulmonary neuroendocrine cell</x:v>
      </x:c>
      <x:c r="H4" s="33" t="str">
        <x:v>Task table: 我方Marker文章 row 39</x:v>
      </x:c>
      <x:c r="I4" s="35" t="str">
        <x:v>Pulmonary neuroendocrine cell</x:v>
      </x:c>
    </x:row>
    <x:row r="5">
      <x:c r="A5" s="26" t="n">
        <x:v>6</x:v>
      </x:c>
      <x:c r="B5" s="10" t="str">
        <x:v>DOI_10.1164_rccm.202207-1384oc</x:v>
      </x:c>
      <x:c r="C5" s="10" t="str">
        <x:v>A Unique Cellular Organization of Human Distal Airways and Its Disarray in Chronic Obstructive Pulmonary Disease.</x:v>
      </x:c>
      <x:c r="D5" s="10" t="str">
        <x:v>task_neural_cell_not_located</x:v>
      </x:c>
      <x:c r="E5" s="10" t="str">
        <x:v>warning</x:v>
      </x:c>
      <x:c r="F5" s="10" t="str">
        <x:v>neural_cells</x:v>
      </x:c>
      <x:c r="G5" s="33" t="str">
        <x:v>任务表标注的神经相关细胞未在 Markdown 中直接定位：Schwann cell</x:v>
      </x:c>
      <x:c r="H5" s="33" t="str">
        <x:v>Task table: 我方Marker文章 row 41</x:v>
      </x:c>
      <x:c r="I5" s="35" t="str">
        <x:v>Schwann cell</x:v>
      </x:c>
    </x:row>
    <x:row r="6">
      <x:c r="A6" s="26" t="n">
        <x:v>6</x:v>
      </x:c>
      <x:c r="B6" s="10" t="str">
        <x:v>DOI_10.1164_rccm.202207-1384oc</x:v>
      </x:c>
      <x:c r="C6" s="10" t="str">
        <x:v>A Unique Cellular Organization of Human Distal Airways and Its Disarray in Chronic Obstructive Pulmonary Disease.</x:v>
      </x:c>
      <x:c r="D6" s="10" t="str">
        <x:v>task_neural_cell_not_located</x:v>
      </x:c>
      <x:c r="E6" s="10" t="str">
        <x:v>warning</x:v>
      </x:c>
      <x:c r="F6" s="10" t="str">
        <x:v>neural_cells</x:v>
      </x:c>
      <x:c r="G6" s="33" t="str">
        <x:v>任务表标注的神经相关细胞未在 Markdown 中直接定位：Pulmonary neuroendocrine cell</x:v>
      </x:c>
      <x:c r="H6" s="33" t="str">
        <x:v>Task table: 我方Marker文章 row 41</x:v>
      </x:c>
      <x:c r="I6" s="35" t="str">
        <x:v>Pulmonary neuroendocrine cell</x:v>
      </x:c>
    </x:row>
    <x:row r="7">
      <x:c r="A7" s="26" t="n">
        <x:v>7</x:v>
      </x:c>
      <x:c r="B7" s="10" t="str">
        <x:v>DOI_10.1038_s41586-021-04345-x</x:v>
      </x:c>
      <x:c r="C7" s="10" t="str">
        <x:v>Local and systemic responses to SARS-CoV-2 infection in children and adults.</x:v>
      </x:c>
      <x:c r="D7" s="10" t="str">
        <x:v>tissue_source_not_located_in_markdown</x:v>
      </x:c>
      <x:c r="E7" s="10" t="str">
        <x:v>warning</x:v>
      </x:c>
      <x:c r="F7" s="10" t="str">
        <x:v>tissue_sources</x:v>
      </x:c>
      <x:c r="G7" s="33" t="str">
        <x:v>组织来源使用任务表预填值，尚未在 Markdown 中定位到原文证据。</x:v>
      </x:c>
      <x:c r="H7" s="33" t="str">
        <x:v>Task table: 我方Marker文章 row 42</x:v>
      </x:c>
      <x:c r="I7" s="35" t="str">
        <x:v>表中组织：bronchus</x:v>
      </x:c>
    </x:row>
    <x:row r="8">
      <x:c r="A8" s="26" t="n">
        <x:v>8</x:v>
      </x:c>
      <x:c r="B8" s="10" t="str">
        <x:v>DOI_10.1016_j.jcf.2025.01.016</x:v>
      </x:c>
      <x:c r="C8" s="10" t="str">
        <x:v>Evidence for altered immune-structural cell crosstalk in cystic fibrosis revealed by single cell transcriptomics.</x:v>
      </x:c>
      <x:c r="D8" s="10" t="str">
        <x:v>tissue_source_not_located_in_markdown</x:v>
      </x:c>
      <x:c r="E8" s="10" t="str">
        <x:v>warning</x:v>
      </x:c>
      <x:c r="F8" s="10" t="str">
        <x:v>tissue_sources</x:v>
      </x:c>
      <x:c r="G8" s="33" t="str">
        <x:v>组织来源使用任务表预填值，尚未在 Markdown 中定位到原文证据。</x:v>
      </x:c>
      <x:c r="H8" s="33" t="str">
        <x:v>Task table: 我方Marker文章 row 43</x:v>
      </x:c>
      <x:c r="I8" s="35" t="str">
        <x:v>表中组织：carina of trachea</x:v>
      </x:c>
    </x:row>
    <x:row r="9">
      <x:c r="A9" s="26" t="n">
        <x:v>8</x:v>
      </x:c>
      <x:c r="B9" s="10" t="str">
        <x:v>DOI_10.1016_j.jcf.2025.01.016</x:v>
      </x:c>
      <x:c r="C9" s="10" t="str">
        <x:v>Evidence for altered immune-structural cell crosstalk in cystic fibrosis revealed by single cell transcriptomics.</x:v>
      </x:c>
      <x:c r="D9" s="10" t="str">
        <x:v>task_neural_cell_not_located</x:v>
      </x:c>
      <x:c r="E9" s="10" t="str">
        <x:v>warning</x:v>
      </x:c>
      <x:c r="F9" s="10" t="str">
        <x:v>neural_cells</x:v>
      </x:c>
      <x:c r="G9" s="33" t="str">
        <x:v>任务表标注的神经相关细胞未在 Markdown 中直接定位：Pulmonary neuroendocrine cell</x:v>
      </x:c>
      <x:c r="H9" s="33" t="str">
        <x:v>Task table: 我方Marker文章 row 43</x:v>
      </x:c>
      <x:c r="I9" s="35" t="str">
        <x:v>Pulmonary neuroendocrine cell</x:v>
      </x:c>
    </x:row>
    <x:row r="10">
      <x:c r="A10" s="26" t="n">
        <x:v>9</x:v>
      </x:c>
      <x:c r="B10" s="10" t="str">
        <x:v>DOI_10.1016_j.cell.2022.11.005</x:v>
      </x:c>
      <x:c r="C10" s="10" t="str">
        <x:v>A human fetal lung cell atlas uncovers proximal-distal gradients of differentiation and key regulators of epithelial fates.</x:v>
      </x:c>
      <x:c r="D10" s="10" t="str">
        <x:v>task_neural_cell_not_located</x:v>
      </x:c>
      <x:c r="E10" s="10" t="str">
        <x:v>warning</x:v>
      </x:c>
      <x:c r="F10" s="10" t="str">
        <x:v>neural_cells</x:v>
      </x:c>
      <x:c r="G10" s="33" t="str">
        <x:v>任务表标注的神经相关细胞未在 Markdown 中直接定位：Schwann cell</x:v>
      </x:c>
      <x:c r="H10" s="33" t="str">
        <x:v>Task table: 我方Marker文章 row 44</x:v>
      </x:c>
      <x:c r="I10" s="35" t="str">
        <x:v>Schwann cell</x:v>
      </x:c>
    </x:row>
    <x:row r="11">
      <x:c r="A11" s="26" t="n">
        <x:v>9</x:v>
      </x:c>
      <x:c r="B11" s="10" t="str">
        <x:v>DOI_10.1016_j.cell.2022.11.005</x:v>
      </x:c>
      <x:c r="C11" s="10" t="str">
        <x:v>A human fetal lung cell atlas uncovers proximal-distal gradients of differentiation and key regulators of epithelial fates.</x:v>
      </x:c>
      <x:c r="D11" s="10" t="str">
        <x:v>task_neural_cell_not_located</x:v>
      </x:c>
      <x:c r="E11" s="10" t="str">
        <x:v>warning</x:v>
      </x:c>
      <x:c r="F11" s="10" t="str">
        <x:v>neural_cells</x:v>
      </x:c>
      <x:c r="G11" s="33" t="str">
        <x:v>任务表标注的神经相关细胞未在 Markdown 中直接定位：Schwann cell precursor</x:v>
      </x:c>
      <x:c r="H11" s="33" t="str">
        <x:v>Task table: 我方Marker文章 row 44</x:v>
      </x:c>
      <x:c r="I11" s="35" t="str">
        <x:v>Schwann cell precursor</x:v>
      </x:c>
    </x:row>
    <x:row r="12">
      <x:c r="A12" s="26" t="n">
        <x:v>9</x:v>
      </x:c>
      <x:c r="B12" s="10" t="str">
        <x:v>DOI_10.1016_j.cell.2022.11.005</x:v>
      </x:c>
      <x:c r="C12" s="10" t="str">
        <x:v>A human fetal lung cell atlas uncovers proximal-distal gradients of differentiation and key regulators of epithelial fates.</x:v>
      </x:c>
      <x:c r="D12" s="10" t="str">
        <x:v>task_neural_cell_not_located</x:v>
      </x:c>
      <x:c r="E12" s="10" t="str">
        <x:v>warning</x:v>
      </x:c>
      <x:c r="F12" s="10" t="str">
        <x:v>neural_cells</x:v>
      </x:c>
      <x:c r="G12" s="33" t="str">
        <x:v>任务表标注的神经相关细胞未在 Markdown 中直接定位：Immature Schwann cell</x:v>
      </x:c>
      <x:c r="H12" s="33" t="str">
        <x:v>Task table: 我方Marker文章 row 44</x:v>
      </x:c>
      <x:c r="I12" s="35" t="str">
        <x:v>Immature Schwann cell</x:v>
      </x:c>
    </x:row>
    <x:row r="13">
      <x:c r="A13" s="26" t="n">
        <x:v>10</x:v>
      </x:c>
      <x:c r="B13" s="10" t="str">
        <x:v>DOI_10.1016_j.healun.2026.02.1666</x:v>
      </x:c>
      <x:c r="C13" s="10" t="str">
        <x:v>Human lung allografts experience persistent fibrogenic shift following acute cellular rejection.</x:v>
      </x:c>
      <x:c r="D13" s="10" t="str">
        <x:v>statistical_method_not_reported_or_not_located</x:v>
      </x:c>
      <x:c r="E13" s="10" t="str">
        <x:v>info</x:v>
      </x:c>
      <x:c r="F13" s="10" t="str">
        <x:v>statistics_methods</x:v>
      </x:c>
      <x:c r="G13" s="33" t="str">
        <x:v>未在 Markdown 中定位到单细胞分析阶段：quality_control</x:v>
      </x:c>
      <x:c r="H13" s="33" t="str"/>
      <x:c r="I13" s="35" t="str"/>
    </x:row>
    <x:row r="14">
      <x:c r="A14" s="26" t="n">
        <x:v>12</x:v>
      </x:c>
      <x:c r="B14" s="10" t="str">
        <x:v>DOI_10.1038_s44318-024-00328-6</x:v>
      </x:c>
      <x:c r="C14" s="10" t="str">
        <x:v>A novel human fetal lung-derived alveolar organoid model reveals mechanisms of surfactant protein C maturation relevant to interstitial lung disease.</x:v>
      </x:c>
      <x:c r="D14" s="10" t="str">
        <x:v>task_neural_cell_not_located</x:v>
      </x:c>
      <x:c r="E14" s="10" t="str">
        <x:v>warning</x:v>
      </x:c>
      <x:c r="F14" s="10" t="str">
        <x:v>neural_cells</x:v>
      </x:c>
      <x:c r="G14" s="33" t="str">
        <x:v>任务表标注的神经相关细胞未在 Markdown 中直接定位：Pulmonary neuroendocrine cell</x:v>
      </x:c>
      <x:c r="H14" s="33" t="str">
        <x:v>Task table: 我方Marker文章 row 47</x:v>
      </x:c>
      <x:c r="I14" s="35" t="str">
        <x:v>Pulmonary neuroendocrine cell</x:v>
      </x:c>
    </x:row>
    <x:row r="15">
      <x:c r="A15" s="26" t="n">
        <x:v>12</x:v>
      </x:c>
      <x:c r="B15" s="10" t="str">
        <x:v>DOI_10.1038_s44318-024-00328-6</x:v>
      </x:c>
      <x:c r="C15" s="10" t="str">
        <x:v>A novel human fetal lung-derived alveolar organoid model reveals mechanisms of surfactant protein C maturation relevant to interstitial lung disease.</x:v>
      </x:c>
      <x:c r="D15" s="10" t="str">
        <x:v>statistical_method_not_reported_or_not_located</x:v>
      </x:c>
      <x:c r="E15" s="10" t="str">
        <x:v>info</x:v>
      </x:c>
      <x:c r="F15" s="10" t="str">
        <x:v>statistics_methods</x:v>
      </x:c>
      <x:c r="G15" s="33" t="str">
        <x:v>未在 Markdown 中定位到单细胞分析阶段：multiple_testing</x:v>
      </x:c>
      <x:c r="H15" s="33" t="str"/>
      <x:c r="I15" s="35" t="str"/>
    </x:row>
    <x:row r="16">
      <x:c r="A16" s="26" t="n">
        <x:v>13</x:v>
      </x:c>
      <x:c r="B16" s="10" t="str">
        <x:v>DOI_10.1126_sciimmunol.adf9988</x:v>
      </x:c>
      <x:c r="C16" s="10" t="str">
        <x:v>Early human lung immune cell development and its role in epithelial cell fate.</x:v>
      </x:c>
      <x:c r="D16" s="10" t="str">
        <x:v>task_neural_cell_not_located</x:v>
      </x:c>
      <x:c r="E16" s="10" t="str">
        <x:v>warning</x:v>
      </x:c>
      <x:c r="F16" s="10" t="str">
        <x:v>neural_cells</x:v>
      </x:c>
      <x:c r="G16" s="33" t="str">
        <x:v>任务表标注的神经相关细胞未在 Markdown 中直接定位：Pulmonary neuroendocrine cell</x:v>
      </x:c>
      <x:c r="H16" s="33" t="str">
        <x:v>Task table: 我方Marker文章 row 48</x:v>
      </x:c>
      <x:c r="I16" s="35" t="str">
        <x:v>Pulmonary neuroendocrine cell</x:v>
      </x:c>
    </x:row>
    <x:row r="17">
      <x:c r="A17" s="26" t="n">
        <x:v>13</x:v>
      </x:c>
      <x:c r="B17" s="10" t="str">
        <x:v>DOI_10.1126_sciimmunol.adf9988</x:v>
      </x:c>
      <x:c r="C17" s="10" t="str">
        <x:v>Early human lung immune cell development and its role in epithelial cell fate.</x:v>
      </x:c>
      <x:c r="D17" s="10" t="str">
        <x:v>statistical_method_not_reported_or_not_located</x:v>
      </x:c>
      <x:c r="E17" s="10" t="str">
        <x:v>info</x:v>
      </x:c>
      <x:c r="F17" s="10" t="str">
        <x:v>statistics_methods</x:v>
      </x:c>
      <x:c r="G17" s="33" t="str">
        <x:v>未在 Markdown 中定位到单细胞分析阶段：normalization_integration</x:v>
      </x:c>
      <x:c r="H17" s="33" t="str"/>
      <x:c r="I17" s="35" t="str"/>
    </x:row>
    <x:row r="18">
      <x:c r="A18" s="26" t="n">
        <x:v>14</x:v>
      </x:c>
      <x:c r="B18" s="10" t="str">
        <x:v>DOI_10.1038_s41591-023-02327-2</x:v>
      </x:c>
      <x:c r="C18" s="10" t="str">
        <x:v>An integrated cell atlas of the lung in health and disease.</x:v>
      </x:c>
      <x:c r="D18" s="10" t="str">
        <x:v>task_neural_cell_not_located</x:v>
      </x:c>
      <x:c r="E18" s="10" t="str">
        <x:v>warning</x:v>
      </x:c>
      <x:c r="F18" s="10" t="str">
        <x:v>neural_cells</x:v>
      </x:c>
      <x:c r="G18" s="33" t="str">
        <x:v>任务表标注的神经相关细胞未在 Markdown 中直接定位：Pulmonary neuroendocrine cell</x:v>
      </x:c>
      <x:c r="H18" s="33" t="str">
        <x:v>Task table: 我方Marker文章 row 49</x:v>
      </x:c>
      <x:c r="I18" s="35" t="str">
        <x:v>Pulmonary neuroendocrine cell</x:v>
      </x:c>
    </x:row>
    <x:row r="19">
      <x:c r="A19" s="26" t="n">
        <x:v>16</x:v>
      </x:c>
      <x:c r="B19" s="10" t="str">
        <x:v>DOI_10.1038_s41588-024-01702-0</x:v>
      </x:c>
      <x:c r="C19" s="10" t="str">
        <x:v>Cell-type-specific and disease-associated expression quantitative trait loci in the human lung.</x:v>
      </x:c>
      <x:c r="D19" s="10" t="str">
        <x:v>task_neural_cell_not_located</x:v>
      </x:c>
      <x:c r="E19" s="10" t="str">
        <x:v>warning</x:v>
      </x:c>
      <x:c r="F19" s="10" t="str">
        <x:v>neural_cells</x:v>
      </x:c>
      <x:c r="G19" s="33" t="str">
        <x:v>任务表标注的神经相关细胞未在 Markdown 中直接定位：Pulmonary neuroendocrine cell</x:v>
      </x:c>
      <x:c r="H19" s="33" t="str">
        <x:v>Task table: 我方Marker文章 row 51</x:v>
      </x:c>
      <x:c r="I19" s="35" t="str">
        <x:v>Pulmonary neuroendocrine cell</x:v>
      </x:c>
    </x:row>
    <x:row r="20">
      <x:c r="A20" s="26" t="n">
        <x:v>18</x:v>
      </x:c>
      <x:c r="B20" s="10" t="str">
        <x:v>DOI_10.1016_j.stem.2022.11.013</x:v>
      </x:c>
      <x:c r="C20" s="10" t="str">
        <x:v>Organoid modeling of human fetal lung alveolar development reveals mechanisms of cell fate patterning and neonatal respiratory disease.</x:v>
      </x:c>
      <x:c r="D20" s="10" t="str">
        <x:v>tissue_source_not_located_in_markdown</x:v>
      </x:c>
      <x:c r="E20" s="10" t="str">
        <x:v>warning</x:v>
      </x:c>
      <x:c r="F20" s="10" t="str">
        <x:v>tissue_sources</x:v>
      </x:c>
      <x:c r="G20" s="33" t="str">
        <x:v>组织来源使用任务表预填值，尚未在 Markdown 中定位到原文证据。</x:v>
      </x:c>
      <x:c r="H20" s="33" t="str">
        <x:v>Task table: 我方Marker文章 row 53</x:v>
      </x:c>
      <x:c r="I20" s="35" t="str">
        <x:v>表中组织：lung epithelium</x:v>
      </x:c>
    </x:row>
    <x:row r="21">
      <x:c r="A21" s="26" t="n">
        <x:v>18</x:v>
      </x:c>
      <x:c r="B21" s="10" t="str">
        <x:v>DOI_10.1016_j.stem.2022.11.013</x:v>
      </x:c>
      <x:c r="C21" s="10" t="str">
        <x:v>Organoid modeling of human fetal lung alveolar development reveals mechanisms of cell fate patterning and neonatal respiratory disease.</x:v>
      </x:c>
      <x:c r="D21" s="10" t="str">
        <x:v>task_neural_cell_not_located</x:v>
      </x:c>
      <x:c r="E21" s="10" t="str">
        <x:v>warning</x:v>
      </x:c>
      <x:c r="F21" s="10" t="str">
        <x:v>neural_cells</x:v>
      </x:c>
      <x:c r="G21" s="33" t="str">
        <x:v>任务表标注的神经相关细胞未在 Markdown 中直接定位：Pulmonary neuroendocrine cell</x:v>
      </x:c>
      <x:c r="H21" s="33" t="str">
        <x:v>Task table: 我方Marker文章 row 53</x:v>
      </x:c>
      <x:c r="I21" s="35" t="str">
        <x:v>Pulmonary neuroendocrine cell</x:v>
      </x:c>
    </x:row>
    <x:row r="22">
      <x:c r="A22" s="26" t="n">
        <x:v>18</x:v>
      </x:c>
      <x:c r="B22" s="10" t="str">
        <x:v>DOI_10.1016_j.stem.2022.11.013</x:v>
      </x:c>
      <x:c r="C22" s="10" t="str">
        <x:v>Organoid modeling of human fetal lung alveolar development reveals mechanisms of cell fate patterning and neonatal respiratory disease.</x:v>
      </x:c>
      <x:c r="D22" s="10" t="str">
        <x:v>statistical_method_not_reported_or_not_located</x:v>
      </x:c>
      <x:c r="E22" s="10" t="str">
        <x:v>info</x:v>
      </x:c>
      <x:c r="F22" s="10" t="str">
        <x:v>statistics_methods</x:v>
      </x:c>
      <x:c r="G22" s="33" t="str">
        <x:v>未在 Markdown 中定位到单细胞分析阶段：quality_control</x:v>
      </x:c>
      <x:c r="H22" s="33" t="str"/>
      <x:c r="I22" s="35" t="str"/>
    </x:row>
    <x:row r="23">
      <x:c r="A23" s="26" t="n">
        <x:v>19</x:v>
      </x:c>
      <x:c r="B23" s="10" t="str">
        <x:v>TITLE_bronchopulmonary_dysplasia</x:v>
      </x:c>
      <x:c r="C23" s="10" t="str">
        <x:v>Bronchopulmonary Dysplasia</x:v>
      </x:c>
      <x:c r="D23" s="10" t="str">
        <x:v>missing_markdown_skipped</x:v>
      </x:c>
      <x:c r="E23" s="10" t="str">
        <x:v>blocking</x:v>
      </x:c>
      <x:c r="F23" s="10" t="str">
        <x:v>source_markdown</x:v>
      </x:c>
      <x:c r="G23" s="33" t="str">
        <x:v>按用户要求跳过：当前没有可用的 review_md 正文。</x:v>
      </x:c>
      <x:c r="H23" s="33" t="str">
        <x:v>scope_mapping.json</x:v>
      </x:c>
      <x:c r="I23" s="35" t="str">
        <x:v>PDF状态=缺有效PDF；预期文件=</x:v>
      </x:c>
    </x:row>
    <x:row r="24">
      <x:c r="A24" s="26" t="n">
        <x:v>22</x:v>
      </x:c>
      <x:c r="B24" s="10" t="str">
        <x:v>DOI_10.1126_science.aat5031</x:v>
      </x:c>
      <x:c r="C24" s="10" t="str">
        <x:v>Spatiotemporal immune zonation of the human kidney.</x:v>
      </x:c>
      <x:c r="D24" s="10" t="str">
        <x:v>statistical_method_not_reported_or_not_located</x:v>
      </x:c>
      <x:c r="E24" s="10" t="str">
        <x:v>info</x:v>
      </x:c>
      <x:c r="F24" s="10" t="str">
        <x:v>statistics_methods</x:v>
      </x:c>
      <x:c r="G24" s="33" t="str">
        <x:v>未在 Markdown 中定位到单细胞分析阶段：multiple_testing</x:v>
      </x:c>
      <x:c r="H24" s="33" t="str"/>
      <x:c r="I24" s="35" t="str"/>
    </x:row>
    <x:row r="25">
      <x:c r="A25" s="26" t="n">
        <x:v>23</x:v>
      </x:c>
      <x:c r="B25" s="10" t="str">
        <x:v>DOI_10.1016_j.isci.2024.111628</x:v>
      </x:c>
      <x:c r="C25" s="10" t="str">
        <x:v>Exploring the utility of snRNA-seq in profiling human bladder tissue: A comprehensive comparison with scRNA-seq.</x:v>
      </x:c>
      <x:c r="D25" s="10" t="str">
        <x:v>tissue_source_not_located_in_markdown</x:v>
      </x:c>
      <x:c r="E25" s="10" t="str">
        <x:v>warning</x:v>
      </x:c>
      <x:c r="F25" s="10" t="str">
        <x:v>tissue_sources</x:v>
      </x:c>
      <x:c r="G25" s="33" t="str">
        <x:v>组织来源使用任务表预填值，尚未在 Markdown 中定位到原文证据。</x:v>
      </x:c>
      <x:c r="H25" s="33" t="str">
        <x:v>Task table: 我方Marker文章 row 58</x:v>
      </x:c>
      <x:c r="I25" s="35" t="str">
        <x:v>表中组织：urinary bladder</x:v>
      </x:c>
    </x:row>
    <x:row r="26">
      <x:c r="A26" s="26" t="n">
        <x:v>23</x:v>
      </x:c>
      <x:c r="B26" s="10" t="str">
        <x:v>DOI_10.1016_j.isci.2024.111628</x:v>
      </x:c>
      <x:c r="C26" s="10" t="str">
        <x:v>Exploring the utility of snRNA-seq in profiling human bladder tissue: A comprehensive comparison with scRNA-seq.</x:v>
      </x:c>
      <x:c r="D26" s="10" t="str">
        <x:v>task_neural_cell_not_located</x:v>
      </x:c>
      <x:c r="E26" s="10" t="str">
        <x:v>warning</x:v>
      </x:c>
      <x:c r="F26" s="10" t="str">
        <x:v>neural_cells</x:v>
      </x:c>
      <x:c r="G26" s="33" t="str">
        <x:v>任务表标注的神经相关细胞未在 Markdown 中直接定位：Schwann cell</x:v>
      </x:c>
      <x:c r="H26" s="33" t="str">
        <x:v>Task table: 我方Marker文章 row 58</x:v>
      </x:c>
      <x:c r="I26" s="35" t="str">
        <x:v>Schwann cell</x:v>
      </x:c>
    </x:row>
    <x:row r="27">
      <x:c r="A27" s="26" t="n">
        <x:v>24</x:v>
      </x:c>
      <x:c r="B27" s="10" t="str">
        <x:v>DOI_10.1002_pros.24020</x:v>
      </x:c>
      <x:c r="C27" s="10" t="str">
        <x:v>Urethral luminal epithelia are castration-insensitive cells of the proximal prostate.</x:v>
      </x:c>
      <x:c r="D27" s="10" t="str">
        <x:v>tissue_source_not_located_in_markdown</x:v>
      </x:c>
      <x:c r="E27" s="10" t="str">
        <x:v>warning</x:v>
      </x:c>
      <x:c r="F27" s="10" t="str">
        <x:v>tissue_sources</x:v>
      </x:c>
      <x:c r="G27" s="33" t="str">
        <x:v>组织来源使用任务表预填值，尚未在 Markdown 中定位到原文证据。</x:v>
      </x:c>
      <x:c r="H27" s="33" t="str">
        <x:v>Task table: 我方Marker文章 row 59</x:v>
      </x:c>
      <x:c r="I27" s="35" t="str">
        <x:v>表中组织：peripheral zone of prostate</x:v>
      </x:c>
    </x:row>
    <x:row r="28">
      <x:c r="A28" s="26" t="n">
        <x:v>24</x:v>
      </x:c>
      <x:c r="B28" s="10" t="str">
        <x:v>DOI_10.1002_pros.24020</x:v>
      </x:c>
      <x:c r="C28" s="10" t="str">
        <x:v>Urethral luminal epithelia are castration-insensitive cells of the proximal prostate.</x:v>
      </x:c>
      <x:c r="D28" s="10" t="str">
        <x:v>statistical_method_not_reported_or_not_located</x:v>
      </x:c>
      <x:c r="E28" s="10" t="str">
        <x:v>info</x:v>
      </x:c>
      <x:c r="F28" s="10" t="str">
        <x:v>statistics_methods</x:v>
      </x:c>
      <x:c r="G28" s="33" t="str">
        <x:v>未在 Markdown 中定位到单细胞分析阶段：normalization_integration</x:v>
      </x:c>
      <x:c r="H28" s="33" t="str"/>
      <x:c r="I28" s="35" t="str"/>
    </x:row>
    <x:row r="29">
      <x:c r="A29" s="26" t="n">
        <x:v>24</x:v>
      </x:c>
      <x:c r="B29" s="10" t="str">
        <x:v>DOI_10.1002_pros.24020</x:v>
      </x:c>
      <x:c r="C29" s="10" t="str">
        <x:v>Urethral luminal epithelia are castration-insensitive cells of the proximal prostate.</x:v>
      </x:c>
      <x:c r="D29" s="10" t="str">
        <x:v>statistical_method_not_reported_or_not_located</x:v>
      </x:c>
      <x:c r="E29" s="10" t="str">
        <x:v>info</x:v>
      </x:c>
      <x:c r="F29" s="10" t="str">
        <x:v>statistics_methods</x:v>
      </x:c>
      <x:c r="G29" s="33" t="str">
        <x:v>未在 Markdown 中定位到单细胞分析阶段：multiple_testing</x:v>
      </x:c>
      <x:c r="H29" s="33" t="str"/>
      <x:c r="I29" s="35" t="str"/>
    </x:row>
    <x:row r="30">
      <x:c r="A30" s="26" t="n">
        <x:v>26</x:v>
      </x:c>
      <x:c r="B30" s="10" t="str">
        <x:v>DOI_10.1101_2024.10.23.619925</x:v>
      </x:c>
      <x:c r="C30" s="10" t="str">
        <x:v>Profiling of epithelial functional states and fibroblast phenotypes in hormone therapy-naïve localised prostate cancer</x:v>
      </x:c>
      <x:c r="D30" s="10" t="str">
        <x:v>tissue_source_not_located_in_markdown</x:v>
      </x:c>
      <x:c r="E30" s="10" t="str">
        <x:v>warning</x:v>
      </x:c>
      <x:c r="F30" s="10" t="str">
        <x:v>tissue_sources</x:v>
      </x:c>
      <x:c r="G30" s="33" t="str">
        <x:v>组织来源使用任务表预填值，尚未在 Markdown 中定位到原文证据。</x:v>
      </x:c>
      <x:c r="H30" s="33" t="str">
        <x:v>Task table: 我方Marker文章 row 61</x:v>
      </x:c>
      <x:c r="I30" s="35" t="str">
        <x:v>表中组织：prostate gland</x:v>
      </x:c>
    </x:row>
    <x:row r="31">
      <x:c r="A31" s="26" t="n">
        <x:v>27</x:v>
      </x:c>
      <x:c r="B31" s="10" t="str">
        <x:v>DOI_10.1101_2025.01.17.633590</x:v>
      </x:c>
      <x:c r="C31" s="10" t="str">
        <x:v>Single-cell decoding of human islet cell type-specific alterations in type 2 diabetes reveals converging genetic- and state-driven β-cell gene expression defects</x:v>
      </x:c>
      <x:c r="D31" s="10" t="str">
        <x:v>task_neural_cell_not_located</x:v>
      </x:c>
      <x:c r="E31" s="10" t="str">
        <x:v>warning</x:v>
      </x:c>
      <x:c r="F31" s="10" t="str">
        <x:v>neural_cells</x:v>
      </x:c>
      <x:c r="G31" s="33" t="str">
        <x:v>任务表标注的神经相关细胞未在 Markdown 中直接定位：Schwann cell</x:v>
      </x:c>
      <x:c r="H31" s="33" t="str">
        <x:v>Task table: 我方Marker文章 row 62</x:v>
      </x:c>
      <x:c r="I31" s="35" t="str">
        <x:v>Schwann cell</x:v>
      </x:c>
    </x:row>
    <x:row r="32">
      <x:c r="A32" s="26" t="n">
        <x:v>28</x:v>
      </x:c>
      <x:c r="B32" s="10" t="str">
        <x:v>DOI_10.1016_j.cell.2017.09.004</x:v>
      </x:c>
      <x:c r="C32" s="10" t="str">
        <x:v>Single-Cell Analysis of Human Pancreas Reveals Transcriptional Signatures of Aging and Somatic Mutation Patterns.</x:v>
      </x:c>
      <x:c r="D32" s="10" t="str">
        <x:v>task_neural_cell_not_located</x:v>
      </x:c>
      <x:c r="E32" s="10" t="str">
        <x:v>warning</x:v>
      </x:c>
      <x:c r="F32" s="10" t="str">
        <x:v>neural_cells</x:v>
      </x:c>
      <x:c r="G32" s="33" t="str">
        <x:v>任务表标注的神经相关细胞未在 Markdown 中直接定位：Type D enteroendocrine cell</x:v>
      </x:c>
      <x:c r="H32" s="33" t="str">
        <x:v>Task table: 我方Marker文章 row 63</x:v>
      </x:c>
      <x:c r="I32" s="35" t="str">
        <x:v>Type D enteroendocrine cell</x:v>
      </x:c>
    </x:row>
    <x:row r="33">
      <x:c r="A33" s="26" t="n">
        <x:v>31</x:v>
      </x:c>
      <x:c r="B33" s="10" t="str">
        <x:v>DOI_10.1038_s41588-025-02158-6</x:v>
      </x:c>
      <x:c r="C33" s="10" t="str">
        <x:v>Longitudinal single-cell multiomic atlas of high-risk neuroblastoma reveals chemotherapy-induced tumor microenvironment rewiring.</x:v>
      </x:c>
      <x:c r="D33" s="10" t="str">
        <x:v>tissue_source_not_located_in_markdown</x:v>
      </x:c>
      <x:c r="E33" s="10" t="str">
        <x:v>warning</x:v>
      </x:c>
      <x:c r="F33" s="10" t="str">
        <x:v>tissue_sources</x:v>
      </x:c>
      <x:c r="G33" s="33" t="str">
        <x:v>组织来源使用任务表预填值，尚未在 Markdown 中定位到原文证据。</x:v>
      </x:c>
      <x:c r="H33" s="33" t="str">
        <x:v>Task table: 我方Marker文章 row 68</x:v>
      </x:c>
      <x:c r="I33" s="35" t="str">
        <x:v>表中组织：abdomen</x:v>
      </x:c>
    </x:row>
    <x:row r="34">
      <x:c r="A34" s="26" t="n">
        <x:v>32</x:v>
      </x:c>
      <x:c r="B34" s="10" t="str">
        <x:v>DOI_10.1038_s41586-021-03929-x</x:v>
      </x:c>
      <x:c r="C34" s="10" t="str">
        <x:v>Blood and immune development in human fetal bone marrow and Down syndrome.</x:v>
      </x:c>
      <x:c r="D34" s="10" t="str">
        <x:v>task_neural_cell_not_located</x:v>
      </x:c>
      <x:c r="E34" s="10" t="str">
        <x:v>warning</x:v>
      </x:c>
      <x:c r="F34" s="10" t="str">
        <x:v>neural_cells</x:v>
      </x:c>
      <x:c r="G34" s="33" t="str">
        <x:v>任务表标注的神经相关细胞未在 Markdown 中直接定位：Schwann cell</x:v>
      </x:c>
      <x:c r="H34" s="33" t="str">
        <x:v>Task table: 我方Marker文章 row 69</x:v>
      </x:c>
      <x:c r="I34" s="35" t="str">
        <x:v>Schwann cell</x:v>
      </x:c>
    </x:row>
    <x:row r="35">
      <x:c r="A35" s="26" t="n">
        <x:v>33</x:v>
      </x:c>
      <x:c r="B35" s="10" t="str">
        <x:v>DOI_10.1038_s41588-025-02182-6</x:v>
      </x:c>
      <x:c r="C35" s="10" t="str">
        <x:v>An integrated transcriptomic cell atlas of human endoderm-derived organoids.</x:v>
      </x:c>
      <x:c r="D35" s="10" t="str">
        <x:v>tissue_source_not_located_in_markdown</x:v>
      </x:c>
      <x:c r="E35" s="10" t="str">
        <x:v>warning</x:v>
      </x:c>
      <x:c r="F35" s="10" t="str">
        <x:v>tissue_sources</x:v>
      </x:c>
      <x:c r="G35" s="33" t="str">
        <x:v>组织来源使用任务表预填值，尚未在 Markdown 中定位到原文证据。</x:v>
      </x:c>
      <x:c r="H35" s="33" t="str">
        <x:v>Task table: 我方Marker文章 row 70</x:v>
      </x:c>
      <x:c r="I35" s="35" t="str">
        <x:v>表中组织：alveolar sac</x:v>
      </x:c>
    </x:row>
    <x:row r="36">
      <x:c r="A36" s="26" t="n">
        <x:v>33</x:v>
      </x:c>
      <x:c r="B36" s="10" t="str">
        <x:v>DOI_10.1038_s41588-025-02182-6</x:v>
      </x:c>
      <x:c r="C36" s="10" t="str">
        <x:v>An integrated transcriptomic cell atlas of human endoderm-derived organoids.</x:v>
      </x:c>
      <x:c r="D36" s="10" t="str">
        <x:v>statistical_method_not_reported_or_not_located</x:v>
      </x:c>
      <x:c r="E36" s="10" t="str">
        <x:v>info</x:v>
      </x:c>
      <x:c r="F36" s="10" t="str">
        <x:v>statistics_methods</x:v>
      </x:c>
      <x:c r="G36" s="33" t="str">
        <x:v>未在 Markdown 中定位到单细胞分析阶段：multiple_testing</x:v>
      </x:c>
      <x:c r="H36" s="33" t="str"/>
      <x:c r="I36" s="35" t="str"/>
    </x:row>
    <x:row r="37">
      <x:c r="A37" s="26" t="n">
        <x:v>34</x:v>
      </x:c>
      <x:c r="B37" s="10" t="str">
        <x:v>DOI_10.1126_science.abl4290</x:v>
      </x:c>
      <x:c r="C37" s="10" t="str">
        <x:v>Single-nucleus cross-tissue molecular reference maps toward understanding disease gene function.</x:v>
      </x:c>
      <x:c r="D37" s="10" t="str">
        <x:v>tissue_source_not_located_in_markdown</x:v>
      </x:c>
      <x:c r="E37" s="10" t="str">
        <x:v>warning</x:v>
      </x:c>
      <x:c r="F37" s="10" t="str">
        <x:v>tissue_sources</x:v>
      </x:c>
      <x:c r="G37" s="33" t="str">
        <x:v>组织来源使用任务表预填值，尚未在 Markdown 中定位到原文证据。</x:v>
      </x:c>
      <x:c r="H37" s="33" t="str">
        <x:v>Task table: 我方Marker文章 row 71</x:v>
      </x:c>
      <x:c r="I37" s="35" t="str">
        <x:v>表中组织：anterior wall of left ventricle</x:v>
      </x:c>
    </x:row>
    <x:row r="38">
      <x:c r="A38" s="26" t="n">
        <x:v>35</x:v>
      </x:c>
      <x:c r="B38" s="10" t="str">
        <x:v>DOI_10.1126_science.abo0510</x:v>
      </x:c>
      <x:c r="C38" s="10" t="str">
        <x:v>Mapping the developing human immune system across organs.</x:v>
      </x:c>
      <x:c r="D38" s="10" t="str">
        <x:v>task_neural_cell_not_located</x:v>
      </x:c>
      <x:c r="E38" s="10" t="str">
        <x:v>warning</x:v>
      </x:c>
      <x:c r="F38" s="10" t="str">
        <x:v>neural_cells</x:v>
      </x:c>
      <x:c r="G38" s="33" t="str">
        <x:v>任务表标注的神经相关细胞未在 Markdown 中直接定位：Enteroendocrine cell</x:v>
      </x:c>
      <x:c r="H38" s="33" t="str">
        <x:v>Task table: 我方Marker文章 row 72</x:v>
      </x:c>
      <x:c r="I38" s="35" t="str">
        <x:v>Enteroendocrine cell</x:v>
      </x:c>
    </x:row>
    <x:row r="39">
      <x:c r="A39" s="26" t="n">
        <x:v>36</x:v>
      </x:c>
      <x:c r="B39" s="10" t="str">
        <x:v>DOI_10.1038_s41467-024-52052-8</x:v>
      </x:c>
      <x:c r="C39" s="10" t="str">
        <x:v>The single-cell transcriptomic atlas iPain identifies senescence of nociceptors as a therapeutical target for chronic pain treatment.</x:v>
      </x:c>
      <x:c r="D39" s="10" t="str">
        <x:v>tissue_source_not_located_in_markdown</x:v>
      </x:c>
      <x:c r="E39" s="10" t="str">
        <x:v>warning</x:v>
      </x:c>
      <x:c r="F39" s="10" t="str">
        <x:v>tissue_sources</x:v>
      </x:c>
      <x:c r="G39" s="33" t="str">
        <x:v>组织来源使用任务表预填值，尚未在 Markdown 中定位到原文证据。</x:v>
      </x:c>
      <x:c r="H39" s="33" t="str">
        <x:v>Task table: 我方Marker文章 row 73</x:v>
      </x:c>
      <x:c r="I39" s="35" t="str">
        <x:v>表中组织：dorsal root ganglion</x:v>
      </x:c>
    </x:row>
    <x:row r="40">
      <x:c r="A40" s="26" t="n">
        <x:v>37</x:v>
      </x:c>
      <x:c r="B40" s="10" t="str">
        <x:v>PMID_37120427</x:v>
      </x:c>
      <x:c r="C40" s="10" t="str">
        <x:v>Single cell RNAseq Adult Mouse Lumbar Dorsal Root Ganglia (DRG)</x:v>
      </x:c>
      <x:c r="D40" s="10" t="str">
        <x:v>missing_markdown_skipped</x:v>
      </x:c>
      <x:c r="E40" s="10" t="str">
        <x:v>blocking</x:v>
      </x:c>
      <x:c r="F40" s="10" t="str">
        <x:v>source_markdown</x:v>
      </x:c>
      <x:c r="G40" s="33" t="str">
        <x:v>按用户要求跳过：当前没有可用的 review_md 正文。</x:v>
      </x:c>
      <x:c r="H40" s="33" t="str">
        <x:v>scope_mapping.json</x:v>
      </x:c>
      <x:c r="I40" s="35" t="str">
        <x:v>PDF状态=未接入当前PDF库；预期文件=</x:v>
      </x:c>
    </x:row>
    <x:row r="41">
      <x:c r="A41" s="26" t="n">
        <x:v>38</x:v>
      </x:c>
      <x:c r="B41" s="10" t="str">
        <x:v>PMID_35115729</x:v>
      </x:c>
      <x:c r="C41" s="10" t="str">
        <x:v>Disentangling glial diversity in peripheral nerves at single-nuclei resolution</x:v>
      </x:c>
      <x:c r="D41" s="10" t="str">
        <x:v>task_neural_cell_not_located</x:v>
      </x:c>
      <x:c r="E41" s="10" t="str">
        <x:v>warning</x:v>
      </x:c>
      <x:c r="F41" s="10" t="str">
        <x:v>neural_cells</x:v>
      </x:c>
      <x:c r="G41" s="33" t="str">
        <x:v>任务表标注的神经相关细胞未在 Markdown 中直接定位：GEO补充(未规范化)</x:v>
      </x:c>
      <x:c r="H41" s="33" t="str">
        <x:v>Task table: 我方Marker文章 row 75</x:v>
      </x:c>
      <x:c r="I41" s="35" t="str">
        <x:v>GEO补充(未规范化)</x:v>
      </x:c>
    </x:row>
    <x:row r="42">
      <x:c r="A42" s="26" t="n">
        <x:v>39</x:v>
      </x:c>
      <x:c r="B42" s="10" t="str">
        <x:v>DOI_10.1101_2025.09.26.678707</x:v>
      </x:c>
      <x:c r="C42" s="10" t="str">
        <x:v>Cellular and Spatial Drivers of Unresolved Injury and Functional Decline in the Human Kidney</x:v>
      </x:c>
      <x:c r="D42" s="10" t="str">
        <x:v>task_neural_cell_not_located</x:v>
      </x:c>
      <x:c r="E42" s="10" t="str">
        <x:v>warning</x:v>
      </x:c>
      <x:c r="F42" s="10" t="str">
        <x:v>neural_cells</x:v>
      </x:c>
      <x:c r="G42" s="33" t="str">
        <x:v>任务表标注的神经相关细胞未在 Markdown 中直接定位：Schwann cell</x:v>
      </x:c>
      <x:c r="H42" s="33" t="str">
        <x:v>Task table: 我方Marker文章 row 82</x:v>
      </x:c>
      <x:c r="I42" s="35" t="str">
        <x:v>Schwann cell</x:v>
      </x:c>
    </x:row>
    <x:row r="43">
      <x:c r="A43" s="26" t="n">
        <x:v>40</x:v>
      </x:c>
      <x:c r="B43" s="10" t="str">
        <x:v>DOI_10.1038_s41467-021-21783-3</x:v>
      </x:c>
      <x:c r="C43" s="10" t="str">
        <x:v>Time-resolved single-cell analysis of Brca1 associated mammary tumourigenesis reveals aberrant differentiation of luminal progenitors.</x:v>
      </x:c>
      <x:c r="D43" s="10" t="str">
        <x:v>task_neural_cell_not_located</x:v>
      </x:c>
      <x:c r="E43" s="10" t="str">
        <x:v>warning</x:v>
      </x:c>
      <x:c r="F43" s="10" t="str">
        <x:v>neural_cells</x:v>
      </x:c>
      <x:c r="G43" s="33" t="str">
        <x:v>任务表标注的神经相关细胞未在 Markdown 中直接定位：Schwann cell</x:v>
      </x:c>
      <x:c r="H43" s="33" t="str">
        <x:v>Task table: 我方Marker文章 row 83</x:v>
      </x:c>
      <x:c r="I43" s="35" t="str">
        <x:v>Schwann cell</x:v>
      </x:c>
    </x:row>
    <x:row r="44">
      <x:c r="A44" s="26" t="n">
        <x:v>42</x:v>
      </x:c>
      <x:c r="B44" s="10" t="str">
        <x:v>DOI_10.1038_s41586-024-07069-w</x:v>
      </x:c>
      <x:c r="C44" s="10" t="str">
        <x:v>A single-cell time-lapse of mouse prenatal development from gastrula to birth.</x:v>
      </x:c>
      <x:c r="D44" s="10" t="str">
        <x:v>task_neural_cell_not_located</x:v>
      </x:c>
      <x:c r="E44" s="10" t="str">
        <x:v>warning</x:v>
      </x:c>
      <x:c r="F44" s="10" t="str">
        <x:v>neural_cells</x:v>
      </x:c>
      <x:c r="G44" s="33" t="str">
        <x:v>任务表标注的神经相关细胞未在 Markdown 中直接定位：Efferent neuron</x:v>
      </x:c>
      <x:c r="H44" s="33" t="str">
        <x:v>Task table: 我方Marker文章 row 86</x:v>
      </x:c>
      <x:c r="I44" s="35" t="str">
        <x:v>Efferent neuron</x:v>
      </x:c>
    </x:row>
    <x:row r="45">
      <x:c r="A45" s="26" t="n">
        <x:v>43</x:v>
      </x:c>
      <x:c r="B45" s="10" t="str">
        <x:v>DOI_10.1038_s41586-020-2496-1</x:v>
      </x:c>
      <x:c r="C45" s="10" t="str">
        <x:v>A single-cell transcriptomic atlas characterizes ageing tissues in the mouse.</x:v>
      </x:c>
      <x:c r="D45" s="10" t="str">
        <x:v>task_neural_cell_not_located</x:v>
      </x:c>
      <x:c r="E45" s="10" t="str">
        <x:v>warning</x:v>
      </x:c>
      <x:c r="F45" s="10" t="str">
        <x:v>neural_cells</x:v>
      </x:c>
      <x:c r="G45" s="33" t="str">
        <x:v>任务表标注的神经相关细胞未在 Markdown 中直接定位：Cardiac neuron</x:v>
      </x:c>
      <x:c r="H45" s="33" t="str">
        <x:v>Task table: 我方Marker文章 row 87</x:v>
      </x:c>
      <x:c r="I45" s="35" t="str">
        <x:v>Cardiac neuron</x:v>
      </x:c>
    </x:row>
    <x:row r="46">
      <x:c r="A46" s="26" t="n">
        <x:v>43</x:v>
      </x:c>
      <x:c r="B46" s="10" t="str">
        <x:v>DOI_10.1038_s41586-020-2496-1</x:v>
      </x:c>
      <x:c r="C46" s="10" t="str">
        <x:v>A single-cell transcriptomic atlas characterizes ageing tissues in the mouse.</x:v>
      </x:c>
      <x:c r="D46" s="10" t="str">
        <x:v>task_neural_cell_not_located</x:v>
      </x:c>
      <x:c r="E46" s="10" t="str">
        <x:v>warning</x:v>
      </x:c>
      <x:c r="F46" s="10" t="str">
        <x:v>neural_cells</x:v>
      </x:c>
      <x:c r="G46" s="33" t="str">
        <x:v>任务表标注的神经相关细胞未在 Markdown 中直接定位：Schwann cell</x:v>
      </x:c>
      <x:c r="H46" s="33" t="str">
        <x:v>Task table: 我方Marker文章 row 87</x:v>
      </x:c>
      <x:c r="I46" s="35" t="str">
        <x:v>Schwann cell</x:v>
      </x:c>
    </x:row>
    <x:row r="47">
      <x:c r="A47" s="26" t="n">
        <x:v>43</x:v>
      </x:c>
      <x:c r="B47" s="10" t="str">
        <x:v>DOI_10.1038_s41586-020-2496-1</x:v>
      </x:c>
      <x:c r="C47" s="10" t="str">
        <x:v>A single-cell transcriptomic atlas characterizes ageing tissues in the mouse.</x:v>
      </x:c>
      <x:c r="D47" s="10" t="str">
        <x:v>task_neural_cell_not_located</x:v>
      </x:c>
      <x:c r="E47" s="10" t="str">
        <x:v>warning</x:v>
      </x:c>
      <x:c r="F47" s="10" t="str">
        <x:v>neural_cells</x:v>
      </x:c>
      <x:c r="G47" s="33" t="str">
        <x:v>任务表标注的神经相关细胞未在 Markdown 中直接定位：Neuroendocrine cell</x:v>
      </x:c>
      <x:c r="H47" s="33" t="str">
        <x:v>Task table: 我方Marker文章 row 87</x:v>
      </x:c>
      <x:c r="I47" s="35" t="str">
        <x:v>Neuroendocrine cell</x:v>
      </x:c>
    </x:row>
    <x:row r="48">
      <x:c r="A48" s="26" t="n">
        <x:v>43</x:v>
      </x:c>
      <x:c r="B48" s="10" t="str">
        <x:v>DOI_10.1038_s41586-020-2496-1</x:v>
      </x:c>
      <x:c r="C48" s="10" t="str">
        <x:v>A single-cell transcriptomic atlas characterizes ageing tissues in the mouse.</x:v>
      </x:c>
      <x:c r="D48" s="10" t="str">
        <x:v>task_neural_cell_not_located</x:v>
      </x:c>
      <x:c r="E48" s="10" t="str">
        <x:v>warning</x:v>
      </x:c>
      <x:c r="F48" s="10" t="str">
        <x:v>neural_cells</x:v>
      </x:c>
      <x:c r="G48" s="33" t="str">
        <x:v>任务表标注的神经相关细胞未在 Markdown 中直接定位：Pulmonary neuroendocrine cell</x:v>
      </x:c>
      <x:c r="H48" s="33" t="str">
        <x:v>Task table: 我方Marker文章 row 87</x:v>
      </x:c>
      <x:c r="I48" s="35" t="str">
        <x:v>Pulmonary neuroendocrine cell</x:v>
      </x:c>
    </x:row>
    <x:row r="49">
      <x:c r="A49" s="27" t="n">
        <x:v>44</x:v>
      </x:c>
      <x:c r="B49" s="28" t="str">
        <x:v>DOI_10.1038_s42003-024-07315-x</x:v>
      </x:c>
      <x:c r="C49" s="28" t="str">
        <x:v>Cross-species single-cell RNA-seq analysis reveals disparate and conserved cardiac and extracardiac inflammatory responses upon heart injury.</x:v>
      </x:c>
      <x:c r="D49" s="28" t="str">
        <x:v>task_neural_cell_not_located</x:v>
      </x:c>
      <x:c r="E49" s="28" t="str">
        <x:v>warning</x:v>
      </x:c>
      <x:c r="F49" s="28" t="str">
        <x:v>neural_cells</x:v>
      </x:c>
      <x:c r="G49" s="34" t="str">
        <x:v>任务表标注的神经相关细胞未在 Markdown 中直接定位：Schwann cell</x:v>
      </x:c>
      <x:c r="H49" s="34" t="str">
        <x:v>Task table: 我方Marker文章 row 88</x:v>
      </x:c>
      <x:c r="I49" s="36" t="str">
        <x:v>Schwann cell</x:v>
      </x:c>
    </x:row>
  </x:sheetData>
  <x:pageMargins left="0.7" right="0.7" top="0.75" bottom="0.75" header="0.3" footer="0.3"/>
  <x:tableParts count="1">
    <x:tablePart xmlns:r="http://schemas.openxmlformats.org/officeDocument/2006/relationships" r:id="R7db0dd16392d406c"/>
  </x:tableParts>
</x:worksheet>
</file>