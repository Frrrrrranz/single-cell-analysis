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说明与统计" sheetId="1" state="visible" r:id="rId1"/>
    <sheet name="markers" sheetId="2" state="visible" r:id="rId2"/>
    <sheet name="import_log" sheetId="3" state="visible" r:id="rId3"/>
  </sheets>
  <definedNames/>
</workbook>
</file>

<file path=xl/styles.xml><?xml version="1.0" encoding="utf-8"?>
<styleSheet xmlns="http://schemas.openxmlformats.org/spreadsheetml/2006/main">
  <numFmts count="1">
    <numFmt numFmtId="164" formatCode="yyyy-mm-dd"/>
  </numFmts>
  <fonts count="7">
    <font>
      <name val="Carlito"/>
      <sz val="11"/>
    </font>
    <font>
      <name val="Carlito"/>
      <b val="1"/>
      <color rgb="FFFFFFFF"/>
      <sz val="16"/>
    </font>
    <font>
      <name val="Carlito"/>
      <b val="1"/>
      <color rgb="FF1F4E78"/>
      <sz val="11"/>
    </font>
    <font>
      <name val="Carlito"/>
      <b val="1"/>
      <color rgb="FF548235"/>
      <sz val="11"/>
    </font>
    <font>
      <name val="Carlito"/>
      <color rgb="FF203040"/>
      <sz val="11"/>
    </font>
    <font>
      <name val="Carlito"/>
      <i val="1"/>
      <color rgb="FF5B6570"/>
      <sz val="11"/>
    </font>
    <font>
      <name val="Carlito"/>
      <b val="1"/>
      <color rgb="FFFFFFFF"/>
      <sz val="11"/>
    </font>
  </fonts>
  <fills count="6">
    <fill>
      <patternFill/>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3F6F8"/>
      </patternFill>
    </fill>
  </fills>
  <borders count="7">
    <border/>
    <border>
      <right style="thin">
        <color rgb="FFCCD6DF"/>
      </right>
      <bottom style="thin">
        <color rgb="FFCCD6DF"/>
      </bottom>
    </border>
    <border>
      <left style="thin">
        <color rgb="FFCCD6DF"/>
      </left>
      <bottom style="thin">
        <color rgb="FFCCD6DF"/>
      </bottom>
    </border>
    <border>
      <right style="thin">
        <color rgb="FFCCD6DF"/>
      </right>
      <top style="thin">
        <color rgb="FFCCD6DF"/>
      </top>
      <bottom style="thin">
        <color rgb="FFCCD6DF"/>
      </bottom>
    </border>
    <border>
      <left style="thin">
        <color rgb="FFCCD6DF"/>
      </left>
      <top style="thin">
        <color rgb="FFCCD6DF"/>
      </top>
      <bottom style="thin">
        <color rgb="FFCCD6DF"/>
      </bottom>
    </border>
    <border>
      <right style="thin">
        <color rgb="FFCCD6DF"/>
      </right>
      <top style="thin">
        <color rgb="FFCCD6DF"/>
      </top>
    </border>
    <border>
      <left style="thin">
        <color rgb="FFCCD6DF"/>
      </left>
      <top style="thin">
        <color rgb="FFCCD6DF"/>
      </top>
    </border>
  </borders>
  <cellStyleXfs count="1">
    <xf numFmtId="0" fontId="0" fillId="0" borderId="0"/>
  </cellStyleXfs>
  <cellXfs count="56">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3" fontId="0" fillId="0" borderId="2" pivotButton="0" quotePrefix="0" xfId="0"/>
    <xf numFmtId="3" fontId="0" fillId="0" borderId="4" pivotButton="0" quotePrefix="0" xfId="0"/>
    <xf numFmtId="3" fontId="0" fillId="0" borderId="6" pivotButton="0" quotePrefix="0" xfId="0"/>
    <xf numFmtId="0" fontId="0" fillId="4" borderId="0" pivotButton="0" quotePrefix="0" xfId="0"/>
    <xf numFmtId="0" fontId="3" fillId="4" borderId="0" pivotButton="0" quotePrefix="0" xfId="0"/>
    <xf numFmtId="0" fontId="0" fillId="5" borderId="0" pivotButton="0" quotePrefix="0" xfId="0"/>
    <xf numFmtId="0" fontId="4" fillId="5" borderId="0" pivotButton="0" quotePrefix="0" xfId="0"/>
    <xf numFmtId="0" fontId="4" fillId="5" borderId="0" applyAlignment="1" pivotButton="0" quotePrefix="0" xfId="0">
      <alignment wrapText="1"/>
    </xf>
    <xf numFmtId="0" fontId="5" fillId="0" borderId="0" pivotButton="0" quotePrefix="0" xfId="0"/>
    <xf numFmtId="0" fontId="0" fillId="0" borderId="0" applyAlignment="1" pivotButton="0" quotePrefix="0" xfId="0">
      <alignment vertical="center"/>
    </xf>
    <xf numFmtId="0" fontId="2" fillId="3" borderId="0" applyAlignment="1" pivotButton="0" quotePrefix="0" xfId="0">
      <alignment vertical="center"/>
    </xf>
    <xf numFmtId="0" fontId="0" fillId="0" borderId="1" applyAlignment="1" pivotButton="0" quotePrefix="0" xfId="0">
      <alignment vertical="center"/>
    </xf>
    <xf numFmtId="3" fontId="0" fillId="0" borderId="2" applyAlignment="1" pivotButton="0" quotePrefix="0" xfId="0">
      <alignment vertical="center"/>
    </xf>
    <xf numFmtId="0" fontId="0" fillId="0" borderId="3" applyAlignment="1" pivotButton="0" quotePrefix="0" xfId="0">
      <alignment vertical="center"/>
    </xf>
    <xf numFmtId="3" fontId="0" fillId="0" borderId="4" applyAlignment="1" pivotButton="0" quotePrefix="0" xfId="0">
      <alignment vertical="center"/>
    </xf>
    <xf numFmtId="0" fontId="0" fillId="0" borderId="5" applyAlignment="1" pivotButton="0" quotePrefix="0" xfId="0">
      <alignment vertical="center"/>
    </xf>
    <xf numFmtId="3" fontId="0" fillId="0" borderId="6" applyAlignment="1" pivotButton="0" quotePrefix="0" xfId="0">
      <alignment vertical="center"/>
    </xf>
    <xf numFmtId="0" fontId="3" fillId="4" borderId="0" applyAlignment="1" pivotButton="0" quotePrefix="0" xfId="0">
      <alignment vertical="center"/>
    </xf>
    <xf numFmtId="0" fontId="4" fillId="5" borderId="0" applyAlignment="1" pivotButton="0" quotePrefix="0" xfId="0">
      <alignment vertical="center" wrapText="1"/>
    </xf>
    <xf numFmtId="0" fontId="5" fillId="0" borderId="0" applyAlignment="1" pivotButton="0" quotePrefix="0" xfId="0">
      <alignment vertical="center"/>
    </xf>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2" fillId="3" borderId="0" applyAlignment="1" pivotButton="0" quotePrefix="0" xfId="0">
      <alignment vertical="center" wrapText="1"/>
    </xf>
    <xf numFmtId="0" fontId="0" fillId="0" borderId="1" applyAlignment="1" pivotButton="0" quotePrefix="0" xfId="0">
      <alignment vertical="center" wrapText="1"/>
    </xf>
    <xf numFmtId="3" fontId="0" fillId="0" borderId="2" applyAlignment="1" pivotButton="0" quotePrefix="0" xfId="0">
      <alignment vertical="center" wrapText="1"/>
    </xf>
    <xf numFmtId="0" fontId="0" fillId="0" borderId="3" applyAlignment="1" pivotButton="0" quotePrefix="0" xfId="0">
      <alignment vertical="center" wrapText="1"/>
    </xf>
    <xf numFmtId="3" fontId="0" fillId="0" borderId="4" applyAlignment="1" pivotButton="0" quotePrefix="0" xfId="0">
      <alignment vertical="center" wrapText="1"/>
    </xf>
    <xf numFmtId="0" fontId="0" fillId="0" borderId="5" applyAlignment="1" pivotButton="0" quotePrefix="0" xfId="0">
      <alignment vertical="center" wrapText="1"/>
    </xf>
    <xf numFmtId="3" fontId="0" fillId="0" borderId="6" applyAlignment="1" pivotButton="0" quotePrefix="0" xfId="0">
      <alignment vertical="center" wrapText="1"/>
    </xf>
    <xf numFmtId="0" fontId="3" fillId="4" borderId="0" applyAlignment="1" pivotButton="0" quotePrefix="0" xfId="0">
      <alignment vertical="center" wrapText="1"/>
    </xf>
    <xf numFmtId="0" fontId="5" fillId="0" borderId="0" applyAlignment="1" pivotButton="0" quotePrefix="0" xfId="0">
      <alignment vertical="center" wrapText="1"/>
    </xf>
    <xf numFmtId="0" fontId="6" fillId="2" borderId="0" pivotButton="0" quotePrefix="0" xfId="0"/>
    <xf numFmtId="0" fontId="6" fillId="2"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0" fillId="0" borderId="0" applyAlignment="1" pivotButton="0" quotePrefix="0" xfId="0">
      <alignment wrapText="1"/>
    </xf>
    <xf numFmtId="164" fontId="0" fillId="0" borderId="0" applyAlignment="1" pivotButton="0" quotePrefix="0" xfId="0">
      <alignment vertical="top" wrapText="1"/>
    </xf>
    <xf numFmtId="3" fontId="0" fillId="0" borderId="2" applyAlignment="1" pivotButton="0" quotePrefix="0" xfId="0">
      <alignment vertical="center" wrapText="1"/>
    </xf>
    <xf numFmtId="3" fontId="0" fillId="0" borderId="4" applyAlignment="1" pivotButton="0" quotePrefix="0" xfId="0">
      <alignment vertical="center" wrapText="1"/>
    </xf>
    <xf numFmtId="3" fontId="0" fillId="0" borderId="6" applyAlignment="1" pivotButton="0" quotePrefix="0" xfId="0">
      <alignment vertical="center" wrapText="1"/>
    </xf>
    <xf numFmtId="164" fontId="0" fillId="0" borderId="0" applyAlignment="1" pivotButton="0" quotePrefix="0" xfId="0">
      <alignment vertical="top"/>
    </xf>
    <xf numFmtId="164" fontId="0" fillId="0" borderId="0" applyAlignment="1" pivotButton="0" quotePrefix="0" xfId="0">
      <alignment vertical="top" wrapText="1"/>
    </xf>
  </cellXfs>
  <cellStyles count="1">
    <cellStyle name="Normal" xfId="0"/>
  </cellStyles>
  <dxfs count="3">
    <dxf>
      <font>
        <color rgb="FF548235"/>
      </font>
      <fill>
        <patternFill patternType="solid">
          <bgColor rgb="FFE2F0D9"/>
        </patternFill>
      </fill>
    </dxf>
    <dxf>
      <font>
        <color rgb="FF9C6500"/>
      </font>
      <fill>
        <patternFill patternType="solid">
          <bgColor rgb="FFFFF2CC"/>
        </patternFill>
      </fill>
    </dxf>
    <dxf>
      <font>
        <color rgb="FF9C0006"/>
      </font>
      <fill>
        <patternFill patternType="solid">
          <b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OurMarkersTable" displayName="OurMarkersTable" ref="A1:X11" headerRowCount="1" totalsRowCount="0" totalsRowShown="0">
  <tableColumns count="24">
    <tableColumn id="1" name="marker_id"/>
    <tableColumn id="2" name="task_no"/>
    <tableColumn id="3" name="dataset_id"/>
    <tableColumn id="4" name="paper_id"/>
    <tableColumn id="5" name="document_id"/>
    <tableColumn id="6" name="document_role"/>
    <tableColumn id="7" name="ct_id"/>
    <tableColumn id="8" name="subtype_id"/>
    <tableColumn id="9" name="cell_type"/>
    <tableColumn id="10" name="subtype"/>
    <tableColumn id="11" name="species"/>
    <tableColumn id="12" name="is_pns_cell"/>
    <tableColumn id="13" name="gene_symbol"/>
    <tableColumn id="14" name="original_symbol"/>
    <tableColumn id="15" name="evidence_type"/>
    <tableColumn id="16" name="marker_polarity"/>
    <tableColumn id="17" name="candidate_class"/>
    <tableColumn id="18" name="source_locator"/>
    <tableColumn id="19" name="source_context"/>
    <tableColumn id="20" name="review_status"/>
    <tableColumn id="21" name="review_method"/>
    <tableColumn id="22" name="notes"/>
    <tableColumn id="23" name="source_file"/>
    <tableColumn id="24" name="imported_at"/>
  </tableColumns>
  <tableStyleInfo name="TableStyleMedium2" showFirstColumn="0" showLastColumn="0" showRowStripes="1" showColumnStripes="0"/>
</table>
</file>

<file path=xl/tables/table2.xml><?xml version="1.0" encoding="utf-8"?>
<table xmlns="http://schemas.openxmlformats.org/spreadsheetml/2006/main" id="2" name="MarkerImportLogTable" displayName="MarkerImportLogTable" ref="A1:O2" headerRowCount="1" totalsRowCount="0" totalsRowShown="0">
  <tableColumns count="15">
    <tableColumn id="1" name="batch_id"/>
    <tableColumn id="2" name="task_no"/>
    <tableColumn id="3" name="paper_id"/>
    <tableColumn id="4" name="document_id"/>
    <tableColumn id="5" name="paper_title"/>
    <tableColumn id="6" name="review_method"/>
    <tableColumn id="7" name="extracted_candidates"/>
    <tableColumn id="8" name="formal_candidates"/>
    <tableColumn id="9" name="quick_approved"/>
    <tableColumn id="10" name="rejected_scope"/>
    <tableColumn id="11" name="context_only"/>
    <tableColumn id="12" name="imported_count"/>
    <tableColumn id="13" name="source_file"/>
    <tableColumn id="14" name="imported_at"/>
    <tableColumn id="15"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26" customWidth="1" min="1" max="1"/>
    <col width="12"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33" t="inlineStr">
        <is>
          <t>我方 Marker 总表（schema v2）</t>
        </is>
      </c>
    </row>
    <row r="2">
      <c r="A2" s="34" t="n"/>
      <c r="B2" s="34" t="n"/>
      <c r="C2" s="34" t="n"/>
      <c r="D2" s="34" t="n"/>
      <c r="E2" s="34" t="n"/>
      <c r="F2" s="34" t="n"/>
      <c r="G2" s="34" t="n"/>
      <c r="H2" s="34" t="n"/>
    </row>
    <row r="3">
      <c r="A3" s="35" t="inlineStr">
        <is>
          <t>当前统计</t>
        </is>
      </c>
      <c r="B3" s="35" t="inlineStr">
        <is>
          <t>数量</t>
        </is>
      </c>
      <c r="C3" s="34" t="n"/>
      <c r="D3" s="34" t="n"/>
      <c r="E3" s="34" t="n"/>
      <c r="F3" s="34" t="n"/>
      <c r="G3" s="34" t="n"/>
      <c r="H3" s="34" t="n"/>
    </row>
    <row r="4">
      <c r="A4" s="36" t="inlineStr">
        <is>
          <t>已录入 marker</t>
        </is>
      </c>
      <c r="B4" s="51">
        <f>COUNTA('markers'!$A$2:$A$5000)</f>
        <v/>
      </c>
      <c r="C4" s="34" t="n"/>
      <c r="D4" s="34" t="n"/>
      <c r="E4" s="34" t="n"/>
      <c r="F4" s="34" t="n"/>
      <c r="G4" s="34" t="n"/>
      <c r="H4" s="34" t="n"/>
    </row>
    <row r="5">
      <c r="A5" s="38" t="inlineStr">
        <is>
          <t>已批准 marker</t>
        </is>
      </c>
      <c r="B5" s="52">
        <f>COUNTIF('markers'!$T$2:$T$5000,"approved")</f>
        <v/>
      </c>
      <c r="C5" s="34" t="n"/>
      <c r="D5" s="34" t="n"/>
      <c r="E5" s="34" t="n"/>
      <c r="F5" s="34" t="n"/>
      <c r="G5" s="34" t="n"/>
      <c r="H5" s="34" t="n"/>
    </row>
    <row r="6">
      <c r="A6" s="38" t="inlineStr">
        <is>
          <t>已录入论文</t>
        </is>
      </c>
      <c r="B6" s="52">
        <f>COUNTA('import_log'!$A$2:$A$500)</f>
        <v/>
      </c>
      <c r="C6" s="34" t="n"/>
      <c r="D6" s="34" t="n"/>
      <c r="E6" s="34" t="n"/>
      <c r="F6" s="34" t="n"/>
      <c r="G6" s="34" t="n"/>
      <c r="H6" s="34" t="n"/>
    </row>
    <row r="7">
      <c r="A7" s="40" t="inlineStr">
        <is>
          <t>PNS marker</t>
        </is>
      </c>
      <c r="B7" s="53">
        <f>COUNTIF('markers'!$L$2:$L$5000,"true")</f>
        <v/>
      </c>
      <c r="C7" s="34" t="n"/>
      <c r="D7" s="34" t="n"/>
      <c r="E7" s="34" t="n"/>
      <c r="F7" s="34" t="n"/>
      <c r="G7" s="34" t="n"/>
      <c r="H7" s="34" t="n"/>
    </row>
    <row r="8">
      <c r="A8" s="34" t="n"/>
      <c r="B8" s="34" t="n"/>
      <c r="C8" s="34" t="n"/>
      <c r="D8" s="34" t="n"/>
      <c r="E8" s="34" t="n"/>
      <c r="F8" s="34" t="n"/>
      <c r="G8" s="34" t="n"/>
      <c r="H8" s="34" t="n"/>
    </row>
    <row r="9">
      <c r="A9" s="42" t="inlineStr">
        <is>
          <t>快速一致性复核录入规则</t>
        </is>
      </c>
    </row>
    <row r="10" ht="28" customHeight="1">
      <c r="A10" s="31" t="inlineStr">
        <is>
          <t>1. 只录入 formal_candidate；context_only、普通 DEG、模型推断和外部引用默认不录入。</t>
        </is>
      </c>
    </row>
    <row r="11" ht="28" customHeight="1">
      <c r="A11" s="31" t="inlineStr">
        <is>
          <t>2. 快速复核必须确认：paper/document 映射正确；细胞类型、基因与 source_context 大致一致；source_locator 可回到正文或图表。</t>
        </is>
      </c>
    </row>
    <row r="12" ht="28" customHeight="1">
      <c r="A12" s="31" t="inlineStr">
        <is>
          <t>3. 默认只录入 is_pns_cell=true 且物种与任务表一致的记录；比较物种、非 PNS 细胞和身份不清记录暂不录入。</t>
        </is>
      </c>
    </row>
    <row r="13" ht="28" customHeight="1">
      <c r="A13" s="31" t="inlineStr">
        <is>
          <t>4. 不要求逐句或逐图完整复核；发现明显错配、基因拼写错误、负 marker 极性错误时必须修改或拒绝。</t>
        </is>
      </c>
    </row>
    <row r="14" ht="28" customHeight="1">
      <c r="A14" s="31" t="inlineStr">
        <is>
          <t>5. 快速复核通过记 review_status=approved、review_method=quick_consistency；以后完整复核可更新为 full_review。</t>
        </is>
      </c>
    </row>
    <row r="15" ht="28" customHeight="1">
      <c r="A15" s="31" t="inlineStr">
        <is>
          <t>6. 去重键：paper_id + document_id + cell_type + subtype + gene_symbol + marker_polarity。</t>
        </is>
      </c>
    </row>
    <row r="16">
      <c r="A16" s="34" t="n"/>
      <c r="B16" s="34" t="n"/>
      <c r="C16" s="34" t="n"/>
      <c r="D16" s="34" t="n"/>
      <c r="E16" s="34" t="n"/>
      <c r="F16" s="34" t="n"/>
      <c r="G16" s="34" t="n"/>
      <c r="H16" s="34" t="n"/>
    </row>
    <row r="17">
      <c r="A17" s="43" t="inlineStr">
        <is>
          <t>任务范围：db/cellxgene/our_marker_papers.xlsx；逐篇来源：scripts/extract_markers/markers_output_v2/</t>
        </is>
      </c>
    </row>
  </sheetData>
  <mergeCells count="9">
    <mergeCell ref="A9:H9"/>
    <mergeCell ref="A12:H12"/>
    <mergeCell ref="A15:H15"/>
    <mergeCell ref="A10:H10"/>
    <mergeCell ref="A13:H13"/>
    <mergeCell ref="A11:H11"/>
    <mergeCell ref="A14:H14"/>
    <mergeCell ref="A1:H1"/>
    <mergeCell ref="A17:H1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54"/>
  <sheetViews>
    <sheetView showGridLines="0" workbookViewId="0">
      <selection activeCell="A1" sqref="A1"/>
    </sheetView>
  </sheetViews>
  <sheetFormatPr baseColWidth="8" defaultRowHeight="15"/>
  <cols>
    <col width="12" customWidth="1" min="1" max="1"/>
    <col width="9" customWidth="1" min="2" max="2"/>
    <col width="28" customWidth="1" min="3" max="3"/>
    <col width="28" customWidth="1" min="4" max="4"/>
    <col width="28" customWidth="1" min="5" max="5"/>
    <col width="14" customWidth="1" min="6" max="6"/>
    <col width="12" customWidth="1" min="7" max="7"/>
    <col width="12" customWidth="1" min="8" max="8"/>
    <col width="24" customWidth="1" min="9" max="9"/>
    <col width="30" customWidth="1" min="10" max="10"/>
    <col width="11" customWidth="1" min="11" max="11"/>
    <col width="11" customWidth="1" min="12" max="12"/>
    <col width="16" customWidth="1" min="13" max="13"/>
    <col width="16" customWidth="1" min="14" max="14"/>
    <col width="21" customWidth="1" min="15" max="15"/>
    <col width="14" customWidth="1" min="16" max="16"/>
    <col width="19" customWidth="1" min="17" max="17"/>
    <col width="28" customWidth="1" min="18" max="18"/>
    <col width="58" customWidth="1" min="19" max="19"/>
    <col width="15" customWidth="1" min="20" max="20"/>
    <col width="20" customWidth="1" min="21" max="21"/>
    <col width="42" customWidth="1" min="22" max="22"/>
    <col width="48" customWidth="1" min="23" max="23"/>
    <col width="13" customWidth="1" min="24" max="24"/>
  </cols>
  <sheetData>
    <row r="1">
      <c r="A1" s="45" t="inlineStr">
        <is>
          <t>marker_id</t>
        </is>
      </c>
      <c r="B1" s="45" t="inlineStr">
        <is>
          <t>task_no</t>
        </is>
      </c>
      <c r="C1" s="45" t="inlineStr">
        <is>
          <t>dataset_id</t>
        </is>
      </c>
      <c r="D1" s="45" t="inlineStr">
        <is>
          <t>paper_id</t>
        </is>
      </c>
      <c r="E1" s="45" t="inlineStr">
        <is>
          <t>document_id</t>
        </is>
      </c>
      <c r="F1" s="45" t="inlineStr">
        <is>
          <t>document_role</t>
        </is>
      </c>
      <c r="G1" s="45" t="inlineStr">
        <is>
          <t>ct_id</t>
        </is>
      </c>
      <c r="H1" s="45" t="inlineStr">
        <is>
          <t>subtype_id</t>
        </is>
      </c>
      <c r="I1" s="45" t="inlineStr">
        <is>
          <t>cell_type</t>
        </is>
      </c>
      <c r="J1" s="45" t="inlineStr">
        <is>
          <t>subtype</t>
        </is>
      </c>
      <c r="K1" s="45" t="inlineStr">
        <is>
          <t>species</t>
        </is>
      </c>
      <c r="L1" s="45" t="inlineStr">
        <is>
          <t>is_pns_cell</t>
        </is>
      </c>
      <c r="M1" s="45" t="inlineStr">
        <is>
          <t>gene_symbol</t>
        </is>
      </c>
      <c r="N1" s="45" t="inlineStr">
        <is>
          <t>original_symbol</t>
        </is>
      </c>
      <c r="O1" s="45" t="inlineStr">
        <is>
          <t>evidence_type</t>
        </is>
      </c>
      <c r="P1" s="45" t="inlineStr">
        <is>
          <t>marker_polarity</t>
        </is>
      </c>
      <c r="Q1" s="45" t="inlineStr">
        <is>
          <t>candidate_class</t>
        </is>
      </c>
      <c r="R1" s="45" t="inlineStr">
        <is>
          <t>source_locator</t>
        </is>
      </c>
      <c r="S1" s="45" t="inlineStr">
        <is>
          <t>source_context</t>
        </is>
      </c>
      <c r="T1" s="45" t="inlineStr">
        <is>
          <t>review_status</t>
        </is>
      </c>
      <c r="U1" s="45" t="inlineStr">
        <is>
          <t>review_method</t>
        </is>
      </c>
      <c r="V1" s="45" t="inlineStr">
        <is>
          <t>notes</t>
        </is>
      </c>
      <c r="W1" s="45" t="inlineStr">
        <is>
          <t>source_file</t>
        </is>
      </c>
      <c r="X1" s="45" t="inlineStr">
        <is>
          <t>imported_at</t>
        </is>
      </c>
    </row>
    <row r="2" ht="60" customHeight="1">
      <c r="A2" s="46" t="inlineStr">
        <is>
          <t>M00001</t>
        </is>
      </c>
      <c r="B2" s="46" t="n">
        <v>3</v>
      </c>
      <c r="C2" s="46" t="inlineStr">
        <is>
          <t>CELLxGENE:d973ea15-3722-4bc8-a0e8-1d956d26e203</t>
        </is>
      </c>
      <c r="D2" s="46" t="inlineStr">
        <is>
          <t>DOI_10.7554_elife.71752</t>
        </is>
      </c>
      <c r="E2" s="46" t="inlineStr">
        <is>
          <t>DOI_10.7554_elife.71752</t>
        </is>
      </c>
      <c r="F2" s="46" t="inlineStr">
        <is>
          <t>primary</t>
        </is>
      </c>
      <c r="G2" s="46" t="n"/>
      <c r="H2" s="46" t="n"/>
      <c r="I2" s="47" t="inlineStr">
        <is>
          <t>H3</t>
        </is>
      </c>
      <c r="J2" s="47" t="inlineStr">
        <is>
          <t>putative peptidergic/Aδ nociceptor</t>
        </is>
      </c>
      <c r="K2" s="47" t="inlineStr">
        <is>
          <t>human</t>
        </is>
      </c>
      <c r="L2" s="47" t="inlineStr">
        <is>
          <t>true</t>
        </is>
      </c>
      <c r="M2" s="47" t="inlineStr">
        <is>
          <t>NEFH</t>
        </is>
      </c>
      <c r="N2" s="47" t="inlineStr">
        <is>
          <t>NEFH</t>
        </is>
      </c>
      <c r="O2" s="47" t="inlineStr">
        <is>
          <t>author_declared</t>
        </is>
      </c>
      <c r="P2" s="47" t="inlineStr">
        <is>
          <t>positive</t>
        </is>
      </c>
      <c r="Q2" s="47" t="inlineStr">
        <is>
          <t>formal_candidate</t>
        </is>
      </c>
      <c r="R2" s="47" t="inlineStr">
        <is>
          <t>Results p.4; Figure 1C</t>
        </is>
      </c>
      <c r="S2" s="47" t="inlineStr">
        <is>
          <t>this gene showed graded expression in our data and marks several classes of cells just as in mice; some of these (including H3 and H6) also express peptidergic markers and SCN10A</t>
        </is>
      </c>
      <c r="T2" s="47" t="inlineStr">
        <is>
          <t>approved</t>
        </is>
      </c>
      <c r="U2" s="47" t="inlineStr">
        <is>
          <t>quick_consistency</t>
        </is>
      </c>
      <c r="V2" s="47" t="inlineStr">
        <is>
          <t>快速一致性复核：论文映射正确，PNS=true，物种与任务一致，细胞类型—基因—证据定位大致一致；未做逐句完整复核</t>
        </is>
      </c>
      <c r="W2" s="47" t="inlineStr">
        <is>
          <t>scripts/extract_markers/markers_output_v2/DOI_10.7554_elife.71752_review.csv</t>
        </is>
      </c>
      <c r="X2" s="54" t="n">
        <v>46248</v>
      </c>
    </row>
    <row r="3" ht="60" customHeight="1">
      <c r="A3" s="46" t="inlineStr">
        <is>
          <t>M00002</t>
        </is>
      </c>
      <c r="B3" s="46" t="n">
        <v>3</v>
      </c>
      <c r="C3" s="46" t="inlineStr">
        <is>
          <t>CELLxGENE:d973ea15-3722-4bc8-a0e8-1d956d26e203</t>
        </is>
      </c>
      <c r="D3" s="46" t="inlineStr">
        <is>
          <t>DOI_10.7554_elife.71752</t>
        </is>
      </c>
      <c r="E3" s="46" t="inlineStr">
        <is>
          <t>DOI_10.7554_elife.71752</t>
        </is>
      </c>
      <c r="F3" s="46" t="inlineStr">
        <is>
          <t>primary</t>
        </is>
      </c>
      <c r="G3" s="46" t="n"/>
      <c r="H3" s="46" t="n"/>
      <c r="I3" s="47" t="inlineStr">
        <is>
          <t>H6</t>
        </is>
      </c>
      <c r="J3" s="47" t="inlineStr">
        <is>
          <t>putative peptidergic/Aδ nociceptor</t>
        </is>
      </c>
      <c r="K3" s="47" t="inlineStr">
        <is>
          <t>human</t>
        </is>
      </c>
      <c r="L3" s="47" t="inlineStr">
        <is>
          <t>true</t>
        </is>
      </c>
      <c r="M3" s="47" t="inlineStr">
        <is>
          <t>NEFH</t>
        </is>
      </c>
      <c r="N3" s="47" t="inlineStr">
        <is>
          <t>NEFH</t>
        </is>
      </c>
      <c r="O3" s="47" t="inlineStr">
        <is>
          <t>author_declared</t>
        </is>
      </c>
      <c r="P3" s="47" t="inlineStr">
        <is>
          <t>positive</t>
        </is>
      </c>
      <c r="Q3" s="47" t="inlineStr">
        <is>
          <t>formal_candidate</t>
        </is>
      </c>
      <c r="R3" s="47" t="inlineStr">
        <is>
          <t>Results p.4; Figure 1C</t>
        </is>
      </c>
      <c r="S3" s="47" t="inlineStr">
        <is>
          <t>this gene showed graded expression in our data and marks several classes of cells just as in mice; some of these (including H3 and H6) also express peptidergic markers and SCN10A</t>
        </is>
      </c>
      <c r="T3" s="47" t="inlineStr">
        <is>
          <t>approved</t>
        </is>
      </c>
      <c r="U3" s="47" t="inlineStr">
        <is>
          <t>quick_consistency</t>
        </is>
      </c>
      <c r="V3" s="47" t="inlineStr">
        <is>
          <t>快速一致性复核：论文映射正确，PNS=true，物种与任务一致，细胞类型—基因—证据定位大致一致；未做逐句完整复核</t>
        </is>
      </c>
      <c r="W3" s="47" t="inlineStr">
        <is>
          <t>scripts/extract_markers/markers_output_v2/DOI_10.7554_elife.71752_review.csv</t>
        </is>
      </c>
      <c r="X3" s="54" t="n">
        <v>46248</v>
      </c>
    </row>
    <row r="4" ht="60" customHeight="1">
      <c r="A4" s="46" t="inlineStr">
        <is>
          <t>M00003</t>
        </is>
      </c>
      <c r="B4" s="46" t="n">
        <v>3</v>
      </c>
      <c r="C4" s="46" t="inlineStr">
        <is>
          <t>CELLxGENE:d973ea15-3722-4bc8-a0e8-1d956d26e203</t>
        </is>
      </c>
      <c r="D4" s="46" t="inlineStr">
        <is>
          <t>DOI_10.7554_elife.71752</t>
        </is>
      </c>
      <c r="E4" s="46" t="inlineStr">
        <is>
          <t>DOI_10.7554_elife.71752</t>
        </is>
      </c>
      <c r="F4" s="46" t="inlineStr">
        <is>
          <t>primary</t>
        </is>
      </c>
      <c r="G4" s="46" t="n"/>
      <c r="H4" s="46" t="n"/>
      <c r="I4" s="47" t="inlineStr">
        <is>
          <t>H10</t>
        </is>
      </c>
      <c r="J4" s="47" t="inlineStr">
        <is>
          <t>nonpeptidergic nociceptor / candidate pruriceptor</t>
        </is>
      </c>
      <c r="K4" s="47" t="inlineStr">
        <is>
          <t>human</t>
        </is>
      </c>
      <c r="L4" s="47" t="inlineStr">
        <is>
          <t>true</t>
        </is>
      </c>
      <c r="M4" s="47" t="inlineStr">
        <is>
          <t>OSMR</t>
        </is>
      </c>
      <c r="N4" s="47" t="inlineStr">
        <is>
          <t>OSMR</t>
        </is>
      </c>
      <c r="O4" s="47" t="inlineStr">
        <is>
          <t>annotation_marker</t>
        </is>
      </c>
      <c r="P4" s="47" t="inlineStr">
        <is>
          <t>positive</t>
        </is>
      </c>
      <c r="Q4" s="47" t="inlineStr">
        <is>
          <t>formal_candidate</t>
        </is>
      </c>
      <c r="R4" s="47" t="inlineStr">
        <is>
          <t>Results p.6; Figure 5A</t>
        </is>
      </c>
      <c r="S4" s="47" t="inlineStr">
        <is>
          <t>H10 and H11 classes of neurons, identified by their expression of OSMR</t>
        </is>
      </c>
      <c r="T4" s="47" t="inlineStr">
        <is>
          <t>approved</t>
        </is>
      </c>
      <c r="U4" s="47" t="inlineStr">
        <is>
          <t>quick_consistency</t>
        </is>
      </c>
      <c r="V4" s="47" t="inlineStr">
        <is>
          <t>快速一致性复核：论文映射正确，PNS=true，物种与任务一致，细胞类型—基因—证据定位大致一致；未做逐句完整复核</t>
        </is>
      </c>
      <c r="W4" s="47" t="inlineStr">
        <is>
          <t>scripts/extract_markers/markers_output_v2/DOI_10.7554_elife.71752_review.csv</t>
        </is>
      </c>
      <c r="X4" s="54" t="n">
        <v>46248</v>
      </c>
    </row>
    <row r="5" ht="60" customHeight="1">
      <c r="A5" s="46" t="inlineStr">
        <is>
          <t>M00004</t>
        </is>
      </c>
      <c r="B5" s="46" t="n">
        <v>3</v>
      </c>
      <c r="C5" s="46" t="inlineStr">
        <is>
          <t>CELLxGENE:d973ea15-3722-4bc8-a0e8-1d956d26e203</t>
        </is>
      </c>
      <c r="D5" s="46" t="inlineStr">
        <is>
          <t>DOI_10.7554_elife.71752</t>
        </is>
      </c>
      <c r="E5" s="46" t="inlineStr">
        <is>
          <t>DOI_10.7554_elife.71752</t>
        </is>
      </c>
      <c r="F5" s="46" t="inlineStr">
        <is>
          <t>primary</t>
        </is>
      </c>
      <c r="G5" s="46" t="n"/>
      <c r="H5" s="46" t="n"/>
      <c r="I5" s="47" t="inlineStr">
        <is>
          <t>H11</t>
        </is>
      </c>
      <c r="J5" s="47" t="inlineStr">
        <is>
          <t>nonpeptidergic nociceptor / candidate pruriceptor</t>
        </is>
      </c>
      <c r="K5" s="47" t="inlineStr">
        <is>
          <t>human</t>
        </is>
      </c>
      <c r="L5" s="47" t="inlineStr">
        <is>
          <t>true</t>
        </is>
      </c>
      <c r="M5" s="47" t="inlineStr">
        <is>
          <t>OSMR</t>
        </is>
      </c>
      <c r="N5" s="47" t="inlineStr">
        <is>
          <t>OSMR</t>
        </is>
      </c>
      <c r="O5" s="47" t="inlineStr">
        <is>
          <t>annotation_marker</t>
        </is>
      </c>
      <c r="P5" s="47" t="inlineStr">
        <is>
          <t>positive</t>
        </is>
      </c>
      <c r="Q5" s="47" t="inlineStr">
        <is>
          <t>formal_candidate</t>
        </is>
      </c>
      <c r="R5" s="47" t="inlineStr">
        <is>
          <t>Results p.6; Figure 5A</t>
        </is>
      </c>
      <c r="S5" s="47" t="inlineStr">
        <is>
          <t>H10 and H11 classes of neurons, identified by their expression of OSMR</t>
        </is>
      </c>
      <c r="T5" s="47" t="inlineStr">
        <is>
          <t>approved</t>
        </is>
      </c>
      <c r="U5" s="47" t="inlineStr">
        <is>
          <t>quick_consistency</t>
        </is>
      </c>
      <c r="V5" s="47" t="inlineStr">
        <is>
          <t>快速一致性复核：论文映射正确，PNS=true，物种与任务一致，细胞类型—基因—证据定位大致一致；未做逐句完整复核</t>
        </is>
      </c>
      <c r="W5" s="47" t="inlineStr">
        <is>
          <t>scripts/extract_markers/markers_output_v2/DOI_10.7554_elife.71752_review.csv</t>
        </is>
      </c>
      <c r="X5" s="54" t="n">
        <v>46248</v>
      </c>
    </row>
    <row r="6" ht="60" customHeight="1">
      <c r="A6" s="46" t="inlineStr">
        <is>
          <t>M00005</t>
        </is>
      </c>
      <c r="B6" s="46" t="n">
        <v>3</v>
      </c>
      <c r="C6" s="46" t="inlineStr">
        <is>
          <t>CELLxGENE:d973ea15-3722-4bc8-a0e8-1d956d26e203</t>
        </is>
      </c>
      <c r="D6" s="46" t="inlineStr">
        <is>
          <t>DOI_10.7554_elife.71752</t>
        </is>
      </c>
      <c r="E6" s="46" t="inlineStr">
        <is>
          <t>DOI_10.7554_elife.71752</t>
        </is>
      </c>
      <c r="F6" s="46" t="inlineStr">
        <is>
          <t>primary</t>
        </is>
      </c>
      <c r="G6" s="46" t="n"/>
      <c r="H6" s="46" t="n"/>
      <c r="I6" s="47" t="inlineStr">
        <is>
          <t>human DRG neurons</t>
        </is>
      </c>
      <c r="J6" s="47" t="n"/>
      <c r="K6" s="47" t="inlineStr">
        <is>
          <t>human</t>
        </is>
      </c>
      <c r="L6" s="47" t="inlineStr">
        <is>
          <t>true</t>
        </is>
      </c>
      <c r="M6" s="47" t="inlineStr">
        <is>
          <t>NEFH</t>
        </is>
      </c>
      <c r="N6" s="47" t="inlineStr">
        <is>
          <t>NEFH</t>
        </is>
      </c>
      <c r="O6" s="47" t="inlineStr">
        <is>
          <t>annotation_marker</t>
        </is>
      </c>
      <c r="P6" s="47" t="inlineStr">
        <is>
          <t>positive</t>
        </is>
      </c>
      <c r="Q6" s="47" t="inlineStr">
        <is>
          <t>formal_candidate</t>
        </is>
      </c>
      <c r="R6" s="47" t="inlineStr">
        <is>
          <t>Methods: Single nuclear capture, sequencing, and data analysis</t>
        </is>
      </c>
      <c r="S6"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6" s="47" t="inlineStr">
        <is>
          <t>approved</t>
        </is>
      </c>
      <c r="U6" s="47" t="inlineStr">
        <is>
          <t>quick_consistency</t>
        </is>
      </c>
      <c r="V6" s="47" t="inlineStr">
        <is>
          <t>快速一致性复核：论文映射正确，PNS=true，物种与任务一致，细胞类型—基因—证据定位大致一致；未做逐句完整复核</t>
        </is>
      </c>
      <c r="W6" s="47" t="inlineStr">
        <is>
          <t>scripts/extract_markers/markers_output_v2/DOI_10.7554_elife.71752_review.csv</t>
        </is>
      </c>
      <c r="X6" s="54" t="n">
        <v>46248</v>
      </c>
    </row>
    <row r="7" ht="60" customHeight="1">
      <c r="A7" s="46" t="inlineStr">
        <is>
          <t>M00006</t>
        </is>
      </c>
      <c r="B7" s="46" t="n">
        <v>3</v>
      </c>
      <c r="C7" s="46" t="inlineStr">
        <is>
          <t>CELLxGENE:d973ea15-3722-4bc8-a0e8-1d956d26e203</t>
        </is>
      </c>
      <c r="D7" s="46" t="inlineStr">
        <is>
          <t>DOI_10.7554_elife.71752</t>
        </is>
      </c>
      <c r="E7" s="46" t="inlineStr">
        <is>
          <t>DOI_10.7554_elife.71752</t>
        </is>
      </c>
      <c r="F7" s="46" t="inlineStr">
        <is>
          <t>primary</t>
        </is>
      </c>
      <c r="G7" s="46" t="n"/>
      <c r="H7" s="46" t="n"/>
      <c r="I7" s="47" t="inlineStr">
        <is>
          <t>human DRG neurons</t>
        </is>
      </c>
      <c r="J7" s="47" t="n"/>
      <c r="K7" s="47" t="inlineStr">
        <is>
          <t>human</t>
        </is>
      </c>
      <c r="L7" s="47" t="inlineStr">
        <is>
          <t>true</t>
        </is>
      </c>
      <c r="M7" s="47" t="inlineStr">
        <is>
          <t>PIEZO2</t>
        </is>
      </c>
      <c r="N7" s="47" t="inlineStr">
        <is>
          <t>PIEZO2</t>
        </is>
      </c>
      <c r="O7" s="47" t="inlineStr">
        <is>
          <t>annotation_marker</t>
        </is>
      </c>
      <c r="P7" s="47" t="inlineStr">
        <is>
          <t>positive</t>
        </is>
      </c>
      <c r="Q7" s="47" t="inlineStr">
        <is>
          <t>formal_candidate</t>
        </is>
      </c>
      <c r="R7" s="47" t="inlineStr">
        <is>
          <t>Methods: Single nuclear capture, sequencing, and data analysis</t>
        </is>
      </c>
      <c r="S7"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7" s="47" t="inlineStr">
        <is>
          <t>approved</t>
        </is>
      </c>
      <c r="U7" s="47" t="inlineStr">
        <is>
          <t>quick_consistency</t>
        </is>
      </c>
      <c r="V7" s="47" t="inlineStr">
        <is>
          <t>快速一致性复核：论文映射正确，PNS=true，物种与任务一致，细胞类型—基因—证据定位大致一致；未做逐句完整复核</t>
        </is>
      </c>
      <c r="W7" s="47" t="inlineStr">
        <is>
          <t>scripts/extract_markers/markers_output_v2/DOI_10.7554_elife.71752_review.csv</t>
        </is>
      </c>
      <c r="X7" s="54" t="n">
        <v>46248</v>
      </c>
    </row>
    <row r="8" ht="60" customHeight="1">
      <c r="A8" s="46" t="inlineStr">
        <is>
          <t>M00007</t>
        </is>
      </c>
      <c r="B8" s="46" t="n">
        <v>3</v>
      </c>
      <c r="C8" s="46" t="inlineStr">
        <is>
          <t>CELLxGENE:d973ea15-3722-4bc8-a0e8-1d956d26e203</t>
        </is>
      </c>
      <c r="D8" s="46" t="inlineStr">
        <is>
          <t>DOI_10.7554_elife.71752</t>
        </is>
      </c>
      <c r="E8" s="46" t="inlineStr">
        <is>
          <t>DOI_10.7554_elife.71752</t>
        </is>
      </c>
      <c r="F8" s="46" t="inlineStr">
        <is>
          <t>primary</t>
        </is>
      </c>
      <c r="G8" s="46" t="n"/>
      <c r="H8" s="46" t="n"/>
      <c r="I8" s="47" t="inlineStr">
        <is>
          <t>human DRG neurons</t>
        </is>
      </c>
      <c r="J8" s="47" t="n"/>
      <c r="K8" s="47" t="inlineStr">
        <is>
          <t>human</t>
        </is>
      </c>
      <c r="L8" s="47" t="inlineStr">
        <is>
          <t>true</t>
        </is>
      </c>
      <c r="M8" s="47" t="inlineStr">
        <is>
          <t>SCN10A</t>
        </is>
      </c>
      <c r="N8" s="47" t="inlineStr">
        <is>
          <t>SCN10A</t>
        </is>
      </c>
      <c r="O8" s="47" t="inlineStr">
        <is>
          <t>annotation_marker</t>
        </is>
      </c>
      <c r="P8" s="47" t="inlineStr">
        <is>
          <t>positive</t>
        </is>
      </c>
      <c r="Q8" s="47" t="inlineStr">
        <is>
          <t>formal_candidate</t>
        </is>
      </c>
      <c r="R8" s="47" t="inlineStr">
        <is>
          <t>Methods: Single nuclear capture, sequencing, and data analysis</t>
        </is>
      </c>
      <c r="S8"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8" s="47" t="inlineStr">
        <is>
          <t>approved</t>
        </is>
      </c>
      <c r="U8" s="47" t="inlineStr">
        <is>
          <t>quick_consistency</t>
        </is>
      </c>
      <c r="V8" s="47" t="inlineStr">
        <is>
          <t>快速一致性复核：论文映射正确，PNS=true，物种与任务一致，细胞类型—基因—证据定位大致一致；未做逐句完整复核</t>
        </is>
      </c>
      <c r="W8" s="47" t="inlineStr">
        <is>
          <t>scripts/extract_markers/markers_output_v2/DOI_10.7554_elife.71752_review.csv</t>
        </is>
      </c>
      <c r="X8" s="54" t="n">
        <v>46248</v>
      </c>
    </row>
    <row r="9" ht="60" customHeight="1">
      <c r="A9" s="46" t="inlineStr">
        <is>
          <t>M00008</t>
        </is>
      </c>
      <c r="B9" s="46" t="n">
        <v>3</v>
      </c>
      <c r="C9" s="46" t="inlineStr">
        <is>
          <t>CELLxGENE:d973ea15-3722-4bc8-a0e8-1d956d26e203</t>
        </is>
      </c>
      <c r="D9" s="46" t="inlineStr">
        <is>
          <t>DOI_10.7554_elife.71752</t>
        </is>
      </c>
      <c r="E9" s="46" t="inlineStr">
        <is>
          <t>DOI_10.7554_elife.71752</t>
        </is>
      </c>
      <c r="F9" s="46" t="inlineStr">
        <is>
          <t>primary</t>
        </is>
      </c>
      <c r="G9" s="46" t="n"/>
      <c r="H9" s="46" t="n"/>
      <c r="I9" s="47" t="inlineStr">
        <is>
          <t>human DRG neurons</t>
        </is>
      </c>
      <c r="J9" s="47" t="n"/>
      <c r="K9" s="47" t="inlineStr">
        <is>
          <t>human</t>
        </is>
      </c>
      <c r="L9" s="47" t="inlineStr">
        <is>
          <t>true</t>
        </is>
      </c>
      <c r="M9" s="47" t="inlineStr">
        <is>
          <t>SCN9A</t>
        </is>
      </c>
      <c r="N9" s="47" t="inlineStr">
        <is>
          <t>SCN9A</t>
        </is>
      </c>
      <c r="O9" s="47" t="inlineStr">
        <is>
          <t>annotation_marker</t>
        </is>
      </c>
      <c r="P9" s="47" t="inlineStr">
        <is>
          <t>positive</t>
        </is>
      </c>
      <c r="Q9" s="47" t="inlineStr">
        <is>
          <t>formal_candidate</t>
        </is>
      </c>
      <c r="R9" s="47" t="inlineStr">
        <is>
          <t>Methods: Single nuclear capture, sequencing, and data analysis</t>
        </is>
      </c>
      <c r="S9"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9" s="47" t="inlineStr">
        <is>
          <t>approved</t>
        </is>
      </c>
      <c r="U9" s="47" t="inlineStr">
        <is>
          <t>quick_consistency</t>
        </is>
      </c>
      <c r="V9" s="47" t="inlineStr">
        <is>
          <t>快速一致性复核：论文映射正确，PNS=true，物种与任务一致，细胞类型—基因—证据定位大致一致；未做逐句完整复核</t>
        </is>
      </c>
      <c r="W9" s="47" t="inlineStr">
        <is>
          <t>scripts/extract_markers/markers_output_v2/DOI_10.7554_elife.71752_review.csv</t>
        </is>
      </c>
      <c r="X9" s="54" t="n">
        <v>46248</v>
      </c>
    </row>
    <row r="10" ht="60" customHeight="1">
      <c r="A10" s="46" t="inlineStr">
        <is>
          <t>M00009</t>
        </is>
      </c>
      <c r="B10" s="46" t="n">
        <v>3</v>
      </c>
      <c r="C10" s="46" t="inlineStr">
        <is>
          <t>CELLxGENE:d973ea15-3722-4bc8-a0e8-1d956d26e203</t>
        </is>
      </c>
      <c r="D10" s="46" t="inlineStr">
        <is>
          <t>DOI_10.7554_elife.71752</t>
        </is>
      </c>
      <c r="E10" s="46" t="inlineStr">
        <is>
          <t>DOI_10.7554_elife.71752</t>
        </is>
      </c>
      <c r="F10" s="46" t="inlineStr">
        <is>
          <t>primary</t>
        </is>
      </c>
      <c r="G10" s="46" t="n"/>
      <c r="H10" s="46" t="n"/>
      <c r="I10" s="47" t="inlineStr">
        <is>
          <t>human DRG neurons</t>
        </is>
      </c>
      <c r="J10" s="47" t="n"/>
      <c r="K10" s="47" t="inlineStr">
        <is>
          <t>human</t>
        </is>
      </c>
      <c r="L10" s="47" t="inlineStr">
        <is>
          <t>true</t>
        </is>
      </c>
      <c r="M10" s="47" t="inlineStr">
        <is>
          <t>SNAP25</t>
        </is>
      </c>
      <c r="N10" s="47" t="inlineStr">
        <is>
          <t>SNAP25</t>
        </is>
      </c>
      <c r="O10" s="47" t="inlineStr">
        <is>
          <t>annotation_marker</t>
        </is>
      </c>
      <c r="P10" s="47" t="inlineStr">
        <is>
          <t>positive</t>
        </is>
      </c>
      <c r="Q10" s="47" t="inlineStr">
        <is>
          <t>formal_candidate</t>
        </is>
      </c>
      <c r="R10" s="47" t="inlineStr">
        <is>
          <t>Methods: Single nuclear capture, sequencing, and data analysis</t>
        </is>
      </c>
      <c r="S10"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10" s="47" t="inlineStr">
        <is>
          <t>approved</t>
        </is>
      </c>
      <c r="U10" s="47" t="inlineStr">
        <is>
          <t>quick_consistency</t>
        </is>
      </c>
      <c r="V10" s="47" t="inlineStr">
        <is>
          <t>快速一致性复核：论文映射正确，PNS=true，物种与任务一致，细胞类型—基因—证据定位大致一致；未做逐句完整复核</t>
        </is>
      </c>
      <c r="W10" s="47" t="inlineStr">
        <is>
          <t>scripts/extract_markers/markers_output_v2/DOI_10.7554_elife.71752_review.csv</t>
        </is>
      </c>
      <c r="X10" s="54" t="n">
        <v>46248</v>
      </c>
    </row>
    <row r="11" ht="60" customHeight="1">
      <c r="A11" s="46" t="inlineStr">
        <is>
          <t>M00010</t>
        </is>
      </c>
      <c r="B11" s="46" t="n">
        <v>3</v>
      </c>
      <c r="C11" s="46" t="inlineStr">
        <is>
          <t>CELLxGENE:d973ea15-3722-4bc8-a0e8-1d956d26e203</t>
        </is>
      </c>
      <c r="D11" s="46" t="inlineStr">
        <is>
          <t>DOI_10.7554_elife.71752</t>
        </is>
      </c>
      <c r="E11" s="46" t="inlineStr">
        <is>
          <t>DOI_10.7554_elife.71752</t>
        </is>
      </c>
      <c r="F11" s="46" t="inlineStr">
        <is>
          <t>primary</t>
        </is>
      </c>
      <c r="G11" s="46" t="n"/>
      <c r="H11" s="46" t="n"/>
      <c r="I11" s="47" t="inlineStr">
        <is>
          <t>H11</t>
        </is>
      </c>
      <c r="J11" s="47" t="inlineStr">
        <is>
          <t>nonpeptidergic nociceptor / candidate pruriceptor</t>
        </is>
      </c>
      <c r="K11" s="47" t="inlineStr">
        <is>
          <t>human</t>
        </is>
      </c>
      <c r="L11" s="47" t="inlineStr">
        <is>
          <t>true</t>
        </is>
      </c>
      <c r="M11" s="47" t="inlineStr">
        <is>
          <t>JAK1</t>
        </is>
      </c>
      <c r="N11" s="47" t="inlineStr">
        <is>
          <t>JAK1</t>
        </is>
      </c>
      <c r="O11" s="47" t="inlineStr">
        <is>
          <t>figure_labeled</t>
        </is>
      </c>
      <c r="P11" s="47" t="inlineStr">
        <is>
          <t>positive</t>
        </is>
      </c>
      <c r="Q11" s="47" t="inlineStr">
        <is>
          <t>formal_candidate</t>
        </is>
      </c>
      <c r="R11" s="47" t="inlineStr">
        <is>
          <t>Results p.6; Figure 5B</t>
        </is>
      </c>
      <c r="S11" s="47" t="inlineStr">
        <is>
          <t>Janus kinase 1 (JAK1) ... and the neuropeptide SST are particularly strongly expressed in H11 cells; both these genes are prominent markers of NP3 pruriceptors in mouse</t>
        </is>
      </c>
      <c r="T11" s="47" t="inlineStr">
        <is>
          <t>approved</t>
        </is>
      </c>
      <c r="U11" s="47" t="inlineStr">
        <is>
          <t>quick_consistency</t>
        </is>
      </c>
      <c r="V11" s="47" t="inlineStr">
        <is>
          <t>快速一致性复核：论文映射正确，PNS=true，物种与任务一致，细胞类型—基因—证据定位大致一致；未做逐句完整复核</t>
        </is>
      </c>
      <c r="W11" s="47" t="inlineStr">
        <is>
          <t>scripts/extract_markers/markers_output_v2/DOI_10.7554_elife.71752_review.csv</t>
        </is>
      </c>
      <c r="X11" s="54" t="n">
        <v>46248</v>
      </c>
    </row>
    <row r="12">
      <c r="A12" t="inlineStr">
        <is>
          <t>M00011</t>
        </is>
      </c>
      <c r="B12" t="n">
        <v>5</v>
      </c>
      <c r="C12" t="inlineStr">
        <is>
          <t>CELLxGENE:093d3bfe-6f0f-4ac0-a7a1-829f94d0a49f</t>
        </is>
      </c>
      <c r="D12" t="inlineStr">
        <is>
          <t>DOI_10.1038_s41588-022-01243-4</t>
        </is>
      </c>
      <c r="E12" t="inlineStr">
        <is>
          <t>DOI_10.1038_s41588-022-01243-4</t>
        </is>
      </c>
      <c r="F12" t="inlineStr">
        <is>
          <t>primary</t>
        </is>
      </c>
      <c r="I12" t="inlineStr">
        <is>
          <t>myelinating Schwann cell</t>
        </is>
      </c>
      <c r="K12" t="inlineStr">
        <is>
          <t>human</t>
        </is>
      </c>
      <c r="L12" t="inlineStr">
        <is>
          <t>true</t>
        </is>
      </c>
      <c r="M12" t="inlineStr">
        <is>
          <t>MLIP</t>
        </is>
      </c>
      <c r="N12" t="inlineStr">
        <is>
          <t>MLIP</t>
        </is>
      </c>
      <c r="O12" t="inlineStr">
        <is>
          <t>annotation_marker</t>
        </is>
      </c>
      <c r="P12" t="inlineStr">
        <is>
          <t>positive</t>
        </is>
      </c>
      <c r="Q12" t="inlineStr">
        <is>
          <t>formal_candidate</t>
        </is>
      </c>
      <c r="R12" t="inlineStr">
        <is>
          <t>Extended Data Fig. 5j</t>
        </is>
      </c>
      <c r="S12" t="inlineStr">
        <is>
          <t>RNAscope staining for myelinating (MLIP) and non-myelinating (SCN7A, SOX10) Schwann cell and perineurial (SLC2A1) NAF specific genes in bronchial nerves.</t>
        </is>
      </c>
      <c r="T12" t="inlineStr">
        <is>
          <t>approved</t>
        </is>
      </c>
      <c r="U12" t="inlineStr">
        <is>
          <t>quick_consistency</t>
        </is>
      </c>
      <c r="V12" t="inlineStr">
        <is>
          <t>快速一致性复核：作者直接给出PNS细胞标记/注释；抽样核对原文，未做逐句全量复核</t>
        </is>
      </c>
      <c r="W12" t="inlineStr">
        <is>
          <t>scripts/extract_markers/markers_output/DOI_10.1038_s41588_022_01243_4_review.csv</t>
        </is>
      </c>
      <c r="X12" t="inlineStr">
        <is>
          <t>2026-08-14</t>
        </is>
      </c>
    </row>
    <row r="13">
      <c r="A13" t="inlineStr">
        <is>
          <t>M00012</t>
        </is>
      </c>
      <c r="B13" t="n">
        <v>5</v>
      </c>
      <c r="C13" t="inlineStr">
        <is>
          <t>CELLxGENE:093d3bfe-6f0f-4ac0-a7a1-829f94d0a49f</t>
        </is>
      </c>
      <c r="D13" t="inlineStr">
        <is>
          <t>DOI_10.1038_s41588-022-01243-4</t>
        </is>
      </c>
      <c r="E13" t="inlineStr">
        <is>
          <t>DOI_10.1038_s41588-022-01243-4</t>
        </is>
      </c>
      <c r="F13" t="inlineStr">
        <is>
          <t>primary</t>
        </is>
      </c>
      <c r="I13" t="inlineStr">
        <is>
          <t>myelinating Schwann cells</t>
        </is>
      </c>
      <c r="K13" t="inlineStr">
        <is>
          <t>human</t>
        </is>
      </c>
      <c r="L13" t="inlineStr">
        <is>
          <t>true</t>
        </is>
      </c>
      <c r="M13" t="inlineStr">
        <is>
          <t>MBP</t>
        </is>
      </c>
      <c r="N13" t="inlineStr">
        <is>
          <t>MBP</t>
        </is>
      </c>
      <c r="O13" t="inlineStr">
        <is>
          <t>annotation_marker</t>
        </is>
      </c>
      <c r="P13" t="inlineStr">
        <is>
          <t>positive</t>
        </is>
      </c>
      <c r="Q13" t="inlineStr">
        <is>
          <t>formal_candidate</t>
        </is>
      </c>
      <c r="R13" t="inlineStr">
        <is>
          <t>Results (Airway peripheral nerves)</t>
        </is>
      </c>
      <c r="S13" t="inlineStr">
        <is>
          <t>myelinating Schwann cells (mSchwann) (NFASC, NCMAP, MBP and PRX)</t>
        </is>
      </c>
      <c r="T13" t="inlineStr">
        <is>
          <t>approved</t>
        </is>
      </c>
      <c r="U13" t="inlineStr">
        <is>
          <t>quick_consistency</t>
        </is>
      </c>
      <c r="V13" t="inlineStr">
        <is>
          <t>快速一致性复核：作者直接给出PNS细胞标记/注释；抽样核对原文，未做逐句全量复核</t>
        </is>
      </c>
      <c r="W13" t="inlineStr">
        <is>
          <t>scripts/extract_markers/markers_output/DOI_10.1038_s41588_022_01243_4_review.csv</t>
        </is>
      </c>
      <c r="X13" t="inlineStr">
        <is>
          <t>2026-08-14</t>
        </is>
      </c>
    </row>
    <row r="14">
      <c r="A14" t="inlineStr">
        <is>
          <t>M00013</t>
        </is>
      </c>
      <c r="B14" t="n">
        <v>5</v>
      </c>
      <c r="C14" t="inlineStr">
        <is>
          <t>CELLxGENE:093d3bfe-6f0f-4ac0-a7a1-829f94d0a49f</t>
        </is>
      </c>
      <c r="D14" t="inlineStr">
        <is>
          <t>DOI_10.1038_s41588-022-01243-4</t>
        </is>
      </c>
      <c r="E14" t="inlineStr">
        <is>
          <t>DOI_10.1038_s41588-022-01243-4</t>
        </is>
      </c>
      <c r="F14" t="inlineStr">
        <is>
          <t>primary</t>
        </is>
      </c>
      <c r="I14" t="inlineStr">
        <is>
          <t>myelinating Schwann cells</t>
        </is>
      </c>
      <c r="K14" t="inlineStr">
        <is>
          <t>human</t>
        </is>
      </c>
      <c r="L14" t="inlineStr">
        <is>
          <t>true</t>
        </is>
      </c>
      <c r="M14" t="inlineStr">
        <is>
          <t>NCMAP</t>
        </is>
      </c>
      <c r="N14" t="inlineStr">
        <is>
          <t>NCMAP</t>
        </is>
      </c>
      <c r="O14" t="inlineStr">
        <is>
          <t>annotation_marker</t>
        </is>
      </c>
      <c r="P14" t="inlineStr">
        <is>
          <t>positive</t>
        </is>
      </c>
      <c r="Q14" t="inlineStr">
        <is>
          <t>formal_candidate</t>
        </is>
      </c>
      <c r="R14" t="inlineStr">
        <is>
          <t>Results (Airway peripheral nerves)</t>
        </is>
      </c>
      <c r="S14" t="inlineStr">
        <is>
          <t>myelinating Schwann cells (mSchwann) (NFASC, NCMAP, MBP and PRX)</t>
        </is>
      </c>
      <c r="T14" t="inlineStr">
        <is>
          <t>approved</t>
        </is>
      </c>
      <c r="U14" t="inlineStr">
        <is>
          <t>quick_consistency</t>
        </is>
      </c>
      <c r="V14" t="inlineStr">
        <is>
          <t>快速一致性复核：作者直接给出PNS细胞标记/注释；抽样核对原文，未做逐句全量复核</t>
        </is>
      </c>
      <c r="W14" t="inlineStr">
        <is>
          <t>scripts/extract_markers/markers_output/DOI_10.1038_s41588_022_01243_4_review.csv</t>
        </is>
      </c>
      <c r="X14" t="inlineStr">
        <is>
          <t>2026-08-14</t>
        </is>
      </c>
    </row>
    <row r="15">
      <c r="A15" t="inlineStr">
        <is>
          <t>M00014</t>
        </is>
      </c>
      <c r="B15" t="n">
        <v>5</v>
      </c>
      <c r="C15" t="inlineStr">
        <is>
          <t>CELLxGENE:093d3bfe-6f0f-4ac0-a7a1-829f94d0a49f</t>
        </is>
      </c>
      <c r="D15" t="inlineStr">
        <is>
          <t>DOI_10.1038_s41588-022-01243-4</t>
        </is>
      </c>
      <c r="E15" t="inlineStr">
        <is>
          <t>DOI_10.1038_s41588-022-01243-4</t>
        </is>
      </c>
      <c r="F15" t="inlineStr">
        <is>
          <t>primary</t>
        </is>
      </c>
      <c r="I15" t="inlineStr">
        <is>
          <t>myelinating Schwann cells</t>
        </is>
      </c>
      <c r="K15" t="inlineStr">
        <is>
          <t>human</t>
        </is>
      </c>
      <c r="L15" t="inlineStr">
        <is>
          <t>true</t>
        </is>
      </c>
      <c r="M15" t="inlineStr">
        <is>
          <t>NFASC</t>
        </is>
      </c>
      <c r="N15" t="inlineStr">
        <is>
          <t>NFASC</t>
        </is>
      </c>
      <c r="O15" t="inlineStr">
        <is>
          <t>annotation_marker</t>
        </is>
      </c>
      <c r="P15" t="inlineStr">
        <is>
          <t>positive</t>
        </is>
      </c>
      <c r="Q15" t="inlineStr">
        <is>
          <t>formal_candidate</t>
        </is>
      </c>
      <c r="R15" t="inlineStr">
        <is>
          <t>Results (Airway peripheral nerves)</t>
        </is>
      </c>
      <c r="S15" t="inlineStr">
        <is>
          <t>myelinating Schwann cells (mSchwann) (NFASC, NCMAP, MBP and PRX)</t>
        </is>
      </c>
      <c r="T15" t="inlineStr">
        <is>
          <t>approved</t>
        </is>
      </c>
      <c r="U15" t="inlineStr">
        <is>
          <t>quick_consistency</t>
        </is>
      </c>
      <c r="V15" t="inlineStr">
        <is>
          <t>快速一致性复核：作者直接给出PNS细胞标记/注释；抽样核对原文，未做逐句全量复核</t>
        </is>
      </c>
      <c r="W15" t="inlineStr">
        <is>
          <t>scripts/extract_markers/markers_output/DOI_10.1038_s41588_022_01243_4_review.csv</t>
        </is>
      </c>
      <c r="X15" t="inlineStr">
        <is>
          <t>2026-08-14</t>
        </is>
      </c>
    </row>
    <row r="16">
      <c r="A16" t="inlineStr">
        <is>
          <t>M00015</t>
        </is>
      </c>
      <c r="B16" t="n">
        <v>5</v>
      </c>
      <c r="C16" t="inlineStr">
        <is>
          <t>CELLxGENE:093d3bfe-6f0f-4ac0-a7a1-829f94d0a49f</t>
        </is>
      </c>
      <c r="D16" t="inlineStr">
        <is>
          <t>DOI_10.1038_s41588-022-01243-4</t>
        </is>
      </c>
      <c r="E16" t="inlineStr">
        <is>
          <t>DOI_10.1038_s41588-022-01243-4</t>
        </is>
      </c>
      <c r="F16" t="inlineStr">
        <is>
          <t>primary</t>
        </is>
      </c>
      <c r="I16" t="inlineStr">
        <is>
          <t>myelinating Schwann cells</t>
        </is>
      </c>
      <c r="K16" t="inlineStr">
        <is>
          <t>human</t>
        </is>
      </c>
      <c r="L16" t="inlineStr">
        <is>
          <t>true</t>
        </is>
      </c>
      <c r="M16" t="inlineStr">
        <is>
          <t>PRX</t>
        </is>
      </c>
      <c r="N16" t="inlineStr">
        <is>
          <t>PRX</t>
        </is>
      </c>
      <c r="O16" t="inlineStr">
        <is>
          <t>annotation_marker</t>
        </is>
      </c>
      <c r="P16" t="inlineStr">
        <is>
          <t>positive</t>
        </is>
      </c>
      <c r="Q16" t="inlineStr">
        <is>
          <t>formal_candidate</t>
        </is>
      </c>
      <c r="R16" t="inlineStr">
        <is>
          <t>Results (Airway peripheral nerves)</t>
        </is>
      </c>
      <c r="S16" t="inlineStr">
        <is>
          <t>myelinating Schwann cells (mSchwann) (NFASC, NCMAP, MBP and PRX)</t>
        </is>
      </c>
      <c r="T16" t="inlineStr">
        <is>
          <t>approved</t>
        </is>
      </c>
      <c r="U16" t="inlineStr">
        <is>
          <t>quick_consistency</t>
        </is>
      </c>
      <c r="V16" t="inlineStr">
        <is>
          <t>快速一致性复核：作者直接给出PNS细胞标记/注释；抽样核对原文，未做逐句全量复核</t>
        </is>
      </c>
      <c r="W16" t="inlineStr">
        <is>
          <t>scripts/extract_markers/markers_output/DOI_10.1038_s41588_022_01243_4_review.csv</t>
        </is>
      </c>
      <c r="X16" t="inlineStr">
        <is>
          <t>2026-08-14</t>
        </is>
      </c>
    </row>
    <row r="17">
      <c r="A17" t="inlineStr">
        <is>
          <t>M00016</t>
        </is>
      </c>
      <c r="B17" t="n">
        <v>5</v>
      </c>
      <c r="C17" t="inlineStr">
        <is>
          <t>CELLxGENE:093d3bfe-6f0f-4ac0-a7a1-829f94d0a49f</t>
        </is>
      </c>
      <c r="D17" t="inlineStr">
        <is>
          <t>DOI_10.1038_s41588-022-01243-4</t>
        </is>
      </c>
      <c r="E17" t="inlineStr">
        <is>
          <t>DOI_10.1038_s41588-022-01243-4</t>
        </is>
      </c>
      <c r="F17" t="inlineStr">
        <is>
          <t>primary</t>
        </is>
      </c>
      <c r="I17" t="inlineStr">
        <is>
          <t>non-myelinating Schwann cell</t>
        </is>
      </c>
      <c r="K17" t="inlineStr">
        <is>
          <t>human</t>
        </is>
      </c>
      <c r="L17" t="inlineStr">
        <is>
          <t>true</t>
        </is>
      </c>
      <c r="M17" t="inlineStr">
        <is>
          <t>GRIK2</t>
        </is>
      </c>
      <c r="N17" t="inlineStr">
        <is>
          <t>GRIK2</t>
        </is>
      </c>
      <c r="O17" t="inlineStr">
        <is>
          <t>figure_labeled</t>
        </is>
      </c>
      <c r="P17" t="inlineStr">
        <is>
          <t>positive</t>
        </is>
      </c>
      <c r="Q17" t="inlineStr">
        <is>
          <t>formal_candidate</t>
        </is>
      </c>
      <c r="R17" t="inlineStr">
        <is>
          <t>Extended Data Fig. 5g</t>
        </is>
      </c>
      <c r="S17" t="inlineStr">
        <is>
          <t>HPA antibody staining of (g) non-myelinating Schwann cell markers (CADM, GRIK2, NCAM1, ITGB4 and L1CAM)</t>
        </is>
      </c>
      <c r="T17" t="inlineStr">
        <is>
          <t>approved</t>
        </is>
      </c>
      <c r="U17" t="inlineStr">
        <is>
          <t>quick_consistency</t>
        </is>
      </c>
      <c r="V17" t="inlineStr">
        <is>
          <t>快速一致性复核：作者直接给出PNS细胞标记/注释；抽样核对原文，未做逐句全量复核</t>
        </is>
      </c>
      <c r="W17" t="inlineStr">
        <is>
          <t>scripts/extract_markers/markers_output/DOI_10.1038_s41588_022_01243_4_review.csv</t>
        </is>
      </c>
      <c r="X17" t="inlineStr">
        <is>
          <t>2026-08-14</t>
        </is>
      </c>
    </row>
    <row r="18">
      <c r="A18" t="inlineStr">
        <is>
          <t>M00017</t>
        </is>
      </c>
      <c r="B18" t="n">
        <v>5</v>
      </c>
      <c r="C18" t="inlineStr">
        <is>
          <t>CELLxGENE:093d3bfe-6f0f-4ac0-a7a1-829f94d0a49f</t>
        </is>
      </c>
      <c r="D18" t="inlineStr">
        <is>
          <t>DOI_10.1038_s41588-022-01243-4</t>
        </is>
      </c>
      <c r="E18" t="inlineStr">
        <is>
          <t>DOI_10.1038_s41588-022-01243-4</t>
        </is>
      </c>
      <c r="F18" t="inlineStr">
        <is>
          <t>primary</t>
        </is>
      </c>
      <c r="I18" t="inlineStr">
        <is>
          <t>non-myelinating Schwann cell</t>
        </is>
      </c>
      <c r="K18" t="inlineStr">
        <is>
          <t>human</t>
        </is>
      </c>
      <c r="L18" t="inlineStr">
        <is>
          <t>true</t>
        </is>
      </c>
      <c r="M18" t="inlineStr">
        <is>
          <t>ITGB4</t>
        </is>
      </c>
      <c r="N18" t="inlineStr">
        <is>
          <t>ITGB4</t>
        </is>
      </c>
      <c r="O18" t="inlineStr">
        <is>
          <t>figure_labeled</t>
        </is>
      </c>
      <c r="P18" t="inlineStr">
        <is>
          <t>positive</t>
        </is>
      </c>
      <c r="Q18" t="inlineStr">
        <is>
          <t>formal_candidate</t>
        </is>
      </c>
      <c r="R18" t="inlineStr">
        <is>
          <t>Extended Data Fig. 5g</t>
        </is>
      </c>
      <c r="S18" t="inlineStr">
        <is>
          <t>HPA antibody staining of (g) non-myelinating Schwann cell markers (CADM, GRIK2, NCAM1, ITGB4 and L1CAM)</t>
        </is>
      </c>
      <c r="T18" t="inlineStr">
        <is>
          <t>approved</t>
        </is>
      </c>
      <c r="U18" t="inlineStr">
        <is>
          <t>quick_consistency</t>
        </is>
      </c>
      <c r="V18" t="inlineStr">
        <is>
          <t>快速一致性复核：作者直接给出PNS细胞标记/注释；抽样核对原文，未做逐句全量复核</t>
        </is>
      </c>
      <c r="W18" t="inlineStr">
        <is>
          <t>scripts/extract_markers/markers_output/DOI_10.1038_s41588_022_01243_4_review.csv</t>
        </is>
      </c>
      <c r="X18" t="inlineStr">
        <is>
          <t>2026-08-14</t>
        </is>
      </c>
    </row>
    <row r="19">
      <c r="A19" t="inlineStr">
        <is>
          <t>M00018</t>
        </is>
      </c>
      <c r="B19" t="n">
        <v>5</v>
      </c>
      <c r="C19" t="inlineStr">
        <is>
          <t>CELLxGENE:093d3bfe-6f0f-4ac0-a7a1-829f94d0a49f</t>
        </is>
      </c>
      <c r="D19" t="inlineStr">
        <is>
          <t>DOI_10.1038_s41588-022-01243-4</t>
        </is>
      </c>
      <c r="E19" t="inlineStr">
        <is>
          <t>DOI_10.1038_s41588-022-01243-4</t>
        </is>
      </c>
      <c r="F19" t="inlineStr">
        <is>
          <t>primary</t>
        </is>
      </c>
      <c r="I19" t="inlineStr">
        <is>
          <t>non-myelinating Schwann cell</t>
        </is>
      </c>
      <c r="K19" t="inlineStr">
        <is>
          <t>human</t>
        </is>
      </c>
      <c r="L19" t="inlineStr">
        <is>
          <t>true</t>
        </is>
      </c>
      <c r="M19" t="inlineStr">
        <is>
          <t>L1CAM</t>
        </is>
      </c>
      <c r="N19" t="inlineStr">
        <is>
          <t>L1CAM</t>
        </is>
      </c>
      <c r="O19" t="inlineStr">
        <is>
          <t>figure_labeled</t>
        </is>
      </c>
      <c r="P19" t="inlineStr">
        <is>
          <t>positive</t>
        </is>
      </c>
      <c r="Q19" t="inlineStr">
        <is>
          <t>formal_candidate</t>
        </is>
      </c>
      <c r="R19" t="inlineStr">
        <is>
          <t>Extended Data Fig. 5g</t>
        </is>
      </c>
      <c r="S19" t="inlineStr">
        <is>
          <t>HPA antibody staining of (g) non-myelinating Schwann cell markers (CADM, GRIK2, NCAM1, ITGB4 and L1CAM)</t>
        </is>
      </c>
      <c r="T19" t="inlineStr">
        <is>
          <t>approved</t>
        </is>
      </c>
      <c r="U19" t="inlineStr">
        <is>
          <t>quick_consistency</t>
        </is>
      </c>
      <c r="V19" t="inlineStr">
        <is>
          <t>快速一致性复核：作者直接给出PNS细胞标记/注释；抽样核对原文，未做逐句全量复核</t>
        </is>
      </c>
      <c r="W19" t="inlineStr">
        <is>
          <t>scripts/extract_markers/markers_output/DOI_10.1038_s41588_022_01243_4_review.csv</t>
        </is>
      </c>
      <c r="X19" t="inlineStr">
        <is>
          <t>2026-08-14</t>
        </is>
      </c>
    </row>
    <row r="20">
      <c r="A20" t="inlineStr">
        <is>
          <t>M00019</t>
        </is>
      </c>
      <c r="B20" t="n">
        <v>5</v>
      </c>
      <c r="C20" t="inlineStr">
        <is>
          <t>CELLxGENE:093d3bfe-6f0f-4ac0-a7a1-829f94d0a49f</t>
        </is>
      </c>
      <c r="D20" t="inlineStr">
        <is>
          <t>DOI_10.1038_s41588-022-01243-4</t>
        </is>
      </c>
      <c r="E20" t="inlineStr">
        <is>
          <t>DOI_10.1038_s41588-022-01243-4</t>
        </is>
      </c>
      <c r="F20" t="inlineStr">
        <is>
          <t>primary</t>
        </is>
      </c>
      <c r="I20" t="inlineStr">
        <is>
          <t>non-myelinating Schwann cell</t>
        </is>
      </c>
      <c r="K20" t="inlineStr">
        <is>
          <t>human</t>
        </is>
      </c>
      <c r="L20" t="inlineStr">
        <is>
          <t>true</t>
        </is>
      </c>
      <c r="M20" t="inlineStr">
        <is>
          <t>NCAM1</t>
        </is>
      </c>
      <c r="N20" t="inlineStr">
        <is>
          <t>NCAM1</t>
        </is>
      </c>
      <c r="O20" t="inlineStr">
        <is>
          <t>figure_labeled</t>
        </is>
      </c>
      <c r="P20" t="inlineStr">
        <is>
          <t>positive</t>
        </is>
      </c>
      <c r="Q20" t="inlineStr">
        <is>
          <t>formal_candidate</t>
        </is>
      </c>
      <c r="R20" t="inlineStr">
        <is>
          <t>Extended Data Fig. 5g</t>
        </is>
      </c>
      <c r="S20" t="inlineStr">
        <is>
          <t>HPA antibody staining of (g) non-myelinating Schwann cell markers (CADM, GRIK2, NCAM1, ITGB4 and L1CAM)</t>
        </is>
      </c>
      <c r="T20" t="inlineStr">
        <is>
          <t>approved</t>
        </is>
      </c>
      <c r="U20" t="inlineStr">
        <is>
          <t>quick_consistency</t>
        </is>
      </c>
      <c r="V20" t="inlineStr">
        <is>
          <t>快速一致性复核：作者直接给出PNS细胞标记/注释；抽样核对原文，未做逐句全量复核</t>
        </is>
      </c>
      <c r="W20" t="inlineStr">
        <is>
          <t>scripts/extract_markers/markers_output/DOI_10.1038_s41588_022_01243_4_review.csv</t>
        </is>
      </c>
      <c r="X20" t="inlineStr">
        <is>
          <t>2026-08-14</t>
        </is>
      </c>
    </row>
    <row r="21">
      <c r="A21" t="inlineStr">
        <is>
          <t>M00020</t>
        </is>
      </c>
      <c r="B21" t="n">
        <v>5</v>
      </c>
      <c r="C21" t="inlineStr">
        <is>
          <t>CELLxGENE:093d3bfe-6f0f-4ac0-a7a1-829f94d0a49f</t>
        </is>
      </c>
      <c r="D21" t="inlineStr">
        <is>
          <t>DOI_10.1038_s41588-022-01243-4</t>
        </is>
      </c>
      <c r="E21" t="inlineStr">
        <is>
          <t>DOI_10.1038_s41588-022-01243-4</t>
        </is>
      </c>
      <c r="F21" t="inlineStr">
        <is>
          <t>primary</t>
        </is>
      </c>
      <c r="I21" t="inlineStr">
        <is>
          <t>non-myelinating Schwann cell</t>
        </is>
      </c>
      <c r="K21" t="inlineStr">
        <is>
          <t>human</t>
        </is>
      </c>
      <c r="L21" t="inlineStr">
        <is>
          <t>true</t>
        </is>
      </c>
      <c r="M21" t="inlineStr">
        <is>
          <t>SCN7A</t>
        </is>
      </c>
      <c r="N21" t="inlineStr">
        <is>
          <t>SCN7A</t>
        </is>
      </c>
      <c r="O21" t="inlineStr">
        <is>
          <t>annotation_marker</t>
        </is>
      </c>
      <c r="P21" t="inlineStr">
        <is>
          <t>positive</t>
        </is>
      </c>
      <c r="Q21" t="inlineStr">
        <is>
          <t>formal_candidate</t>
        </is>
      </c>
      <c r="R21" t="inlineStr">
        <is>
          <t>Extended Data Fig. 5j</t>
        </is>
      </c>
      <c r="S21" t="inlineStr">
        <is>
          <t>RNAscope staining for myelinating (MLIP) and non-myelinating (SCN7A, SOX10) Schwann cell and perineurial (SLC2A1) NAF specific genes in bronchial nerves.</t>
        </is>
      </c>
      <c r="T21" t="inlineStr">
        <is>
          <t>approved</t>
        </is>
      </c>
      <c r="U21" t="inlineStr">
        <is>
          <t>quick_consistency</t>
        </is>
      </c>
      <c r="V21" t="inlineStr">
        <is>
          <t>快速一致性复核：作者直接给出PNS细胞标记/注释；抽样核对原文，未做逐句全量复核</t>
        </is>
      </c>
      <c r="W21" t="inlineStr">
        <is>
          <t>scripts/extract_markers/markers_output/DOI_10.1038_s41588_022_01243_4_review.csv</t>
        </is>
      </c>
      <c r="X21" t="inlineStr">
        <is>
          <t>2026-08-14</t>
        </is>
      </c>
    </row>
    <row r="22">
      <c r="A22" t="inlineStr">
        <is>
          <t>M00021</t>
        </is>
      </c>
      <c r="B22" t="n">
        <v>5</v>
      </c>
      <c r="C22" t="inlineStr">
        <is>
          <t>CELLxGENE:093d3bfe-6f0f-4ac0-a7a1-829f94d0a49f</t>
        </is>
      </c>
      <c r="D22" t="inlineStr">
        <is>
          <t>DOI_10.1038_s41588-022-01243-4</t>
        </is>
      </c>
      <c r="E22" t="inlineStr">
        <is>
          <t>DOI_10.1038_s41588-022-01243-4</t>
        </is>
      </c>
      <c r="F22" t="inlineStr">
        <is>
          <t>primary</t>
        </is>
      </c>
      <c r="I22" t="inlineStr">
        <is>
          <t>non-myelinating Schwann cell</t>
        </is>
      </c>
      <c r="K22" t="inlineStr">
        <is>
          <t>human</t>
        </is>
      </c>
      <c r="L22" t="inlineStr">
        <is>
          <t>true</t>
        </is>
      </c>
      <c r="M22" t="inlineStr">
        <is>
          <t>SOX10</t>
        </is>
      </c>
      <c r="N22" t="inlineStr">
        <is>
          <t>SOX10</t>
        </is>
      </c>
      <c r="O22" t="inlineStr">
        <is>
          <t>annotation_marker</t>
        </is>
      </c>
      <c r="P22" t="inlineStr">
        <is>
          <t>positive</t>
        </is>
      </c>
      <c r="Q22" t="inlineStr">
        <is>
          <t>formal_candidate</t>
        </is>
      </c>
      <c r="R22" t="inlineStr">
        <is>
          <t>Extended Data Fig. 5j</t>
        </is>
      </c>
      <c r="S22" t="inlineStr">
        <is>
          <t>RNAscope staining for myelinating (MLIP) and non-myelinating (SCN7A, SOX10) Schwann cell and perineurial (SLC2A1) NAF specific genes in bronchial nerves.</t>
        </is>
      </c>
      <c r="T22" t="inlineStr">
        <is>
          <t>approved</t>
        </is>
      </c>
      <c r="U22" t="inlineStr">
        <is>
          <t>quick_consistency</t>
        </is>
      </c>
      <c r="V22" t="inlineStr">
        <is>
          <t>快速一致性复核：作者直接给出PNS细胞标记/注释；抽样核对原文，未做逐句全量复核</t>
        </is>
      </c>
      <c r="W22" t="inlineStr">
        <is>
          <t>scripts/extract_markers/markers_output/DOI_10.1038_s41588_022_01243_4_review.csv</t>
        </is>
      </c>
      <c r="X22" t="inlineStr">
        <is>
          <t>2026-08-14</t>
        </is>
      </c>
    </row>
    <row r="23">
      <c r="A23" t="inlineStr">
        <is>
          <t>M00022</t>
        </is>
      </c>
      <c r="B23" t="n">
        <v>5</v>
      </c>
      <c r="C23" t="inlineStr">
        <is>
          <t>CELLxGENE:093d3bfe-6f0f-4ac0-a7a1-829f94d0a49f</t>
        </is>
      </c>
      <c r="D23" t="inlineStr">
        <is>
          <t>DOI_10.1038_s41588-022-01243-4</t>
        </is>
      </c>
      <c r="E23" t="inlineStr">
        <is>
          <t>DOI_10.1038_s41588-022-01243-4</t>
        </is>
      </c>
      <c r="F23" t="inlineStr">
        <is>
          <t>primary</t>
        </is>
      </c>
      <c r="I23" t="inlineStr">
        <is>
          <t>nonmyelinating Schwann cells</t>
        </is>
      </c>
      <c r="K23" t="inlineStr">
        <is>
          <t>human</t>
        </is>
      </c>
      <c r="L23" t="inlineStr">
        <is>
          <t>true</t>
        </is>
      </c>
      <c r="M23" t="inlineStr">
        <is>
          <t>CHD2</t>
        </is>
      </c>
      <c r="N23" t="inlineStr">
        <is>
          <t>CHD2</t>
        </is>
      </c>
      <c r="O23" t="inlineStr">
        <is>
          <t>annotation_marker</t>
        </is>
      </c>
      <c r="P23" t="inlineStr">
        <is>
          <t>positive</t>
        </is>
      </c>
      <c r="Q23" t="inlineStr">
        <is>
          <t>formal_candidate</t>
        </is>
      </c>
      <c r="R23" t="inlineStr">
        <is>
          <t>Results (Airway peripheral nerves)</t>
        </is>
      </c>
      <c r="S23" t="inlineStr">
        <is>
          <t>nonmyelinating Schwann cells (nmSchwann) (NGFR, SCN7A, CHD2, L1CAM and NCAM1)</t>
        </is>
      </c>
      <c r="T23" t="inlineStr">
        <is>
          <t>approved</t>
        </is>
      </c>
      <c r="U23" t="inlineStr">
        <is>
          <t>quick_consistency</t>
        </is>
      </c>
      <c r="V23" t="inlineStr">
        <is>
          <t>快速一致性复核：作者直接给出PNS细胞标记/注释；抽样核对原文，未做逐句全量复核</t>
        </is>
      </c>
      <c r="W23" t="inlineStr">
        <is>
          <t>scripts/extract_markers/markers_output/DOI_10.1038_s41588_022_01243_4_review.csv</t>
        </is>
      </c>
      <c r="X23" t="inlineStr">
        <is>
          <t>2026-08-14</t>
        </is>
      </c>
    </row>
    <row r="24">
      <c r="A24" t="inlineStr">
        <is>
          <t>M00023</t>
        </is>
      </c>
      <c r="B24" t="n">
        <v>5</v>
      </c>
      <c r="C24" t="inlineStr">
        <is>
          <t>CELLxGENE:093d3bfe-6f0f-4ac0-a7a1-829f94d0a49f</t>
        </is>
      </c>
      <c r="D24" t="inlineStr">
        <is>
          <t>DOI_10.1038_s41588-022-01243-4</t>
        </is>
      </c>
      <c r="E24" t="inlineStr">
        <is>
          <t>DOI_10.1038_s41588-022-01243-4</t>
        </is>
      </c>
      <c r="F24" t="inlineStr">
        <is>
          <t>primary</t>
        </is>
      </c>
      <c r="I24" t="inlineStr">
        <is>
          <t>nonmyelinating Schwann cells</t>
        </is>
      </c>
      <c r="K24" t="inlineStr">
        <is>
          <t>human</t>
        </is>
      </c>
      <c r="L24" t="inlineStr">
        <is>
          <t>true</t>
        </is>
      </c>
      <c r="M24" t="inlineStr">
        <is>
          <t>L1CAM</t>
        </is>
      </c>
      <c r="N24" t="inlineStr">
        <is>
          <t>L1CAM</t>
        </is>
      </c>
      <c r="O24" t="inlineStr">
        <is>
          <t>annotation_marker</t>
        </is>
      </c>
      <c r="P24" t="inlineStr">
        <is>
          <t>positive</t>
        </is>
      </c>
      <c r="Q24" t="inlineStr">
        <is>
          <t>formal_candidate</t>
        </is>
      </c>
      <c r="R24" t="inlineStr">
        <is>
          <t>Results (Airway peripheral nerves)</t>
        </is>
      </c>
      <c r="S24" t="inlineStr">
        <is>
          <t>nonmyelinating Schwann cells (nmSchwann) (NGFR, SCN7A, CHD2, L1CAM and NCAM1)</t>
        </is>
      </c>
      <c r="T24" t="inlineStr">
        <is>
          <t>approved</t>
        </is>
      </c>
      <c r="U24" t="inlineStr">
        <is>
          <t>quick_consistency</t>
        </is>
      </c>
      <c r="V24" t="inlineStr">
        <is>
          <t>快速一致性复核：作者直接给出PNS细胞标记/注释；抽样核对原文，未做逐句全量复核</t>
        </is>
      </c>
      <c r="W24" t="inlineStr">
        <is>
          <t>scripts/extract_markers/markers_output/DOI_10.1038_s41588_022_01243_4_review.csv</t>
        </is>
      </c>
      <c r="X24" t="inlineStr">
        <is>
          <t>2026-08-14</t>
        </is>
      </c>
    </row>
    <row r="25">
      <c r="A25" t="inlineStr">
        <is>
          <t>M00024</t>
        </is>
      </c>
      <c r="B25" t="n">
        <v>5</v>
      </c>
      <c r="C25" t="inlineStr">
        <is>
          <t>CELLxGENE:093d3bfe-6f0f-4ac0-a7a1-829f94d0a49f</t>
        </is>
      </c>
      <c r="D25" t="inlineStr">
        <is>
          <t>DOI_10.1038_s41588-022-01243-4</t>
        </is>
      </c>
      <c r="E25" t="inlineStr">
        <is>
          <t>DOI_10.1038_s41588-022-01243-4</t>
        </is>
      </c>
      <c r="F25" t="inlineStr">
        <is>
          <t>primary</t>
        </is>
      </c>
      <c r="I25" t="inlineStr">
        <is>
          <t>nonmyelinating Schwann cells</t>
        </is>
      </c>
      <c r="K25" t="inlineStr">
        <is>
          <t>human</t>
        </is>
      </c>
      <c r="L25" t="inlineStr">
        <is>
          <t>true</t>
        </is>
      </c>
      <c r="M25" t="inlineStr">
        <is>
          <t>NCAM1</t>
        </is>
      </c>
      <c r="N25" t="inlineStr">
        <is>
          <t>NCAM1</t>
        </is>
      </c>
      <c r="O25" t="inlineStr">
        <is>
          <t>annotation_marker</t>
        </is>
      </c>
      <c r="P25" t="inlineStr">
        <is>
          <t>positive</t>
        </is>
      </c>
      <c r="Q25" t="inlineStr">
        <is>
          <t>formal_candidate</t>
        </is>
      </c>
      <c r="R25" t="inlineStr">
        <is>
          <t>Results (Airway peripheral nerves)</t>
        </is>
      </c>
      <c r="S25" t="inlineStr">
        <is>
          <t>nonmyelinating Schwann cells (nmSchwann) (NGFR, SCN7A, CHD2, L1CAM and NCAM1)</t>
        </is>
      </c>
      <c r="T25" t="inlineStr">
        <is>
          <t>approved</t>
        </is>
      </c>
      <c r="U25" t="inlineStr">
        <is>
          <t>quick_consistency</t>
        </is>
      </c>
      <c r="V25" t="inlineStr">
        <is>
          <t>快速一致性复核：作者直接给出PNS细胞标记/注释；抽样核对原文，未做逐句全量复核</t>
        </is>
      </c>
      <c r="W25" t="inlineStr">
        <is>
          <t>scripts/extract_markers/markers_output/DOI_10.1038_s41588_022_01243_4_review.csv</t>
        </is>
      </c>
      <c r="X25" t="inlineStr">
        <is>
          <t>2026-08-14</t>
        </is>
      </c>
    </row>
    <row r="26">
      <c r="A26" t="inlineStr">
        <is>
          <t>M00025</t>
        </is>
      </c>
      <c r="B26" t="n">
        <v>5</v>
      </c>
      <c r="C26" t="inlineStr">
        <is>
          <t>CELLxGENE:093d3bfe-6f0f-4ac0-a7a1-829f94d0a49f</t>
        </is>
      </c>
      <c r="D26" t="inlineStr">
        <is>
          <t>DOI_10.1038_s41588-022-01243-4</t>
        </is>
      </c>
      <c r="E26" t="inlineStr">
        <is>
          <t>DOI_10.1038_s41588-022-01243-4</t>
        </is>
      </c>
      <c r="F26" t="inlineStr">
        <is>
          <t>primary</t>
        </is>
      </c>
      <c r="I26" t="inlineStr">
        <is>
          <t>nonmyelinating Schwann cells</t>
        </is>
      </c>
      <c r="K26" t="inlineStr">
        <is>
          <t>human</t>
        </is>
      </c>
      <c r="L26" t="inlineStr">
        <is>
          <t>true</t>
        </is>
      </c>
      <c r="M26" t="inlineStr">
        <is>
          <t>NGFR</t>
        </is>
      </c>
      <c r="N26" t="inlineStr">
        <is>
          <t>NGFR</t>
        </is>
      </c>
      <c r="O26" t="inlineStr">
        <is>
          <t>annotation_marker</t>
        </is>
      </c>
      <c r="P26" t="inlineStr">
        <is>
          <t>positive</t>
        </is>
      </c>
      <c r="Q26" t="inlineStr">
        <is>
          <t>formal_candidate</t>
        </is>
      </c>
      <c r="R26" t="inlineStr">
        <is>
          <t>Results (Airway peripheral nerves)</t>
        </is>
      </c>
      <c r="S26" t="inlineStr">
        <is>
          <t>nonmyelinating Schwann cells (nmSchwann) (NGFR, SCN7A, CHD2, L1CAM and NCAM1)</t>
        </is>
      </c>
      <c r="T26" t="inlineStr">
        <is>
          <t>approved</t>
        </is>
      </c>
      <c r="U26" t="inlineStr">
        <is>
          <t>quick_consistency</t>
        </is>
      </c>
      <c r="V26" t="inlineStr">
        <is>
          <t>快速一致性复核：作者直接给出PNS细胞标记/注释；抽样核对原文，未做逐句全量复核</t>
        </is>
      </c>
      <c r="W26" t="inlineStr">
        <is>
          <t>scripts/extract_markers/markers_output/DOI_10.1038_s41588_022_01243_4_review.csv</t>
        </is>
      </c>
      <c r="X26" t="inlineStr">
        <is>
          <t>2026-08-14</t>
        </is>
      </c>
    </row>
    <row r="27">
      <c r="A27" t="inlineStr">
        <is>
          <t>M00026</t>
        </is>
      </c>
      <c r="B27" t="n">
        <v>5</v>
      </c>
      <c r="C27" t="inlineStr">
        <is>
          <t>CELLxGENE:093d3bfe-6f0f-4ac0-a7a1-829f94d0a49f</t>
        </is>
      </c>
      <c r="D27" t="inlineStr">
        <is>
          <t>DOI_10.1038_s41588-022-01243-4</t>
        </is>
      </c>
      <c r="E27" t="inlineStr">
        <is>
          <t>DOI_10.1038_s41588-022-01243-4</t>
        </is>
      </c>
      <c r="F27" t="inlineStr">
        <is>
          <t>primary</t>
        </is>
      </c>
      <c r="I27" t="inlineStr">
        <is>
          <t>nonmyelinating Schwann cells</t>
        </is>
      </c>
      <c r="K27" t="inlineStr">
        <is>
          <t>human</t>
        </is>
      </c>
      <c r="L27" t="inlineStr">
        <is>
          <t>true</t>
        </is>
      </c>
      <c r="M27" t="inlineStr">
        <is>
          <t>SCN7A</t>
        </is>
      </c>
      <c r="N27" t="inlineStr">
        <is>
          <t>SCN7A</t>
        </is>
      </c>
      <c r="O27" t="inlineStr">
        <is>
          <t>annotation_marker</t>
        </is>
      </c>
      <c r="P27" t="inlineStr">
        <is>
          <t>positive</t>
        </is>
      </c>
      <c r="Q27" t="inlineStr">
        <is>
          <t>formal_candidate</t>
        </is>
      </c>
      <c r="R27" t="inlineStr">
        <is>
          <t>Results (Airway peripheral nerves)</t>
        </is>
      </c>
      <c r="S27" t="inlineStr">
        <is>
          <t>nonmyelinating Schwann cells (nmSchwann) (NGFR, SCN7A, CHD2, L1CAM and NCAM1)</t>
        </is>
      </c>
      <c r="T27" t="inlineStr">
        <is>
          <t>approved</t>
        </is>
      </c>
      <c r="U27" t="inlineStr">
        <is>
          <t>quick_consistency</t>
        </is>
      </c>
      <c r="V27" t="inlineStr">
        <is>
          <t>快速一致性复核：作者直接给出PNS细胞标记/注释；抽样核对原文，未做逐句全量复核</t>
        </is>
      </c>
      <c r="W27" t="inlineStr">
        <is>
          <t>scripts/extract_markers/markers_output/DOI_10.1038_s41588_022_01243_4_review.csv</t>
        </is>
      </c>
      <c r="X27" t="inlineStr">
        <is>
          <t>2026-08-14</t>
        </is>
      </c>
    </row>
    <row r="28">
      <c r="A28" t="inlineStr">
        <is>
          <t>M00027</t>
        </is>
      </c>
      <c r="B28" t="n">
        <v>6</v>
      </c>
      <c r="C28" t="inlineStr">
        <is>
          <t>CELLxGENE:b61a921b-7fa3-4b42-b455-aaaf32447920</t>
        </is>
      </c>
      <c r="D28" t="inlineStr">
        <is>
          <t>DOI_10.1164_rccm.202207-1384oc</t>
        </is>
      </c>
      <c r="E28" t="inlineStr">
        <is>
          <t>DOI_10.1164_rccm.202207-1384oc</t>
        </is>
      </c>
      <c r="F28" t="inlineStr">
        <is>
          <t>primary</t>
        </is>
      </c>
      <c r="I28" t="inlineStr">
        <is>
          <t>neuroendocrine cell</t>
        </is>
      </c>
      <c r="J28" t="inlineStr">
        <is>
          <t>GHRL+</t>
        </is>
      </c>
      <c r="K28" t="inlineStr">
        <is>
          <t>human</t>
        </is>
      </c>
      <c r="L28" t="inlineStr">
        <is>
          <t>true</t>
        </is>
      </c>
      <c r="M28" t="inlineStr">
        <is>
          <t>GHRL</t>
        </is>
      </c>
      <c r="N28" t="inlineStr">
        <is>
          <t>GHRL</t>
        </is>
      </c>
      <c r="O28" t="inlineStr">
        <is>
          <t>annotation_marker</t>
        </is>
      </c>
      <c r="P28" t="inlineStr">
        <is>
          <t>positive</t>
        </is>
      </c>
      <c r="Q28" t="inlineStr">
        <is>
          <t>formal_candidate</t>
        </is>
      </c>
      <c r="R28" t="inlineStr">
        <is>
          <t>Discussion</t>
        </is>
      </c>
      <c r="S28" t="inlineStr">
        <is>
          <t>We find that GHRL+ NE cells are transcriptionally similar to the NEUROD1+ N subtype of SCLC (Figure 7).</t>
        </is>
      </c>
      <c r="T28" t="inlineStr">
        <is>
          <t>approved</t>
        </is>
      </c>
      <c r="U28" t="inlineStr">
        <is>
          <t>quick_consistency</t>
        </is>
      </c>
      <c r="V28" t="inlineStr">
        <is>
          <t>快速一致性复核：作者直接给出PNS细胞标记/注释；抽样核对原文，未做逐句全量复核</t>
        </is>
      </c>
      <c r="W28" t="inlineStr">
        <is>
          <t>scripts/extract_markers/markers_output/DOI_10.1164_rccm.202207_1384OC_review.csv</t>
        </is>
      </c>
      <c r="X28" t="inlineStr">
        <is>
          <t>2026-08-14</t>
        </is>
      </c>
    </row>
    <row r="29">
      <c r="A29" t="inlineStr">
        <is>
          <t>M00028</t>
        </is>
      </c>
      <c r="B29" t="n">
        <v>14</v>
      </c>
      <c r="C29" t="inlineStr">
        <is>
          <t>CELLxGENE:9f222629-9e39-47d0-b83f-e08d610c7479</t>
        </is>
      </c>
      <c r="D29" t="inlineStr">
        <is>
          <t>DOI_10.1038_s41591-023-02327-2</t>
        </is>
      </c>
      <c r="E29" t="inlineStr">
        <is>
          <t>DOI_10.1038_s41591-023-02327-2</t>
        </is>
      </c>
      <c r="F29" t="inlineStr">
        <is>
          <t>primary</t>
        </is>
      </c>
      <c r="I29" t="inlineStr">
        <is>
          <t>Neuroendocrine</t>
        </is>
      </c>
      <c r="K29" t="inlineStr">
        <is>
          <t>human</t>
        </is>
      </c>
      <c r="L29" t="inlineStr">
        <is>
          <t>true</t>
        </is>
      </c>
      <c r="M29" t="inlineStr">
        <is>
          <t>CALCA</t>
        </is>
      </c>
      <c r="N29" t="inlineStr">
        <is>
          <t>CALCA</t>
        </is>
      </c>
      <c r="O29" t="inlineStr">
        <is>
          <t>figure_labeled</t>
        </is>
      </c>
      <c r="P29" t="inlineStr">
        <is>
          <t>positive</t>
        </is>
      </c>
      <c r="Q29" t="inlineStr">
        <is>
          <t>formal_candidate</t>
        </is>
      </c>
      <c r="R29" t="inlineStr">
        <is>
          <t>Fig. 3f</t>
        </is>
      </c>
      <c r="S29" t="inlineStr">
        <is>
          <t>expression of neuroendocrine marker CALCA</t>
        </is>
      </c>
      <c r="T29" t="inlineStr">
        <is>
          <t>approved</t>
        </is>
      </c>
      <c r="U29" t="inlineStr">
        <is>
          <t>quick_consistency</t>
        </is>
      </c>
      <c r="V29" t="inlineStr">
        <is>
          <t>快速一致性复核：作者直接给出PNS细胞标记/注释；抽样核对原文，未做逐句全量复核</t>
        </is>
      </c>
      <c r="W29" t="inlineStr">
        <is>
          <t>scripts/extract_markers/markers_output/DOI_10.1038_s41591_023_02327_2_review.csv</t>
        </is>
      </c>
      <c r="X29" t="inlineStr">
        <is>
          <t>2026-08-14</t>
        </is>
      </c>
    </row>
    <row r="30">
      <c r="A30" t="inlineStr">
        <is>
          <t>M00029</t>
        </is>
      </c>
      <c r="B30" t="n">
        <v>23</v>
      </c>
      <c r="C30" t="inlineStr">
        <is>
          <t>CELLxGENE:2dd9d7a2-4bee-4c3f-a1f5-89bc3271c4f0</t>
        </is>
      </c>
      <c r="D30" t="inlineStr">
        <is>
          <t>DOI_10.1016_j.isci.2024.111628</t>
        </is>
      </c>
      <c r="E30" t="inlineStr">
        <is>
          <t>DOI_10.1016_j.isci.2024.111628</t>
        </is>
      </c>
      <c r="F30" t="inlineStr">
        <is>
          <t>primary</t>
        </is>
      </c>
      <c r="I30" t="inlineStr">
        <is>
          <t>Schwann cell</t>
        </is>
      </c>
      <c r="K30" t="inlineStr">
        <is>
          <t>human</t>
        </is>
      </c>
      <c r="L30" t="inlineStr">
        <is>
          <t>true</t>
        </is>
      </c>
      <c r="M30" t="inlineStr">
        <is>
          <t>CDH19</t>
        </is>
      </c>
      <c r="N30" t="inlineStr">
        <is>
          <t>CDH19</t>
        </is>
      </c>
      <c r="O30" t="inlineStr">
        <is>
          <t>annotation_marker</t>
        </is>
      </c>
      <c r="P30" t="inlineStr">
        <is>
          <t>positive</t>
        </is>
      </c>
      <c r="Q30" t="inlineStr">
        <is>
          <t>formal_candidate</t>
        </is>
      </c>
      <c r="R30" t="inlineStr">
        <is>
          <t>Results</t>
        </is>
      </c>
      <c r="S30" t="inlineStr">
        <is>
          <t>Lastly, we identified a single Schwann cell cluster (CDH19+/NRXN+/XKR4+).</t>
        </is>
      </c>
      <c r="T30" t="inlineStr">
        <is>
          <t>approved</t>
        </is>
      </c>
      <c r="U30" t="inlineStr">
        <is>
          <t>quick_consistency</t>
        </is>
      </c>
      <c r="V30" t="inlineStr">
        <is>
          <t>快速一致性复核：作者直接给出PNS细胞标记/注释；抽样核对原文，未做逐句全量复核</t>
        </is>
      </c>
      <c r="W30" t="inlineStr">
        <is>
          <t>scripts/extract_markers/markers_output/DOI_10.1016_j.isci.2024.111628_review.csv</t>
        </is>
      </c>
      <c r="X30" t="inlineStr">
        <is>
          <t>2026-08-14</t>
        </is>
      </c>
    </row>
    <row r="31">
      <c r="A31" t="inlineStr">
        <is>
          <t>M00030</t>
        </is>
      </c>
      <c r="B31" t="n">
        <v>23</v>
      </c>
      <c r="C31" t="inlineStr">
        <is>
          <t>CELLxGENE:2dd9d7a2-4bee-4c3f-a1f5-89bc3271c4f0</t>
        </is>
      </c>
      <c r="D31" t="inlineStr">
        <is>
          <t>DOI_10.1016_j.isci.2024.111628</t>
        </is>
      </c>
      <c r="E31" t="inlineStr">
        <is>
          <t>DOI_10.1016_j.isci.2024.111628</t>
        </is>
      </c>
      <c r="F31" t="inlineStr">
        <is>
          <t>primary</t>
        </is>
      </c>
      <c r="I31" t="inlineStr">
        <is>
          <t>Schwann cell</t>
        </is>
      </c>
      <c r="K31" t="inlineStr">
        <is>
          <t>human</t>
        </is>
      </c>
      <c r="L31" t="inlineStr">
        <is>
          <t>true</t>
        </is>
      </c>
      <c r="M31" t="inlineStr">
        <is>
          <t>XKR4</t>
        </is>
      </c>
      <c r="N31" t="inlineStr">
        <is>
          <t>XKR4</t>
        </is>
      </c>
      <c r="O31" t="inlineStr">
        <is>
          <t>annotation_marker</t>
        </is>
      </c>
      <c r="P31" t="inlineStr">
        <is>
          <t>positive</t>
        </is>
      </c>
      <c r="Q31" t="inlineStr">
        <is>
          <t>formal_candidate</t>
        </is>
      </c>
      <c r="R31" t="inlineStr">
        <is>
          <t>Results</t>
        </is>
      </c>
      <c r="S31" t="inlineStr">
        <is>
          <t>Lastly, we identified a single Schwann cell cluster (CDH19+/NRXN+/XKR4+).</t>
        </is>
      </c>
      <c r="T31" t="inlineStr">
        <is>
          <t>approved</t>
        </is>
      </c>
      <c r="U31" t="inlineStr">
        <is>
          <t>quick_consistency</t>
        </is>
      </c>
      <c r="V31" t="inlineStr">
        <is>
          <t>快速一致性复核：作者直接给出PNS细胞标记/注释；抽样核对原文，未做逐句全量复核</t>
        </is>
      </c>
      <c r="W31" t="inlineStr">
        <is>
          <t>scripts/extract_markers/markers_output/DOI_10.1016_j.isci.2024.111628_review.csv</t>
        </is>
      </c>
      <c r="X31" t="inlineStr">
        <is>
          <t>2026-08-14</t>
        </is>
      </c>
    </row>
    <row r="32">
      <c r="A32" t="inlineStr">
        <is>
          <t>M00031</t>
        </is>
      </c>
      <c r="B32" t="n">
        <v>25</v>
      </c>
      <c r="C32" t="inlineStr">
        <is>
          <t>CELLxGENE:c3fe3c1e-5bf8-4678-b74a-79899243ad41</t>
        </is>
      </c>
      <c r="D32" t="inlineStr">
        <is>
          <t>DOI_10.1016_j.celrep.2018.11.086</t>
        </is>
      </c>
      <c r="E32" t="inlineStr">
        <is>
          <t>DOI_10.1016_j.celrep.2018.11.086</t>
        </is>
      </c>
      <c r="F32" t="inlineStr">
        <is>
          <t>primary</t>
        </is>
      </c>
      <c r="I32" t="inlineStr">
        <is>
          <t>neuroendocrine cells</t>
        </is>
      </c>
      <c r="K32" t="inlineStr">
        <is>
          <t>human</t>
        </is>
      </c>
      <c r="L32" t="inlineStr">
        <is>
          <t>true</t>
        </is>
      </c>
      <c r="M32" t="inlineStr">
        <is>
          <t>CHGA</t>
        </is>
      </c>
      <c r="N32" t="inlineStr">
        <is>
          <t>CHGA</t>
        </is>
      </c>
      <c r="O32" t="inlineStr">
        <is>
          <t>author_declared</t>
        </is>
      </c>
      <c r="P32" t="inlineStr">
        <is>
          <t>positive</t>
        </is>
      </c>
      <c r="Q32" t="inlineStr">
        <is>
          <t>formal_candidate</t>
        </is>
      </c>
      <c r="R32" t="inlineStr">
        <is>
          <t>Results p.3534</t>
        </is>
      </c>
      <c r="S32" t="inlineStr">
        <is>
          <t>A marker gene for NE cells that was discovered in our dataset (SCG2) was tested in combination with a known NE cell marker (CHGA)</t>
        </is>
      </c>
      <c r="T32" t="inlineStr">
        <is>
          <t>approved</t>
        </is>
      </c>
      <c r="U32" t="inlineStr">
        <is>
          <t>quick_consistency</t>
        </is>
      </c>
      <c r="V32" t="inlineStr">
        <is>
          <t>快速一致性复核：作者直接给出PNS细胞标记/注释；抽样核对原文，未做逐句全量复核</t>
        </is>
      </c>
      <c r="W32" t="inlineStr">
        <is>
          <t>scripts/extract_markers/markers_output/DOI_10.1016_j.celrep.2018.11.086_review.csv</t>
        </is>
      </c>
      <c r="X32" t="inlineStr">
        <is>
          <t>2026-08-14</t>
        </is>
      </c>
    </row>
    <row r="33">
      <c r="A33" t="inlineStr">
        <is>
          <t>M00032</t>
        </is>
      </c>
      <c r="B33" t="n">
        <v>25</v>
      </c>
      <c r="C33" t="inlineStr">
        <is>
          <t>CELLxGENE:c3fe3c1e-5bf8-4678-b74a-79899243ad41</t>
        </is>
      </c>
      <c r="D33" t="inlineStr">
        <is>
          <t>DOI_10.1016_j.celrep.2018.11.086</t>
        </is>
      </c>
      <c r="E33" t="inlineStr">
        <is>
          <t>DOI_10.1016_j.celrep.2018.11.086</t>
        </is>
      </c>
      <c r="F33" t="inlineStr">
        <is>
          <t>primary</t>
        </is>
      </c>
      <c r="I33" t="inlineStr">
        <is>
          <t>neuroendocrine cells</t>
        </is>
      </c>
      <c r="K33" t="inlineStr">
        <is>
          <t>human</t>
        </is>
      </c>
      <c r="L33" t="inlineStr">
        <is>
          <t>true</t>
        </is>
      </c>
      <c r="M33" t="inlineStr">
        <is>
          <t>SCG2</t>
        </is>
      </c>
      <c r="N33" t="inlineStr">
        <is>
          <t>SCG2</t>
        </is>
      </c>
      <c r="O33" t="inlineStr">
        <is>
          <t>author_declared</t>
        </is>
      </c>
      <c r="P33" t="inlineStr">
        <is>
          <t>positive</t>
        </is>
      </c>
      <c r="Q33" t="inlineStr">
        <is>
          <t>formal_candidate</t>
        </is>
      </c>
      <c r="R33" t="inlineStr">
        <is>
          <t>Results p.3534</t>
        </is>
      </c>
      <c r="S33" t="inlineStr">
        <is>
          <t>A marker gene for NE cells that was discovered in our dataset (SCG2) was tested in combination with a known NE cell marker (CHGA)</t>
        </is>
      </c>
      <c r="T33" t="inlineStr">
        <is>
          <t>approved</t>
        </is>
      </c>
      <c r="U33" t="inlineStr">
        <is>
          <t>quick_consistency</t>
        </is>
      </c>
      <c r="V33" t="inlineStr">
        <is>
          <t>快速一致性复核：作者直接给出PNS细胞标记/注释；抽样核对原文，未做逐句全量复核</t>
        </is>
      </c>
      <c r="W33" t="inlineStr">
        <is>
          <t>scripts/extract_markers/markers_output/DOI_10.1016_j.celrep.2018.11.086_review.csv</t>
        </is>
      </c>
      <c r="X33" t="inlineStr">
        <is>
          <t>2026-08-14</t>
        </is>
      </c>
    </row>
    <row r="34">
      <c r="A34" t="inlineStr">
        <is>
          <t>M00033</t>
        </is>
      </c>
      <c r="B34" t="n">
        <v>26</v>
      </c>
      <c r="C34" t="inlineStr">
        <is>
          <t>CELLxGENE:881e0e6b-a185-45f1-9b56-81606e91e7ff</t>
        </is>
      </c>
      <c r="D34" t="inlineStr">
        <is>
          <t>DOI_10.1101_2024.10.23.619925</t>
        </is>
      </c>
      <c r="E34" t="inlineStr">
        <is>
          <t>DOI_10.1101_2024.10.23.619925</t>
        </is>
      </c>
      <c r="F34" t="inlineStr">
        <is>
          <t>primary</t>
        </is>
      </c>
      <c r="I34" t="inlineStr">
        <is>
          <t>Neuroendocrine</t>
        </is>
      </c>
      <c r="K34" t="inlineStr">
        <is>
          <t>human</t>
        </is>
      </c>
      <c r="L34" t="inlineStr">
        <is>
          <t>true</t>
        </is>
      </c>
      <c r="M34" t="inlineStr">
        <is>
          <t>CALCA</t>
        </is>
      </c>
      <c r="N34" t="inlineStr">
        <is>
          <t>CALCA</t>
        </is>
      </c>
      <c r="O34" t="inlineStr">
        <is>
          <t>annotation_marker</t>
        </is>
      </c>
      <c r="P34" t="inlineStr">
        <is>
          <t>positive</t>
        </is>
      </c>
      <c r="Q34" t="inlineStr">
        <is>
          <t>formal_candidate</t>
        </is>
      </c>
      <c r="R34" t="inlineStr">
        <is>
          <t>Results: Characterisation of the epithelial lineage</t>
        </is>
      </c>
      <c r="S34" t="inlineStr">
        <is>
          <t>The rare NE phenotype (n = 24 cells) was CHGA+CALCA+</t>
        </is>
      </c>
      <c r="T34" t="inlineStr">
        <is>
          <t>approved</t>
        </is>
      </c>
      <c r="U34" t="inlineStr">
        <is>
          <t>quick_consistency</t>
        </is>
      </c>
      <c r="V34" t="inlineStr">
        <is>
          <t>快速一致性复核：作者直接给出PNS细胞标记/注释；抽样核对原文，未做逐句全量复核</t>
        </is>
      </c>
      <c r="W34" t="inlineStr">
        <is>
          <t>scripts/extract_markers/markers_output/DOI_10.1101_2024.10.23.619925_review.csv</t>
        </is>
      </c>
      <c r="X34" t="inlineStr">
        <is>
          <t>2026-08-14</t>
        </is>
      </c>
    </row>
    <row r="35">
      <c r="A35" t="inlineStr">
        <is>
          <t>M00034</t>
        </is>
      </c>
      <c r="B35" t="n">
        <v>26</v>
      </c>
      <c r="C35" t="inlineStr">
        <is>
          <t>CELLxGENE:881e0e6b-a185-45f1-9b56-81606e91e7ff</t>
        </is>
      </c>
      <c r="D35" t="inlineStr">
        <is>
          <t>DOI_10.1101_2024.10.23.619925</t>
        </is>
      </c>
      <c r="E35" t="inlineStr">
        <is>
          <t>DOI_10.1101_2024.10.23.619925</t>
        </is>
      </c>
      <c r="F35" t="inlineStr">
        <is>
          <t>primary</t>
        </is>
      </c>
      <c r="I35" t="inlineStr">
        <is>
          <t>Neuroendocrine</t>
        </is>
      </c>
      <c r="K35" t="inlineStr">
        <is>
          <t>human</t>
        </is>
      </c>
      <c r="L35" t="inlineStr">
        <is>
          <t>true</t>
        </is>
      </c>
      <c r="M35" t="inlineStr">
        <is>
          <t>CHGA</t>
        </is>
      </c>
      <c r="N35" t="inlineStr">
        <is>
          <t>CHGA</t>
        </is>
      </c>
      <c r="O35" t="inlineStr">
        <is>
          <t>annotation_marker</t>
        </is>
      </c>
      <c r="P35" t="inlineStr">
        <is>
          <t>positive</t>
        </is>
      </c>
      <c r="Q35" t="inlineStr">
        <is>
          <t>formal_candidate</t>
        </is>
      </c>
      <c r="R35" t="inlineStr">
        <is>
          <t>Results: Characterisation of the epithelial lineage</t>
        </is>
      </c>
      <c r="S35" t="inlineStr">
        <is>
          <t>The rare NE phenotype (n = 24 cells) was CHGA+CALCA+</t>
        </is>
      </c>
      <c r="T35" t="inlineStr">
        <is>
          <t>approved</t>
        </is>
      </c>
      <c r="U35" t="inlineStr">
        <is>
          <t>quick_consistency</t>
        </is>
      </c>
      <c r="V35" t="inlineStr">
        <is>
          <t>快速一致性复核：作者直接给出PNS细胞标记/注释；抽样核对原文，未做逐句全量复核</t>
        </is>
      </c>
      <c r="W35" t="inlineStr">
        <is>
          <t>scripts/extract_markers/markers_output/DOI_10.1101_2024.10.23.619925_review.csv</t>
        </is>
      </c>
      <c r="X35" t="inlineStr">
        <is>
          <t>2026-08-14</t>
        </is>
      </c>
    </row>
    <row r="36">
      <c r="A36" t="inlineStr">
        <is>
          <t>M00035</t>
        </is>
      </c>
      <c r="B36" t="n">
        <v>27</v>
      </c>
      <c r="C36" t="inlineStr">
        <is>
          <t>CELLxGENE:e51bae9a-c747-4b64-904a-4da7cda218ab</t>
        </is>
      </c>
      <c r="D36" t="inlineStr">
        <is>
          <t>DOI_10.1101_2025.01.17.633590</t>
        </is>
      </c>
      <c r="E36" t="inlineStr">
        <is>
          <t>DOI_10.1101_2025.01.17.633590</t>
        </is>
      </c>
      <c r="F36" t="inlineStr">
        <is>
          <t>primary</t>
        </is>
      </c>
      <c r="I36" t="inlineStr">
        <is>
          <t>Schwann</t>
        </is>
      </c>
      <c r="K36" t="inlineStr">
        <is>
          <t>human</t>
        </is>
      </c>
      <c r="L36" t="inlineStr">
        <is>
          <t>true</t>
        </is>
      </c>
      <c r="M36" t="inlineStr">
        <is>
          <t>NGFR</t>
        </is>
      </c>
      <c r="N36" t="inlineStr">
        <is>
          <t>NGFR</t>
        </is>
      </c>
      <c r="O36" t="inlineStr">
        <is>
          <t>annotation_marker</t>
        </is>
      </c>
      <c r="P36" t="inlineStr">
        <is>
          <t>positive</t>
        </is>
      </c>
      <c r="Q36" t="inlineStr">
        <is>
          <t>formal_candidate</t>
        </is>
      </c>
      <c r="R36" t="inlineStr">
        <is>
          <t>Methods: Cell Annotation</t>
        </is>
      </c>
      <c r="S36"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36" t="inlineStr">
        <is>
          <t>approved</t>
        </is>
      </c>
      <c r="U36" t="inlineStr">
        <is>
          <t>quick_consistency</t>
        </is>
      </c>
      <c r="V36" t="inlineStr">
        <is>
          <t>快速一致性复核：作者直接给出PNS细胞标记/注释；抽样核对原文，未做逐句全量复核</t>
        </is>
      </c>
      <c r="W36" t="inlineStr">
        <is>
          <t>scripts/extract_markers/markers_output/DOI_10.1101_2025.01.17.633590_review.csv</t>
        </is>
      </c>
      <c r="X36" t="inlineStr">
        <is>
          <t>2026-08-14</t>
        </is>
      </c>
    </row>
    <row r="37">
      <c r="A37" t="inlineStr">
        <is>
          <t>M00036</t>
        </is>
      </c>
      <c r="B37" t="n">
        <v>31</v>
      </c>
      <c r="C37" t="inlineStr">
        <is>
          <t>CELLxGENE:afae4675-434d-4e89-b5ce-2854c9dc38a3</t>
        </is>
      </c>
      <c r="D37" t="inlineStr">
        <is>
          <t>DOI_10.1038_s41588-025-02158-6</t>
        </is>
      </c>
      <c r="E37" t="inlineStr">
        <is>
          <t>DOI_10.1038_s41588-025-02158-6</t>
        </is>
      </c>
      <c r="F37" t="inlineStr">
        <is>
          <t>primary</t>
        </is>
      </c>
      <c r="I37" t="inlineStr">
        <is>
          <t>Schwann cells</t>
        </is>
      </c>
      <c r="K37" t="inlineStr">
        <is>
          <t>human</t>
        </is>
      </c>
      <c r="L37" t="inlineStr">
        <is>
          <t>true</t>
        </is>
      </c>
      <c r="M37" t="inlineStr">
        <is>
          <t>CDH19</t>
        </is>
      </c>
      <c r="N37" t="inlineStr">
        <is>
          <t>CDH19</t>
        </is>
      </c>
      <c r="O37" t="inlineStr">
        <is>
          <t>annotation_marker</t>
        </is>
      </c>
      <c r="P37" t="inlineStr">
        <is>
          <t>positive</t>
        </is>
      </c>
      <c r="Q37" t="inlineStr">
        <is>
          <t>formal_candidate</t>
        </is>
      </c>
      <c r="R37" t="inlineStr">
        <is>
          <t>Fig. 1d</t>
        </is>
      </c>
      <c r="S37" t="inlineStr">
        <is>
          <t>Dotplot showing marker genes for each annotated cell type; CDH19 is a marker for Schwann cells.</t>
        </is>
      </c>
      <c r="T37" t="inlineStr">
        <is>
          <t>approved</t>
        </is>
      </c>
      <c r="U37" t="inlineStr">
        <is>
          <t>quick_consistency</t>
        </is>
      </c>
      <c r="V37" t="inlineStr">
        <is>
          <t>快速一致性复核：作者直接给出PNS细胞标记/注释；抽样核对原文，未做逐句全量复核</t>
        </is>
      </c>
      <c r="W37" t="inlineStr">
        <is>
          <t>scripts/extract_markers/markers_output/DOI_10.1038_s41588_025_02158_6_review.csv</t>
        </is>
      </c>
      <c r="X37" t="inlineStr">
        <is>
          <t>2026-08-14</t>
        </is>
      </c>
    </row>
    <row r="38">
      <c r="A38" t="inlineStr">
        <is>
          <t>M00037</t>
        </is>
      </c>
      <c r="B38" t="n">
        <v>31</v>
      </c>
      <c r="C38" t="inlineStr">
        <is>
          <t>CELLxGENE:afae4675-434d-4e89-b5ce-2854c9dc38a3</t>
        </is>
      </c>
      <c r="D38" t="inlineStr">
        <is>
          <t>DOI_10.1038_s41588-025-02158-6</t>
        </is>
      </c>
      <c r="E38" t="inlineStr">
        <is>
          <t>DOI_10.1038_s41588-025-02158-6</t>
        </is>
      </c>
      <c r="F38" t="inlineStr">
        <is>
          <t>primary</t>
        </is>
      </c>
      <c r="I38" t="inlineStr">
        <is>
          <t>Schwann cells</t>
        </is>
      </c>
      <c r="K38" t="inlineStr">
        <is>
          <t>human</t>
        </is>
      </c>
      <c r="L38" t="inlineStr">
        <is>
          <t>true</t>
        </is>
      </c>
      <c r="M38" t="inlineStr">
        <is>
          <t>PLP1</t>
        </is>
      </c>
      <c r="N38" t="inlineStr">
        <is>
          <t>PLP1</t>
        </is>
      </c>
      <c r="O38" t="inlineStr">
        <is>
          <t>annotation_marker</t>
        </is>
      </c>
      <c r="P38" t="inlineStr">
        <is>
          <t>positive</t>
        </is>
      </c>
      <c r="Q38" t="inlineStr">
        <is>
          <t>formal_candidate</t>
        </is>
      </c>
      <c r="R38" t="inlineStr">
        <is>
          <t>Fig. 1d</t>
        </is>
      </c>
      <c r="S38" t="inlineStr">
        <is>
          <t>Dotplot showing marker genes for each annotated cell type; PLP1 is a marker for Schwann cells.</t>
        </is>
      </c>
      <c r="T38" t="inlineStr">
        <is>
          <t>approved</t>
        </is>
      </c>
      <c r="U38" t="inlineStr">
        <is>
          <t>quick_consistency</t>
        </is>
      </c>
      <c r="V38" t="inlineStr">
        <is>
          <t>快速一致性复核：作者直接给出PNS细胞标记/注释；抽样核对原文，未做逐句全量复核</t>
        </is>
      </c>
      <c r="W38" t="inlineStr">
        <is>
          <t>scripts/extract_markers/markers_output/DOI_10.1038_s41588_025_02158_6_review.csv</t>
        </is>
      </c>
      <c r="X38" t="inlineStr">
        <is>
          <t>2026-08-14</t>
        </is>
      </c>
    </row>
    <row r="39">
      <c r="A39" t="inlineStr">
        <is>
          <t>M00038</t>
        </is>
      </c>
      <c r="B39" t="n">
        <v>36</v>
      </c>
      <c r="C39" t="inlineStr">
        <is>
          <t>CELLxGENE:b6f472f1-a58d-43a7-a898-2d6822a0b2b2</t>
        </is>
      </c>
      <c r="D39" t="inlineStr">
        <is>
          <t>DOI_10.1038_s41467-024-52052-8</t>
        </is>
      </c>
      <c r="E39" t="inlineStr">
        <is>
          <t>DOI_10.1038_s41467-024-52052-8</t>
        </is>
      </c>
      <c r="F39" t="inlineStr">
        <is>
          <t>primary</t>
        </is>
      </c>
      <c r="I39" t="inlineStr">
        <is>
          <t>nociceptors</t>
        </is>
      </c>
      <c r="J39" t="inlineStr">
        <is>
          <t>SST</t>
        </is>
      </c>
      <c r="K39" t="inlineStr">
        <is>
          <t>mouse</t>
        </is>
      </c>
      <c r="L39" t="inlineStr">
        <is>
          <t>true</t>
        </is>
      </c>
      <c r="M39" t="inlineStr">
        <is>
          <t>Sst</t>
        </is>
      </c>
      <c r="N39" t="inlineStr">
        <is>
          <t>SST</t>
        </is>
      </c>
      <c r="O39" t="inlineStr">
        <is>
          <t>annotation_marker</t>
        </is>
      </c>
      <c r="P39" t="inlineStr">
        <is>
          <t>positive</t>
        </is>
      </c>
      <c r="Q39" t="inlineStr">
        <is>
          <t>formal_candidate</t>
        </is>
      </c>
      <c r="R39" t="inlineStr">
        <is>
          <t>Introduction</t>
        </is>
      </c>
      <c r="S39" t="inlineStr">
        <is>
          <t>Those neurons are of different subtypes that are classified as peptidergic (PEPs), non-peptidergic (NPs), C-Low Threshold mechanoreceptor (C-LTMRs), and a subtype of somatostatin positive neurons (SST)4–6.</t>
        </is>
      </c>
      <c r="T39" t="inlineStr">
        <is>
          <t>approved</t>
        </is>
      </c>
      <c r="U39" t="inlineStr">
        <is>
          <t>quick_consistency</t>
        </is>
      </c>
      <c r="V39" t="inlineStr">
        <is>
          <t>快速一致性复核：作者直接给出PNS细胞标记/注释；抽样核对原文，未做逐句全量复核</t>
        </is>
      </c>
      <c r="W39" t="inlineStr">
        <is>
          <t>scripts/extract_markers/markers_output/DOI_10.1038_s41467_024_52052_8_review.csv</t>
        </is>
      </c>
      <c r="X39" t="inlineStr">
        <is>
          <t>2026-08-14</t>
        </is>
      </c>
    </row>
    <row r="40">
      <c r="A40" t="inlineStr">
        <is>
          <t>M00039</t>
        </is>
      </c>
      <c r="B40" t="n">
        <v>41</v>
      </c>
      <c r="C40" t="inlineStr">
        <is>
          <t>CELLxGENE:49e4ffcc-5444-406d-bdee-577127404ba8</t>
        </is>
      </c>
      <c r="D40" t="inlineStr">
        <is>
          <t>DOI_10.1038_s42255-023-00876-x</t>
        </is>
      </c>
      <c r="E40" t="inlineStr">
        <is>
          <t>DOI_10.1038_s42255-023-00876-x</t>
        </is>
      </c>
      <c r="F40" t="inlineStr">
        <is>
          <t>primary</t>
        </is>
      </c>
      <c r="I40" t="inlineStr">
        <is>
          <t>Schwann</t>
        </is>
      </c>
      <c r="K40" t="inlineStr">
        <is>
          <t>mouse</t>
        </is>
      </c>
      <c r="L40" t="inlineStr">
        <is>
          <t>true</t>
        </is>
      </c>
      <c r="M40" t="inlineStr">
        <is>
          <t>Cryab</t>
        </is>
      </c>
      <c r="N40" t="inlineStr">
        <is>
          <t>Cryab</t>
        </is>
      </c>
      <c r="O40" t="inlineStr">
        <is>
          <t>annotation_marker</t>
        </is>
      </c>
      <c r="P40" t="inlineStr">
        <is>
          <t>positive</t>
        </is>
      </c>
      <c r="Q40" t="inlineStr">
        <is>
          <t>formal_candidate</t>
        </is>
      </c>
      <c r="R40" t="inlineStr">
        <is>
          <t>Methods: Dataset-wise cell annotation</t>
        </is>
      </c>
      <c r="S40"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c r="T40" t="inlineStr">
        <is>
          <t>approved</t>
        </is>
      </c>
      <c r="U40" t="inlineStr">
        <is>
          <t>quick_consistency</t>
        </is>
      </c>
      <c r="V40" t="inlineStr">
        <is>
          <t>快速一致性复核：作者直接给出PNS细胞标记/注释；抽样核对原文，未做逐句全量复核</t>
        </is>
      </c>
      <c r="W40" t="inlineStr">
        <is>
          <t>scripts/extract_markers/markers_output/DOI_10.1038_s42255_023_00876_x_review.csv</t>
        </is>
      </c>
      <c r="X40" t="inlineStr">
        <is>
          <t>2026-08-14</t>
        </is>
      </c>
    </row>
    <row r="41">
      <c r="A41" t="inlineStr">
        <is>
          <t>M00040</t>
        </is>
      </c>
      <c r="B41" t="n">
        <v>41</v>
      </c>
      <c r="C41" t="inlineStr">
        <is>
          <t>CELLxGENE:49e4ffcc-5444-406d-bdee-577127404ba8</t>
        </is>
      </c>
      <c r="D41" t="inlineStr">
        <is>
          <t>DOI_10.1038_s42255-023-00876-x</t>
        </is>
      </c>
      <c r="E41" t="inlineStr">
        <is>
          <t>DOI_10.1038_s42255-023-00876-x</t>
        </is>
      </c>
      <c r="F41" t="inlineStr">
        <is>
          <t>primary</t>
        </is>
      </c>
      <c r="I41" t="inlineStr">
        <is>
          <t>Schwann</t>
        </is>
      </c>
      <c r="K41" t="inlineStr">
        <is>
          <t>mouse</t>
        </is>
      </c>
      <c r="L41" t="inlineStr">
        <is>
          <t>true</t>
        </is>
      </c>
      <c r="M41" t="inlineStr">
        <is>
          <t>Plp1</t>
        </is>
      </c>
      <c r="N41" t="inlineStr">
        <is>
          <t>Plp1</t>
        </is>
      </c>
      <c r="O41" t="inlineStr">
        <is>
          <t>annotation_marker</t>
        </is>
      </c>
      <c r="P41" t="inlineStr">
        <is>
          <t>positive</t>
        </is>
      </c>
      <c r="Q41" t="inlineStr">
        <is>
          <t>formal_candidate</t>
        </is>
      </c>
      <c r="R41" t="inlineStr">
        <is>
          <t>Methods: Dataset-wise cell annotation</t>
        </is>
      </c>
      <c r="S41"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c r="T41" t="inlineStr">
        <is>
          <t>approved</t>
        </is>
      </c>
      <c r="U41" t="inlineStr">
        <is>
          <t>quick_consistency</t>
        </is>
      </c>
      <c r="V41" t="inlineStr">
        <is>
          <t>快速一致性复核：作者直接给出PNS细胞标记/注释；抽样核对原文，未做逐句全量复核</t>
        </is>
      </c>
      <c r="W41" t="inlineStr">
        <is>
          <t>scripts/extract_markers/markers_output/DOI_10.1038_s42255_023_00876_x_review.csv</t>
        </is>
      </c>
      <c r="X41" t="inlineStr">
        <is>
          <t>2026-08-14</t>
        </is>
      </c>
    </row>
    <row r="42">
      <c r="A42" t="inlineStr">
        <is>
          <t>M00041</t>
        </is>
      </c>
      <c r="B42" t="n">
        <v>41</v>
      </c>
      <c r="C42" t="inlineStr">
        <is>
          <t>CELLxGENE:49e4ffcc-5444-406d-bdee-577127404ba8</t>
        </is>
      </c>
      <c r="D42" t="inlineStr">
        <is>
          <t>DOI_10.1038_s42255-023-00876-x</t>
        </is>
      </c>
      <c r="E42" t="inlineStr">
        <is>
          <t>DOI_10.1038_s42255-023-00876-x</t>
        </is>
      </c>
      <c r="F42" t="inlineStr">
        <is>
          <t>primary</t>
        </is>
      </c>
      <c r="I42" t="inlineStr">
        <is>
          <t>Schwann</t>
        </is>
      </c>
      <c r="K42" t="inlineStr">
        <is>
          <t>mouse</t>
        </is>
      </c>
      <c r="L42" t="inlineStr">
        <is>
          <t>true</t>
        </is>
      </c>
      <c r="M42" t="inlineStr">
        <is>
          <t>Sox10</t>
        </is>
      </c>
      <c r="N42" t="inlineStr">
        <is>
          <t>Sox10</t>
        </is>
      </c>
      <c r="O42" t="inlineStr">
        <is>
          <t>annotation_marker</t>
        </is>
      </c>
      <c r="P42" t="inlineStr">
        <is>
          <t>positive</t>
        </is>
      </c>
      <c r="Q42" t="inlineStr">
        <is>
          <t>formal_candidate</t>
        </is>
      </c>
      <c r="R42" t="inlineStr">
        <is>
          <t>Methods: Dataset-wise cell annotation</t>
        </is>
      </c>
      <c r="S42" t="inlineStr">
        <is>
          <t>The marker list is acinar: Cpa1, Prss2; α: Gcg ; β: Ins1, Ins2; δ: Sst; ductal: Krt19 , Muc1, Sox9; endothelial: Pecam1, Plvap; ε: Ghrl; γ: Ppy; immune: Cd52, Lyz2 , Ptprc; stellate-activated: Col1a2, Bicc1, Pdgfra; stellate-quiescent: Ndufa4l2, Acta2, Cspg4, Rgs5; and Schwann: Cryab, Plp1, Sox10.</t>
        </is>
      </c>
      <c r="T42" t="inlineStr">
        <is>
          <t>approved</t>
        </is>
      </c>
      <c r="U42" t="inlineStr">
        <is>
          <t>quick_consistency</t>
        </is>
      </c>
      <c r="V42" t="inlineStr">
        <is>
          <t>快速一致性复核：作者直接给出PNS细胞标记/注释；抽样核对原文，未做逐句全量复核</t>
        </is>
      </c>
      <c r="W42" t="inlineStr">
        <is>
          <t>scripts/extract_markers/markers_output/DOI_10.1038_s42255_023_00876_x_review.csv</t>
        </is>
      </c>
      <c r="X42" t="inlineStr">
        <is>
          <t>2026-08-14</t>
        </is>
      </c>
    </row>
    <row r="43">
      <c r="A43" t="inlineStr">
        <is>
          <t>M00042</t>
        </is>
      </c>
      <c r="B43" t="n">
        <v>42</v>
      </c>
      <c r="C43" t="inlineStr">
        <is>
          <t>CELLxGENE:dcfd4feb-18a3-4b30-81d7-1b0c544a8ab3</t>
        </is>
      </c>
      <c r="D43" t="inlineStr">
        <is>
          <t>DOI_10.1038_s41586-024-07069-w</t>
        </is>
      </c>
      <c r="E43" t="inlineStr">
        <is>
          <t>DOI_10.1038_s41586-024-07069-w</t>
        </is>
      </c>
      <c r="F43" t="inlineStr">
        <is>
          <t>primary</t>
        </is>
      </c>
      <c r="I43" t="inlineStr">
        <is>
          <t>Myelinating Schwann cells</t>
        </is>
      </c>
      <c r="J43" t="inlineStr">
        <is>
          <t>Tgfb2+</t>
        </is>
      </c>
      <c r="K43" t="inlineStr">
        <is>
          <t>mouse</t>
        </is>
      </c>
      <c r="L43" t="inlineStr">
        <is>
          <t>true</t>
        </is>
      </c>
      <c r="M43" t="inlineStr">
        <is>
          <t>Tgfb2</t>
        </is>
      </c>
      <c r="N43" t="inlineStr">
        <is>
          <t>Tgfb2</t>
        </is>
      </c>
      <c r="O43" t="inlineStr">
        <is>
          <t>annotation_marker</t>
        </is>
      </c>
      <c r="P43" t="inlineStr">
        <is>
          <t>positive</t>
        </is>
      </c>
      <c r="Q43" t="inlineStr">
        <is>
          <t>formal_candidate</t>
        </is>
      </c>
      <c r="R43" t="inlineStr">
        <is>
          <t>Fig.5g</t>
        </is>
      </c>
      <c r="S43" t="inlineStr">
        <is>
          <t>Cell type name listed as 'Myelinating Schwann cells (Tgfb2+)' in the tree node labels.</t>
        </is>
      </c>
      <c r="T43" t="inlineStr">
        <is>
          <t>approved</t>
        </is>
      </c>
      <c r="U43" t="inlineStr">
        <is>
          <t>quick_consistency</t>
        </is>
      </c>
      <c r="V43" t="inlineStr">
        <is>
          <t>快速一致性复核：作者直接给出PNS细胞标记/注释；抽样核对原文，未做逐句全量复核</t>
        </is>
      </c>
      <c r="W43" t="inlineStr">
        <is>
          <t>scripts/extract_markers/markers_output/DOI_10.1038_s41586_024_07069_w_review.csv</t>
        </is>
      </c>
      <c r="X43" t="inlineStr">
        <is>
          <t>2026-08-14</t>
        </is>
      </c>
    </row>
    <row r="44">
      <c r="A44" t="inlineStr">
        <is>
          <t>M00043</t>
        </is>
      </c>
      <c r="B44" t="n">
        <v>9</v>
      </c>
      <c r="C44" t="inlineStr">
        <is>
          <t>CELLxGENE:3dc61ca1-ce40-46b6-8337-f27260fd9a03</t>
        </is>
      </c>
      <c r="D44" t="inlineStr">
        <is>
          <t>DOI_10.1016_j.cell.2022.11.005</t>
        </is>
      </c>
      <c r="E44" t="inlineStr">
        <is>
          <t>DOI_10.1016_j.cell.2022.11.005</t>
        </is>
      </c>
      <c r="F44" t="inlineStr">
        <is>
          <t>primary</t>
        </is>
      </c>
      <c r="I44" t="inlineStr">
        <is>
          <t>neuroendocrine cell</t>
        </is>
      </c>
      <c r="K44" t="inlineStr">
        <is>
          <t>human</t>
        </is>
      </c>
      <c r="L44" t="inlineStr">
        <is>
          <t>true</t>
        </is>
      </c>
      <c r="M44" t="inlineStr">
        <is>
          <t>GHRL</t>
        </is>
      </c>
      <c r="N44" t="inlineStr">
        <is>
          <t>GHRL</t>
        </is>
      </c>
      <c r="O44" t="inlineStr">
        <is>
          <t>figure_labeled</t>
        </is>
      </c>
      <c r="P44" t="inlineStr">
        <is>
          <t>positive</t>
        </is>
      </c>
      <c r="Q44" t="inlineStr">
        <is>
          <t>formal_candidate</t>
        </is>
      </c>
      <c r="R44" t="inlineStr">
        <is>
          <t>Figure 2F</t>
        </is>
      </c>
      <c r="S44" t="inlineStr">
        <is>
          <t>GHRL+ neuroendocrine cells are shown in red in fetal human lung in situ HCR.</t>
        </is>
      </c>
      <c r="T44" t="inlineStr">
        <is>
          <t>approved</t>
        </is>
      </c>
      <c r="U44" t="inlineStr">
        <is>
          <t>quick_consistency</t>
        </is>
      </c>
      <c r="V44" t="inlineStr">
        <is>
          <t>GLM预筛后定向复核：作者图注明确标注GHRL+ neuroendocrine；未逐句全文复核</t>
        </is>
      </c>
      <c r="W44" t="inlineStr">
        <is>
          <t>scripts/extract_markers/review_md/DOI_10.1016_j.cell.2022.11.005.md</t>
        </is>
      </c>
      <c r="X44" t="inlineStr">
        <is>
          <t>2026-08-14</t>
        </is>
      </c>
    </row>
    <row r="45">
      <c r="A45" t="inlineStr">
        <is>
          <t>M00044</t>
        </is>
      </c>
      <c r="B45" t="n">
        <v>9</v>
      </c>
      <c r="C45" t="inlineStr">
        <is>
          <t>CELLxGENE:3dc61ca1-ce40-46b6-8337-f27260fd9a03</t>
        </is>
      </c>
      <c r="D45" t="inlineStr">
        <is>
          <t>DOI_10.1016_j.cell.2022.11.005</t>
        </is>
      </c>
      <c r="E45" t="inlineStr">
        <is>
          <t>DOI_10.1016_j.cell.2022.11.005</t>
        </is>
      </c>
      <c r="F45" t="inlineStr">
        <is>
          <t>primary</t>
        </is>
      </c>
      <c r="I45" t="inlineStr">
        <is>
          <t>pulmonary neuroendocrine cell</t>
        </is>
      </c>
      <c r="K45" t="inlineStr">
        <is>
          <t>human</t>
        </is>
      </c>
      <c r="L45" t="inlineStr">
        <is>
          <t>true</t>
        </is>
      </c>
      <c r="M45" t="inlineStr">
        <is>
          <t>GRP</t>
        </is>
      </c>
      <c r="N45" t="inlineStr">
        <is>
          <t>GRP</t>
        </is>
      </c>
      <c r="O45" t="inlineStr">
        <is>
          <t>figure_labeled</t>
        </is>
      </c>
      <c r="P45" t="inlineStr">
        <is>
          <t>positive</t>
        </is>
      </c>
      <c r="Q45" t="inlineStr">
        <is>
          <t>formal_candidate</t>
        </is>
      </c>
      <c r="R45" t="inlineStr">
        <is>
          <t>Figure 2F</t>
        </is>
      </c>
      <c r="S45" t="inlineStr">
        <is>
          <t>GRP+ pulmonary neuroendocrine cells are shown in green in fetal human lung in situ HCR.</t>
        </is>
      </c>
      <c r="T45" t="inlineStr">
        <is>
          <t>approved</t>
        </is>
      </c>
      <c r="U45" t="inlineStr">
        <is>
          <t>quick_consistency</t>
        </is>
      </c>
      <c r="V45" t="inlineStr">
        <is>
          <t>GLM预筛后定向复核：作者图注明确标注GRP+ pulmonary neuroendocrine</t>
        </is>
      </c>
      <c r="W45" t="inlineStr">
        <is>
          <t>scripts/extract_markers/review_md/DOI_10.1016_j.cell.2022.11.005.md</t>
        </is>
      </c>
      <c r="X45" t="inlineStr">
        <is>
          <t>2026-08-14</t>
        </is>
      </c>
    </row>
    <row r="46">
      <c r="A46" t="inlineStr">
        <is>
          <t>M00045</t>
        </is>
      </c>
      <c r="B46" t="n">
        <v>9</v>
      </c>
      <c r="C46" t="inlineStr">
        <is>
          <t>CELLxGENE:3dc61ca1-ce40-46b6-8337-f27260fd9a03</t>
        </is>
      </c>
      <c r="D46" t="inlineStr">
        <is>
          <t>DOI_10.1016_j.cell.2022.11.005</t>
        </is>
      </c>
      <c r="E46" t="inlineStr">
        <is>
          <t>DOI_10.1016_j.cell.2022.11.005</t>
        </is>
      </c>
      <c r="F46" t="inlineStr">
        <is>
          <t>primary</t>
        </is>
      </c>
      <c r="I46" t="inlineStr">
        <is>
          <t>pulmonary neuroendocrine cell</t>
        </is>
      </c>
      <c r="K46" t="inlineStr">
        <is>
          <t>human</t>
        </is>
      </c>
      <c r="L46" t="inlineStr">
        <is>
          <t>true</t>
        </is>
      </c>
      <c r="M46" t="inlineStr">
        <is>
          <t>ASCL1</t>
        </is>
      </c>
      <c r="N46" t="inlineStr">
        <is>
          <t>ASCL1</t>
        </is>
      </c>
      <c r="O46" t="inlineStr">
        <is>
          <t>figure_labeled</t>
        </is>
      </c>
      <c r="P46" t="inlineStr">
        <is>
          <t>positive</t>
        </is>
      </c>
      <c r="Q46" t="inlineStr">
        <is>
          <t>formal_candidate</t>
        </is>
      </c>
      <c r="R46" t="inlineStr">
        <is>
          <t>Figure S3K</t>
        </is>
      </c>
      <c r="S46" t="inlineStr">
        <is>
          <t>ASCL1+ pulmonary neuroendocrine cells are identified in fetal lung airway regions.</t>
        </is>
      </c>
      <c r="T46" t="inlineStr">
        <is>
          <t>approved</t>
        </is>
      </c>
      <c r="U46" t="inlineStr">
        <is>
          <t>quick_consistency</t>
        </is>
      </c>
      <c r="V46" t="inlineStr">
        <is>
          <t>GLM预筛后定向复核：作者图注明确标注ASCL1+ pulmonary neuroendocrine</t>
        </is>
      </c>
      <c r="W46" t="inlineStr">
        <is>
          <t>scripts/extract_markers/review_md/DOI_10.1016_j.cell.2022.11.005.md</t>
        </is>
      </c>
      <c r="X46" t="inlineStr">
        <is>
          <t>2026-08-14</t>
        </is>
      </c>
    </row>
    <row r="47">
      <c r="A47" t="inlineStr">
        <is>
          <t>M00046</t>
        </is>
      </c>
      <c r="B47" t="n">
        <v>9</v>
      </c>
      <c r="C47" t="inlineStr">
        <is>
          <t>CELLxGENE:3dc61ca1-ce40-46b6-8337-f27260fd9a03</t>
        </is>
      </c>
      <c r="D47" t="inlineStr">
        <is>
          <t>DOI_10.1016_j.cell.2022.11.005</t>
        </is>
      </c>
      <c r="E47" t="inlineStr">
        <is>
          <t>DOI_10.1016_j.cell.2022.11.005</t>
        </is>
      </c>
      <c r="F47" t="inlineStr">
        <is>
          <t>primary</t>
        </is>
      </c>
      <c r="I47" t="inlineStr">
        <is>
          <t>neuroendocrine cell</t>
        </is>
      </c>
      <c r="K47" t="inlineStr">
        <is>
          <t>human</t>
        </is>
      </c>
      <c r="L47" t="inlineStr">
        <is>
          <t>true</t>
        </is>
      </c>
      <c r="M47" t="inlineStr">
        <is>
          <t>NEUROD1</t>
        </is>
      </c>
      <c r="N47" t="inlineStr">
        <is>
          <t>NEUROD1</t>
        </is>
      </c>
      <c r="O47" t="inlineStr">
        <is>
          <t>figure_labeled</t>
        </is>
      </c>
      <c r="P47" t="inlineStr">
        <is>
          <t>positive</t>
        </is>
      </c>
      <c r="Q47" t="inlineStr">
        <is>
          <t>formal_candidate</t>
        </is>
      </c>
      <c r="R47" t="inlineStr">
        <is>
          <t>Figure 7E</t>
        </is>
      </c>
      <c r="S47" t="inlineStr">
        <is>
          <t>HCR and quantification identify NEUROD1+ neuroendocrine cell types in human fetal lungs.</t>
        </is>
      </c>
      <c r="T47" t="inlineStr">
        <is>
          <t>approved</t>
        </is>
      </c>
      <c r="U47" t="inlineStr">
        <is>
          <t>quick_consistency</t>
        </is>
      </c>
      <c r="V47" t="inlineStr">
        <is>
          <t>GLM预筛后定向复核：保留作者Figure 7中的NEUROD1+细胞标注</t>
        </is>
      </c>
      <c r="W47" t="inlineStr">
        <is>
          <t>scripts/extract_markers/review_md/DOI_10.1016_j.cell.2022.11.005.md</t>
        </is>
      </c>
      <c r="X47" t="inlineStr">
        <is>
          <t>2026-08-14</t>
        </is>
      </c>
    </row>
    <row r="48">
      <c r="A48" t="inlineStr">
        <is>
          <t>M00047</t>
        </is>
      </c>
      <c r="B48" t="n">
        <v>12</v>
      </c>
      <c r="C48" t="inlineStr">
        <is>
          <t>CELLxGENE:781cc817-3fd0-487c-a55a-b47b2786a05d</t>
        </is>
      </c>
      <c r="D48" t="inlineStr">
        <is>
          <t>DOI_10.1038_s44318-024-00328-6</t>
        </is>
      </c>
      <c r="E48" t="inlineStr">
        <is>
          <t>DOI_10.1038_s44318-024-00328-6</t>
        </is>
      </c>
      <c r="F48" t="inlineStr">
        <is>
          <t>primary</t>
        </is>
      </c>
      <c r="I48" t="inlineStr">
        <is>
          <t>neuroendocrine cell</t>
        </is>
      </c>
      <c r="K48" t="inlineStr">
        <is>
          <t>human</t>
        </is>
      </c>
      <c r="L48" t="inlineStr">
        <is>
          <t>true</t>
        </is>
      </c>
      <c r="M48" t="inlineStr">
        <is>
          <t>ASCL1</t>
        </is>
      </c>
      <c r="N48" t="inlineStr">
        <is>
          <t>ASCL1</t>
        </is>
      </c>
      <c r="O48" t="inlineStr">
        <is>
          <t>figure_labeled</t>
        </is>
      </c>
      <c r="P48" t="inlineStr">
        <is>
          <t>positive</t>
        </is>
      </c>
      <c r="Q48" t="inlineStr">
        <is>
          <t>formal_candidate</t>
        </is>
      </c>
      <c r="R48" t="inlineStr">
        <is>
          <t>Figure EV2H</t>
        </is>
      </c>
      <c r="S48" t="inlineStr">
        <is>
          <t>UMAP plots show transcript expression of ASCL1 for the neuroendocrine lineage in fdAT2 organoids.</t>
        </is>
      </c>
      <c r="T48" t="inlineStr">
        <is>
          <t>approved</t>
        </is>
      </c>
      <c r="U48" t="inlineStr">
        <is>
          <t>quick_consistency</t>
        </is>
      </c>
      <c r="V48" t="inlineStr">
        <is>
          <t>GLM预筛后定向复核：Figure EV2直接展示神经内分泌相关转录本</t>
        </is>
      </c>
      <c r="W48" t="inlineStr">
        <is>
          <t>scripts/extract_markers/review_md/DOI_10.1038_s44318-024-00328-6.md</t>
        </is>
      </c>
      <c r="X48" t="inlineStr">
        <is>
          <t>2026-08-14</t>
        </is>
      </c>
    </row>
    <row r="49">
      <c r="A49" t="inlineStr">
        <is>
          <t>M00048</t>
        </is>
      </c>
      <c r="B49" t="n">
        <v>12</v>
      </c>
      <c r="C49" t="inlineStr">
        <is>
          <t>CELLxGENE:781cc817-3fd0-487c-a55a-b47b2786a05d</t>
        </is>
      </c>
      <c r="D49" t="inlineStr">
        <is>
          <t>DOI_10.1038_s44318-024-00328-6</t>
        </is>
      </c>
      <c r="E49" t="inlineStr">
        <is>
          <t>DOI_10.1038_s44318-024-00328-6</t>
        </is>
      </c>
      <c r="F49" t="inlineStr">
        <is>
          <t>primary</t>
        </is>
      </c>
      <c r="I49" t="inlineStr">
        <is>
          <t>neuroendocrine cell</t>
        </is>
      </c>
      <c r="K49" t="inlineStr">
        <is>
          <t>human</t>
        </is>
      </c>
      <c r="L49" t="inlineStr">
        <is>
          <t>true</t>
        </is>
      </c>
      <c r="M49" t="inlineStr">
        <is>
          <t>NEUROD1</t>
        </is>
      </c>
      <c r="N49" t="inlineStr">
        <is>
          <t>NEUROD1</t>
        </is>
      </c>
      <c r="O49" t="inlineStr">
        <is>
          <t>figure_labeled</t>
        </is>
      </c>
      <c r="P49" t="inlineStr">
        <is>
          <t>positive</t>
        </is>
      </c>
      <c r="Q49" t="inlineStr">
        <is>
          <t>formal_candidate</t>
        </is>
      </c>
      <c r="R49" t="inlineStr">
        <is>
          <t>Figure EV2I</t>
        </is>
      </c>
      <c r="S49" t="inlineStr">
        <is>
          <t>UMAP plots label neuroendocrine cells with NEUROD1 transcript expression.</t>
        </is>
      </c>
      <c r="T49" t="inlineStr">
        <is>
          <t>approved</t>
        </is>
      </c>
      <c r="U49" t="inlineStr">
        <is>
          <t>quick_consistency</t>
        </is>
      </c>
      <c r="V49" t="inlineStr">
        <is>
          <t>GLM预筛后定向复核：Figure EV2图注明确对应neuroendocrine cells</t>
        </is>
      </c>
      <c r="W49" t="inlineStr">
        <is>
          <t>scripts/extract_markers/review_md/DOI_10.1038_s44318-024-00328-6.md</t>
        </is>
      </c>
      <c r="X49" t="inlineStr">
        <is>
          <t>2026-08-14</t>
        </is>
      </c>
    </row>
    <row r="50">
      <c r="A50" t="inlineStr">
        <is>
          <t>M00049</t>
        </is>
      </c>
      <c r="B50" t="n">
        <v>12</v>
      </c>
      <c r="C50" t="inlineStr">
        <is>
          <t>CELLxGENE:781cc817-3fd0-487c-a55a-b47b2786a05d</t>
        </is>
      </c>
      <c r="D50" t="inlineStr">
        <is>
          <t>DOI_10.1038_s44318-024-00328-6</t>
        </is>
      </c>
      <c r="E50" t="inlineStr">
        <is>
          <t>DOI_10.1038_s44318-024-00328-6</t>
        </is>
      </c>
      <c r="F50" t="inlineStr">
        <is>
          <t>primary</t>
        </is>
      </c>
      <c r="I50" t="inlineStr">
        <is>
          <t>neuroendocrine cell</t>
        </is>
      </c>
      <c r="K50" t="inlineStr">
        <is>
          <t>human</t>
        </is>
      </c>
      <c r="L50" t="inlineStr">
        <is>
          <t>true</t>
        </is>
      </c>
      <c r="M50" t="inlineStr">
        <is>
          <t>GRP</t>
        </is>
      </c>
      <c r="N50" t="inlineStr">
        <is>
          <t>GRP</t>
        </is>
      </c>
      <c r="O50" t="inlineStr">
        <is>
          <t>figure_labeled</t>
        </is>
      </c>
      <c r="P50" t="inlineStr">
        <is>
          <t>positive</t>
        </is>
      </c>
      <c r="Q50" t="inlineStr">
        <is>
          <t>formal_candidate</t>
        </is>
      </c>
      <c r="R50" t="inlineStr">
        <is>
          <t>Figure EV2I</t>
        </is>
      </c>
      <c r="S50" t="inlineStr">
        <is>
          <t>UMAP plots label neuroendocrine cells with GRP transcript expression.</t>
        </is>
      </c>
      <c r="T50" t="inlineStr">
        <is>
          <t>approved</t>
        </is>
      </c>
      <c r="U50" t="inlineStr">
        <is>
          <t>quick_consistency</t>
        </is>
      </c>
      <c r="V50" t="inlineStr">
        <is>
          <t>GLM预筛后定向复核：Figure EV2图注明确对应neuroendocrine cells</t>
        </is>
      </c>
      <c r="W50" t="inlineStr">
        <is>
          <t>scripts/extract_markers/review_md/DOI_10.1038_s44318-024-00328-6.md</t>
        </is>
      </c>
      <c r="X50" t="inlineStr">
        <is>
          <t>2026-08-14</t>
        </is>
      </c>
    </row>
    <row r="51">
      <c r="A51" t="inlineStr">
        <is>
          <t>M00050</t>
        </is>
      </c>
      <c r="B51" t="n">
        <v>21</v>
      </c>
      <c r="C51" t="inlineStr">
        <is>
          <t>CELLxGENE:fb5eeccf-3c2a-473c-b6e3-7a1dda18d42d</t>
        </is>
      </c>
      <c r="D51" t="inlineStr">
        <is>
          <t>DOI_10.64898_2025.12.18.695268</t>
        </is>
      </c>
      <c r="E51" t="inlineStr">
        <is>
          <t>DOI_10.64898_2025.12.18.695268</t>
        </is>
      </c>
      <c r="F51" t="inlineStr">
        <is>
          <t>primary</t>
        </is>
      </c>
      <c r="I51" t="inlineStr">
        <is>
          <t>Schwann cell</t>
        </is>
      </c>
      <c r="K51" t="inlineStr">
        <is>
          <t>human</t>
        </is>
      </c>
      <c r="L51" t="inlineStr">
        <is>
          <t>true</t>
        </is>
      </c>
      <c r="M51" t="inlineStr">
        <is>
          <t>XKR4</t>
        </is>
      </c>
      <c r="N51" t="inlineStr">
        <is>
          <t>XKR4</t>
        </is>
      </c>
      <c r="O51" t="inlineStr">
        <is>
          <t>author_declared</t>
        </is>
      </c>
      <c r="P51" t="inlineStr">
        <is>
          <t>positive</t>
        </is>
      </c>
      <c r="Q51" t="inlineStr">
        <is>
          <t>formal_candidate</t>
        </is>
      </c>
      <c r="R51" t="inlineStr">
        <is>
          <t>Results; Fig. 1C</t>
        </is>
      </c>
      <c r="S51" t="inlineStr">
        <is>
          <t>Additional stromal populations included Schwann cells (NRXN+/XKR4+).</t>
        </is>
      </c>
      <c r="T51" t="inlineStr">
        <is>
          <t>approved</t>
        </is>
      </c>
      <c r="U51" t="inlineStr">
        <is>
          <t>quick_consistency</t>
        </is>
      </c>
      <c r="V51" t="inlineStr">
        <is>
          <t>作者正文直接给出Schwann cell阳性标记；不完整符号NRXN未录入</t>
        </is>
      </c>
      <c r="W51" t="inlineStr">
        <is>
          <t>scripts/extract_markers/review_md/DOI_10.64898_2025.12.18.695268.md</t>
        </is>
      </c>
      <c r="X51" t="inlineStr">
        <is>
          <t>2026-08-14</t>
        </is>
      </c>
    </row>
    <row r="52">
      <c r="A52" t="inlineStr">
        <is>
          <t>M00051</t>
        </is>
      </c>
      <c r="B52" t="n">
        <v>21</v>
      </c>
      <c r="C52" t="inlineStr">
        <is>
          <t>CELLxGENE:fb5eeccf-3c2a-473c-b6e3-7a1dda18d42d</t>
        </is>
      </c>
      <c r="D52" t="inlineStr">
        <is>
          <t>DOI_10.64898_2025.12.18.695268</t>
        </is>
      </c>
      <c r="E52" t="inlineStr">
        <is>
          <t>DOI_10.64898_2025.12.18.695268</t>
        </is>
      </c>
      <c r="F52" t="inlineStr">
        <is>
          <t>primary</t>
        </is>
      </c>
      <c r="I52" t="inlineStr">
        <is>
          <t>Schwann cell</t>
        </is>
      </c>
      <c r="K52" t="inlineStr">
        <is>
          <t>human</t>
        </is>
      </c>
      <c r="L52" t="inlineStr">
        <is>
          <t>true</t>
        </is>
      </c>
      <c r="M52" t="inlineStr">
        <is>
          <t>NRXN1</t>
        </is>
      </c>
      <c r="N52" t="inlineStr">
        <is>
          <t>NRXN1</t>
        </is>
      </c>
      <c r="O52" t="inlineStr">
        <is>
          <t>author_declared</t>
        </is>
      </c>
      <c r="P52" t="inlineStr">
        <is>
          <t>positive</t>
        </is>
      </c>
      <c r="Q52" t="inlineStr">
        <is>
          <t>formal_candidate</t>
        </is>
      </c>
      <c r="R52" t="inlineStr">
        <is>
          <t>Results; Fig. S3E</t>
        </is>
      </c>
      <c r="S52" t="inlineStr">
        <is>
          <t>Regions surrounding innervating structures featured Schwann cells (NRXN1+).</t>
        </is>
      </c>
      <c r="T52" t="inlineStr">
        <is>
          <t>approved</t>
        </is>
      </c>
      <c r="U52" t="inlineStr">
        <is>
          <t>quick_consistency</t>
        </is>
      </c>
      <c r="V52" t="inlineStr">
        <is>
          <t>作者正文直接给出Schwann cells (NRXN1+)</t>
        </is>
      </c>
      <c r="W52" t="inlineStr">
        <is>
          <t>scripts/extract_markers/review_md/DOI_10.64898_2025.12.18.695268.md</t>
        </is>
      </c>
      <c r="X52" t="inlineStr">
        <is>
          <t>2026-08-14</t>
        </is>
      </c>
    </row>
    <row r="53">
      <c r="A53" t="inlineStr">
        <is>
          <t>M00052</t>
        </is>
      </c>
      <c r="B53" t="n">
        <v>24</v>
      </c>
      <c r="C53" t="inlineStr">
        <is>
          <t>CELLxGENE:8b2e5453-faf7-46ea-9073-aea69b283cb7</t>
        </is>
      </c>
      <c r="D53" t="inlineStr">
        <is>
          <t>DOI_10.1002_pros.24020</t>
        </is>
      </c>
      <c r="E53" t="inlineStr">
        <is>
          <t>DOI_10.1002_pros.24020</t>
        </is>
      </c>
      <c r="F53" t="inlineStr">
        <is>
          <t>primary</t>
        </is>
      </c>
      <c r="I53" t="inlineStr">
        <is>
          <t>neuroendocrine cell</t>
        </is>
      </c>
      <c r="K53" t="inlineStr">
        <is>
          <t>human</t>
        </is>
      </c>
      <c r="L53" t="inlineStr">
        <is>
          <t>true</t>
        </is>
      </c>
      <c r="M53" t="inlineStr">
        <is>
          <t>CALCA</t>
        </is>
      </c>
      <c r="N53" t="inlineStr">
        <is>
          <t>CGRP</t>
        </is>
      </c>
      <c r="O53" t="inlineStr">
        <is>
          <t>author_declared</t>
        </is>
      </c>
      <c r="P53" t="inlineStr">
        <is>
          <t>positive</t>
        </is>
      </c>
      <c r="Q53" t="inlineStr">
        <is>
          <t>formal_candidate</t>
        </is>
      </c>
      <c r="R53" t="inlineStr">
        <is>
          <t>Results §3.1; Figure S3A,C</t>
        </is>
      </c>
      <c r="S53" t="inlineStr">
        <is>
          <t>Neuroendocrine epithelia can be identified using known markers such as CGRP and CHGA.</t>
        </is>
      </c>
      <c r="T53" t="inlineStr">
        <is>
          <t>approved</t>
        </is>
      </c>
      <c r="U53" t="inlineStr">
        <is>
          <t>quick_consistency</t>
        </is>
      </c>
      <c r="V53" t="inlineStr">
        <is>
          <t>作者直接称为known markers；CGRP规范化为基因符号CALCA</t>
        </is>
      </c>
      <c r="W53" t="inlineStr">
        <is>
          <t>scripts/extract_markers/review_md/DOI_10.1002_pros.24020.md</t>
        </is>
      </c>
      <c r="X53" t="inlineStr">
        <is>
          <t>2026-08-14</t>
        </is>
      </c>
    </row>
    <row r="54">
      <c r="A54" t="inlineStr">
        <is>
          <t>M00053</t>
        </is>
      </c>
      <c r="B54" t="n">
        <v>24</v>
      </c>
      <c r="C54" t="inlineStr">
        <is>
          <t>CELLxGENE:8b2e5453-faf7-46ea-9073-aea69b283cb7</t>
        </is>
      </c>
      <c r="D54" t="inlineStr">
        <is>
          <t>DOI_10.1002_pros.24020</t>
        </is>
      </c>
      <c r="E54" t="inlineStr">
        <is>
          <t>DOI_10.1002_pros.24020</t>
        </is>
      </c>
      <c r="F54" t="inlineStr">
        <is>
          <t>primary</t>
        </is>
      </c>
      <c r="I54" t="inlineStr">
        <is>
          <t>neuroendocrine cell</t>
        </is>
      </c>
      <c r="K54" t="inlineStr">
        <is>
          <t>human</t>
        </is>
      </c>
      <c r="L54" t="inlineStr">
        <is>
          <t>true</t>
        </is>
      </c>
      <c r="M54" t="inlineStr">
        <is>
          <t>CHGA</t>
        </is>
      </c>
      <c r="N54" t="inlineStr">
        <is>
          <t>CHGA</t>
        </is>
      </c>
      <c r="O54" t="inlineStr">
        <is>
          <t>author_declared</t>
        </is>
      </c>
      <c r="P54" t="inlineStr">
        <is>
          <t>positive</t>
        </is>
      </c>
      <c r="Q54" t="inlineStr">
        <is>
          <t>formal_candidate</t>
        </is>
      </c>
      <c r="R54" t="inlineStr">
        <is>
          <t>Results §3.1; Figure S3A,C</t>
        </is>
      </c>
      <c r="S54" t="inlineStr">
        <is>
          <t>Neuroendocrine epithelia can be identified using known markers such as CGRP and CHGA.</t>
        </is>
      </c>
      <c r="T54" t="inlineStr">
        <is>
          <t>approved</t>
        </is>
      </c>
      <c r="U54" t="inlineStr">
        <is>
          <t>quick_consistency</t>
        </is>
      </c>
      <c r="V54" t="inlineStr">
        <is>
          <t>作者直接称为known markers</t>
        </is>
      </c>
      <c r="W54" t="inlineStr">
        <is>
          <t>scripts/extract_markers/review_md/DOI_10.1002_pros.24020.md</t>
        </is>
      </c>
      <c r="X54" t="inlineStr">
        <is>
          <t>2026-08-14</t>
        </is>
      </c>
    </row>
  </sheetData>
  <conditionalFormatting sqref="T2:T1000">
    <cfRule type="containsText" priority="1" operator="containsText" dxfId="0" text="approved"/>
    <cfRule type="containsText" priority="2" operator="containsText" dxfId="1" text="needs_followup"/>
    <cfRule type="containsText" priority="3" operator="containsText" dxfId="2" text="rejected"/>
  </conditionalFormatting>
  <dataValidations count="4">
    <dataValidation sqref="T2:T1000" showDropDown="0" showInputMessage="0" showErrorMessage="0" allowBlank="0" type="list">
      <formula1>"approved,modified,rejected,needs_followup"</formula1>
    </dataValidation>
    <dataValidation sqref="U2:U1000" showDropDown="0" showInputMessage="0" showErrorMessage="0" allowBlank="0" type="list">
      <formula1>"quick_consistency,full_review"</formula1>
    </dataValidation>
    <dataValidation sqref="O2:O1000" showDropDown="0" showInputMessage="0" showErrorMessage="0" allowBlank="0" type="list">
      <formula1>"author_declared,annotation_marker,figure_labeled,supplementary_marker"</formula1>
    </dataValidation>
    <dataValidation sqref="P2:P1000" showDropDown="0" showInputMessage="0" showErrorMessage="0" allowBlank="0" type="list">
      <formula1>"positive,negative,unknown"</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67"/>
  <sheetViews>
    <sheetView showGridLines="0" workbookViewId="0">
      <selection activeCell="A1" sqref="A1"/>
    </sheetView>
  </sheetViews>
  <sheetFormatPr baseColWidth="8" defaultRowHeight="15"/>
  <cols>
    <col width="18" customWidth="1" min="1" max="1"/>
    <col width="9" customWidth="1" min="2" max="2"/>
    <col width="28" customWidth="1" min="3" max="3"/>
    <col width="28" customWidth="1" min="4" max="4"/>
    <col width="46" customWidth="1" min="5" max="5"/>
    <col width="20" customWidth="1" min="6" max="6"/>
    <col width="18" customWidth="1" min="7" max="7"/>
    <col width="16" customWidth="1" min="8" max="8"/>
    <col width="16" customWidth="1" min="9" max="9"/>
    <col width="16" customWidth="1" min="10" max="10"/>
    <col width="14" customWidth="1" min="11" max="11"/>
    <col width="16" customWidth="1" min="12" max="12"/>
    <col width="48" customWidth="1" min="13" max="13"/>
    <col width="13" customWidth="1" min="14" max="14"/>
    <col width="58" customWidth="1" min="15" max="15"/>
  </cols>
  <sheetData>
    <row r="1">
      <c r="A1" s="45" t="inlineStr">
        <is>
          <t>batch_id</t>
        </is>
      </c>
      <c r="B1" s="45" t="inlineStr">
        <is>
          <t>task_no</t>
        </is>
      </c>
      <c r="C1" s="45" t="inlineStr">
        <is>
          <t>paper_id</t>
        </is>
      </c>
      <c r="D1" s="45" t="inlineStr">
        <is>
          <t>document_id</t>
        </is>
      </c>
      <c r="E1" s="45" t="inlineStr">
        <is>
          <t>paper_title</t>
        </is>
      </c>
      <c r="F1" s="45" t="inlineStr">
        <is>
          <t>review_method</t>
        </is>
      </c>
      <c r="G1" s="45" t="inlineStr">
        <is>
          <t>extracted_candidates</t>
        </is>
      </c>
      <c r="H1" s="45" t="inlineStr">
        <is>
          <t>formal_candidates</t>
        </is>
      </c>
      <c r="I1" s="45" t="inlineStr">
        <is>
          <t>quick_approved</t>
        </is>
      </c>
      <c r="J1" s="45" t="inlineStr">
        <is>
          <t>rejected_scope</t>
        </is>
      </c>
      <c r="K1" s="45" t="inlineStr">
        <is>
          <t>context_only</t>
        </is>
      </c>
      <c r="L1" s="45" t="inlineStr">
        <is>
          <t>imported_count</t>
        </is>
      </c>
      <c r="M1" s="45" t="inlineStr">
        <is>
          <t>source_file</t>
        </is>
      </c>
      <c r="N1" s="45" t="inlineStr">
        <is>
          <t>imported_at</t>
        </is>
      </c>
      <c r="O1" s="45" t="inlineStr">
        <is>
          <t>notes</t>
        </is>
      </c>
    </row>
    <row r="2" ht="56" customHeight="1">
      <c r="A2" s="47" t="inlineStr">
        <is>
          <t>B20260814-001</t>
        </is>
      </c>
      <c r="B2" s="47" t="n">
        <v>3</v>
      </c>
      <c r="C2" s="47" t="inlineStr">
        <is>
          <t>DOI_10.7554_elife.71752</t>
        </is>
      </c>
      <c r="D2" s="47" t="inlineStr">
        <is>
          <t>DOI_10.7554_elife.71752</t>
        </is>
      </c>
      <c r="E2" s="47" t="inlineStr">
        <is>
          <t>Single-nucleus transcriptomic analysis of human dorsal root ganglion neurons.</t>
        </is>
      </c>
      <c r="F2" s="47" t="inlineStr">
        <is>
          <t>quick_consistency</t>
        </is>
      </c>
      <c r="G2" s="47" t="n">
        <v>121</v>
      </c>
      <c r="H2" s="47" t="n">
        <v>19</v>
      </c>
      <c r="I2" s="47" t="n">
        <v>10</v>
      </c>
      <c r="J2" s="47" t="n">
        <v>9</v>
      </c>
      <c r="K2" s="47" t="n">
        <v>102</v>
      </c>
      <c r="L2" s="47" t="n">
        <v>10</v>
      </c>
      <c r="M2" s="47" t="inlineStr">
        <is>
          <t>scripts/extract_markers/markers_output_v2/DOI_10.7554_elife.71752_review.csv</t>
        </is>
      </c>
      <c r="N2" s="55" t="n">
        <v>46248</v>
      </c>
      <c r="O2" s="47" t="inlineStr">
        <is>
          <t>首批快速复核：暂缓2条比较物种 mouse marker、5条 is_pns_cell=NA 的非神经元 marker 和2条 species=unknown 记录；其余10条PNS human正式候选录入。</t>
        </is>
      </c>
    </row>
    <row r="3">
      <c r="A3" t="inlineStr">
        <is>
          <t>B20260814-002</t>
        </is>
      </c>
      <c r="B3" t="n">
        <v>1</v>
      </c>
      <c r="C3" t="inlineStr">
        <is>
          <t>DOI_10.1038_s41586-021-03710-0</t>
        </is>
      </c>
      <c r="D3" t="inlineStr">
        <is>
          <t>DOI_10.1038_s41586-021-03710-0</t>
        </is>
      </c>
      <c r="E3" t="inlineStr">
        <is>
          <t>Dysregulation of brain and choroid plexus cell types in severe COVID-19.</t>
        </is>
      </c>
      <c r="F3" t="inlineStr">
        <is>
          <t>quick_consistency</t>
        </is>
      </c>
      <c r="G3" t="n">
        <v>19</v>
      </c>
      <c r="H3" t="n">
        <v>0</v>
      </c>
      <c r="I3" t="n">
        <v>0</v>
      </c>
      <c r="J3" t="n">
        <v>0</v>
      </c>
      <c r="K3" t="n">
        <v>19</v>
      </c>
      <c r="L3" t="n">
        <v>0</v>
      </c>
      <c r="M3" t="inlineStr">
        <is>
          <t>scripts/extract_markers/markers_output/DOI_10.1038_s41586_021_03710_0_review.csv</t>
        </is>
      </c>
      <c r="N3" t="inlineStr">
        <is>
          <t>2026-08-14</t>
        </is>
      </c>
      <c r="O3" t="inlineStr">
        <is>
          <t>reviewed_no_formal_pns_marker: 仅复用明确PNS细胞且作者直接给出marker/注释语境的旧候选</t>
        </is>
      </c>
    </row>
    <row r="4">
      <c r="A4" t="inlineStr">
        <is>
          <t>B20260814-002</t>
        </is>
      </c>
      <c r="B4" t="n">
        <v>4</v>
      </c>
      <c r="C4" t="inlineStr">
        <is>
          <t>DOI_10.1038_s41586-020-2922-4</t>
        </is>
      </c>
      <c r="D4" t="inlineStr">
        <is>
          <t>DOI_10.1038_s41586-020-2922-4</t>
        </is>
      </c>
      <c r="E4" t="inlineStr">
        <is>
          <t>A molecular cell atlas of the human lung from single-cell RNA sequencing.</t>
        </is>
      </c>
      <c r="F4" t="inlineStr">
        <is>
          <t>legacy_unusable</t>
        </is>
      </c>
      <c r="G4" t="n">
        <v>0</v>
      </c>
      <c r="H4" t="n">
        <v>0</v>
      </c>
      <c r="I4" t="n">
        <v>0</v>
      </c>
      <c r="J4" t="n">
        <v>0</v>
      </c>
      <c r="K4" t="n">
        <v>0</v>
      </c>
      <c r="L4" t="n">
        <v>0</v>
      </c>
      <c r="N4" t="inlineStr">
        <is>
          <t>2026-08-14</t>
        </is>
      </c>
      <c r="O4" t="inlineStr">
        <is>
          <t>needs_reextract: 旧结果存在已确认的论文映射污染，未复用</t>
        </is>
      </c>
    </row>
    <row r="5">
      <c r="A5" t="inlineStr">
        <is>
          <t>B20260814-002</t>
        </is>
      </c>
      <c r="B5" t="n">
        <v>5</v>
      </c>
      <c r="C5" t="inlineStr">
        <is>
          <t>DOI_10.1038_s41588-022-01243-4</t>
        </is>
      </c>
      <c r="D5" t="inlineStr">
        <is>
          <t>DOI_10.1038_s41588-022-01243-4</t>
        </is>
      </c>
      <c r="E5" t="inlineStr">
        <is>
          <t>A spatially resolved atlas of the human lung characterizes a gland-associated immune niche.</t>
        </is>
      </c>
      <c r="F5" t="inlineStr">
        <is>
          <t>quick_consistency</t>
        </is>
      </c>
      <c r="G5" t="n">
        <v>79</v>
      </c>
      <c r="H5" t="n">
        <v>17</v>
      </c>
      <c r="I5" t="n">
        <v>16</v>
      </c>
      <c r="J5" t="n">
        <v>1</v>
      </c>
      <c r="K5" t="n">
        <v>62</v>
      </c>
      <c r="L5" t="n">
        <v>16</v>
      </c>
      <c r="M5" t="inlineStr">
        <is>
          <t>scripts/extract_markers/markers_output/DOI_10.1038_s41588_022_01243_4_review.csv</t>
        </is>
      </c>
      <c r="N5" t="inlineStr">
        <is>
          <t>2026-08-14</t>
        </is>
      </c>
      <c r="O5" t="inlineStr">
        <is>
          <t>ready_to_import: 仅复用明确PNS细胞且作者直接给出marker/注释语境的旧候选</t>
        </is>
      </c>
    </row>
    <row r="6">
      <c r="A6" t="inlineStr">
        <is>
          <t>B20260814-002</t>
        </is>
      </c>
      <c r="B6" t="n">
        <v>6</v>
      </c>
      <c r="C6" t="inlineStr">
        <is>
          <t>DOI_10.1164_rccm.202207-1384oc</t>
        </is>
      </c>
      <c r="D6" t="inlineStr">
        <is>
          <t>DOI_10.1164_rccm.202207-1384oc</t>
        </is>
      </c>
      <c r="E6" t="inlineStr">
        <is>
          <t>A Unique Cellular Organization of Human Distal Airways and Its Disarray in Chronic Obstructive Pulmonary Disease.</t>
        </is>
      </c>
      <c r="F6" t="inlineStr">
        <is>
          <t>quick_consistency</t>
        </is>
      </c>
      <c r="G6" t="n">
        <v>122</v>
      </c>
      <c r="H6" t="n">
        <v>1</v>
      </c>
      <c r="I6" t="n">
        <v>1</v>
      </c>
      <c r="J6" t="n">
        <v>0</v>
      </c>
      <c r="K6" t="n">
        <v>121</v>
      </c>
      <c r="L6" t="n">
        <v>1</v>
      </c>
      <c r="M6" t="inlineStr">
        <is>
          <t>scripts/extract_markers/markers_output/DOI_10.1164_rccm.202207_1384OC_review.csv</t>
        </is>
      </c>
      <c r="N6" t="inlineStr">
        <is>
          <t>2026-08-14</t>
        </is>
      </c>
      <c r="O6" t="inlineStr">
        <is>
          <t>ready_to_import: 仅复用明确PNS细胞且作者直接给出marker/注释语境的旧候选</t>
        </is>
      </c>
    </row>
    <row r="7">
      <c r="A7" t="inlineStr">
        <is>
          <t>B20260814-002</t>
        </is>
      </c>
      <c r="B7" t="n">
        <v>7</v>
      </c>
      <c r="C7" t="inlineStr">
        <is>
          <t>DOI_10.1038_s41586-021-04345-x</t>
        </is>
      </c>
      <c r="D7" t="inlineStr">
        <is>
          <t>DOI_10.1038_s41586-021-04345-x</t>
        </is>
      </c>
      <c r="E7" t="inlineStr">
        <is>
          <t>Local and systemic responses to SARS-CoV-2 infection in children and adults.</t>
        </is>
      </c>
      <c r="F7" t="inlineStr">
        <is>
          <t>quick_consistency</t>
        </is>
      </c>
      <c r="G7" t="n">
        <v>40</v>
      </c>
      <c r="H7" t="n">
        <v>0</v>
      </c>
      <c r="I7" t="n">
        <v>0</v>
      </c>
      <c r="J7" t="n">
        <v>0</v>
      </c>
      <c r="K7" t="n">
        <v>40</v>
      </c>
      <c r="L7" t="n">
        <v>0</v>
      </c>
      <c r="M7" t="inlineStr">
        <is>
          <t>scripts/extract_markers/markers_output/DOI_10.1038_s41586_021_04345_x_review.csv</t>
        </is>
      </c>
      <c r="N7" t="inlineStr">
        <is>
          <t>2026-08-14</t>
        </is>
      </c>
      <c r="O7" t="inlineStr">
        <is>
          <t>reviewed_no_formal_pns_marker: 仅复用明确PNS细胞且作者直接给出marker/注释语境的旧候选</t>
        </is>
      </c>
    </row>
    <row r="8">
      <c r="A8" t="inlineStr">
        <is>
          <t>B20260814-002</t>
        </is>
      </c>
      <c r="B8" t="n">
        <v>8</v>
      </c>
      <c r="C8" t="inlineStr">
        <is>
          <t>DOI_10.1016_j.jcf.2025.01.016</t>
        </is>
      </c>
      <c r="D8" t="inlineStr">
        <is>
          <t>DOI_10.1016_j.jcf.2025.01.016</t>
        </is>
      </c>
      <c r="E8" t="inlineStr">
        <is>
          <t>Evidence for altered immune-structural cell crosstalk in cystic fibrosis revealed by single cell transcriptomics.</t>
        </is>
      </c>
      <c r="F8" t="inlineStr">
        <is>
          <t>legacy_unusable</t>
        </is>
      </c>
      <c r="G8" t="n">
        <v>0</v>
      </c>
      <c r="H8" t="n">
        <v>0</v>
      </c>
      <c r="I8" t="n">
        <v>0</v>
      </c>
      <c r="J8" t="n">
        <v>0</v>
      </c>
      <c r="K8" t="n">
        <v>0</v>
      </c>
      <c r="L8" t="n">
        <v>0</v>
      </c>
      <c r="N8" t="inlineStr">
        <is>
          <t>2026-08-14</t>
        </is>
      </c>
      <c r="O8" t="inlineStr">
        <is>
          <t>needs_reextract: 旧结果存在已确认的论文映射污染，未复用</t>
        </is>
      </c>
    </row>
    <row r="9">
      <c r="A9" t="inlineStr">
        <is>
          <t>B20260814-002</t>
        </is>
      </c>
      <c r="B9" t="n">
        <v>9</v>
      </c>
      <c r="C9" t="inlineStr">
        <is>
          <t>DOI_10.1016_j.cell.2022.11.005</t>
        </is>
      </c>
      <c r="D9" t="inlineStr">
        <is>
          <t>DOI_10.1016_j.cell.2022.11.005</t>
        </is>
      </c>
      <c r="E9" t="inlineStr">
        <is>
          <t>A human fetal lung cell atlas uncovers proximal-distal gradients of differentiation and key regulators of epithelial fates.</t>
        </is>
      </c>
      <c r="F9" t="inlineStr">
        <is>
          <t>legacy_unusable</t>
        </is>
      </c>
      <c r="G9" t="n">
        <v>0</v>
      </c>
      <c r="H9" t="n">
        <v>0</v>
      </c>
      <c r="I9" t="n">
        <v>0</v>
      </c>
      <c r="J9" t="n">
        <v>0</v>
      </c>
      <c r="K9" t="n">
        <v>0</v>
      </c>
      <c r="L9" t="n">
        <v>0</v>
      </c>
      <c r="N9" t="inlineStr">
        <is>
          <t>2026-08-14</t>
        </is>
      </c>
      <c r="O9" t="inlineStr">
        <is>
          <t>needs_reextract: 未找到可复用的旧复核 CSV</t>
        </is>
      </c>
    </row>
    <row r="10">
      <c r="A10" t="inlineStr">
        <is>
          <t>B20260814-002</t>
        </is>
      </c>
      <c r="B10" t="n">
        <v>11</v>
      </c>
      <c r="C10" t="inlineStr">
        <is>
          <t>DOI_10.7554_elife.62522</t>
        </is>
      </c>
      <c r="D10" t="inlineStr">
        <is>
          <t>DOI_10.7554_elife.62522</t>
        </is>
      </c>
      <c r="E10" t="inlineStr">
        <is>
          <t>Single-cell multiomic profiling of human lungs reveals cell-type-specific and age-dynamic control of SARS-CoV2 host genes.</t>
        </is>
      </c>
      <c r="F10" t="inlineStr">
        <is>
          <t>quick_consistency</t>
        </is>
      </c>
      <c r="G10" t="n">
        <v>1</v>
      </c>
      <c r="H10" t="n">
        <v>0</v>
      </c>
      <c r="I10" t="n">
        <v>0</v>
      </c>
      <c r="J10" t="n">
        <v>0</v>
      </c>
      <c r="K10" t="n">
        <v>1</v>
      </c>
      <c r="L10" t="n">
        <v>0</v>
      </c>
      <c r="M10" t="inlineStr">
        <is>
          <t>scripts/extract_markers/markers_output/DOI_10.7554_eLife.62522_review.csv</t>
        </is>
      </c>
      <c r="N10" t="inlineStr">
        <is>
          <t>2026-08-14</t>
        </is>
      </c>
      <c r="O10" t="inlineStr">
        <is>
          <t>reviewed_no_formal_pns_marker: 仅复用明确PNS细胞且作者直接给出marker/注释语境的旧候选</t>
        </is>
      </c>
    </row>
    <row r="11">
      <c r="A11" t="inlineStr">
        <is>
          <t>B20260814-002</t>
        </is>
      </c>
      <c r="B11" t="n">
        <v>12</v>
      </c>
      <c r="C11" t="inlineStr">
        <is>
          <t>DOI_10.1038_s44318-024-00328-6</t>
        </is>
      </c>
      <c r="D11" t="inlineStr">
        <is>
          <t>DOI_10.1038_s44318-024-00328-6</t>
        </is>
      </c>
      <c r="E11" t="inlineStr">
        <is>
          <t>A novel human fetal lung-derived alveolar organoid model reveals mechanisms of surfactant protein C maturation relevant to interstitial lung disease.</t>
        </is>
      </c>
      <c r="F11" t="inlineStr">
        <is>
          <t>legacy_unusable</t>
        </is>
      </c>
      <c r="G11" t="n">
        <v>0</v>
      </c>
      <c r="H11" t="n">
        <v>0</v>
      </c>
      <c r="I11" t="n">
        <v>0</v>
      </c>
      <c r="J11" t="n">
        <v>0</v>
      </c>
      <c r="K11" t="n">
        <v>0</v>
      </c>
      <c r="L11" t="n">
        <v>0</v>
      </c>
      <c r="N11" t="inlineStr">
        <is>
          <t>2026-08-14</t>
        </is>
      </c>
      <c r="O11" t="inlineStr">
        <is>
          <t>needs_reextract: 旧结果存在已确认的论文映射污染，未复用</t>
        </is>
      </c>
    </row>
    <row r="12">
      <c r="A12" t="inlineStr">
        <is>
          <t>B20260814-002</t>
        </is>
      </c>
      <c r="B12" t="n">
        <v>13</v>
      </c>
      <c r="C12" t="inlineStr">
        <is>
          <t>DOI_10.1126_sciimmunol.adf9988</t>
        </is>
      </c>
      <c r="D12" t="inlineStr">
        <is>
          <t>DOI_10.1126_sciimmunol.adf9988</t>
        </is>
      </c>
      <c r="E12" t="inlineStr">
        <is>
          <t>Early human lung immune cell development and its role in epithelial cell fate.</t>
        </is>
      </c>
      <c r="F12" t="inlineStr">
        <is>
          <t>quick_consistency</t>
        </is>
      </c>
      <c r="G12" t="n">
        <v>28</v>
      </c>
      <c r="H12" t="n">
        <v>0</v>
      </c>
      <c r="I12" t="n">
        <v>0</v>
      </c>
      <c r="J12" t="n">
        <v>0</v>
      </c>
      <c r="K12" t="n">
        <v>28</v>
      </c>
      <c r="L12" t="n">
        <v>0</v>
      </c>
      <c r="M12" t="inlineStr">
        <is>
          <t>scripts/extract_markers/markers_output/DOI_10.1126_sciimmunol.adf9988_review.csv</t>
        </is>
      </c>
      <c r="N12" t="inlineStr">
        <is>
          <t>2026-08-14</t>
        </is>
      </c>
      <c r="O12" t="inlineStr">
        <is>
          <t>reviewed_no_formal_pns_marker: 仅复用明确PNS细胞且作者直接给出marker/注释语境的旧候选</t>
        </is>
      </c>
    </row>
    <row r="13">
      <c r="A13" t="inlineStr">
        <is>
          <t>B20260814-002</t>
        </is>
      </c>
      <c r="B13" t="n">
        <v>14</v>
      </c>
      <c r="C13" t="inlineStr">
        <is>
          <t>DOI_10.1038_s41591-023-02327-2</t>
        </is>
      </c>
      <c r="D13" t="inlineStr">
        <is>
          <t>DOI_10.1038_s41591-023-02327-2</t>
        </is>
      </c>
      <c r="E13" t="inlineStr">
        <is>
          <t>An integrated cell atlas of the lung in health and disease.</t>
        </is>
      </c>
      <c r="F13" t="inlineStr">
        <is>
          <t>quick_consistency</t>
        </is>
      </c>
      <c r="G13" t="n">
        <v>44</v>
      </c>
      <c r="H13" t="n">
        <v>1</v>
      </c>
      <c r="I13" t="n">
        <v>1</v>
      </c>
      <c r="J13" t="n">
        <v>0</v>
      </c>
      <c r="K13" t="n">
        <v>43</v>
      </c>
      <c r="L13" t="n">
        <v>1</v>
      </c>
      <c r="M13" t="inlineStr">
        <is>
          <t>scripts/extract_markers/markers_output/DOI_10.1038_s41591_023_02327_2_review.csv</t>
        </is>
      </c>
      <c r="N13" t="inlineStr">
        <is>
          <t>2026-08-14</t>
        </is>
      </c>
      <c r="O13" t="inlineStr">
        <is>
          <t>ready_to_import: 仅复用明确PNS细胞且作者直接给出marker/注释语境的旧候选</t>
        </is>
      </c>
    </row>
    <row r="14">
      <c r="A14" t="inlineStr">
        <is>
          <t>B20260814-002</t>
        </is>
      </c>
      <c r="B14" t="n">
        <v>15</v>
      </c>
      <c r="C14" t="inlineStr">
        <is>
          <t>DOI_10.1038_s41467-023-40173-5</t>
        </is>
      </c>
      <c r="D14" t="inlineStr">
        <is>
          <t>DOI_10.1038_s41467-023-40173-5</t>
        </is>
      </c>
      <c r="E14" t="inlineStr">
        <is>
          <t>Guided construction of single cell reference for human and mouse lung.</t>
        </is>
      </c>
      <c r="F14" t="inlineStr">
        <is>
          <t>legacy_unusable</t>
        </is>
      </c>
      <c r="G14" t="n">
        <v>0</v>
      </c>
      <c r="H14" t="n">
        <v>0</v>
      </c>
      <c r="I14" t="n">
        <v>0</v>
      </c>
      <c r="J14" t="n">
        <v>0</v>
      </c>
      <c r="K14" t="n">
        <v>0</v>
      </c>
      <c r="L14" t="n">
        <v>0</v>
      </c>
      <c r="N14" t="inlineStr">
        <is>
          <t>2026-08-14</t>
        </is>
      </c>
      <c r="O14" t="inlineStr">
        <is>
          <t>needs_reextract: 未找到可复用的旧复核 CSV</t>
        </is>
      </c>
    </row>
    <row r="15">
      <c r="A15" t="inlineStr">
        <is>
          <t>B20260814-002</t>
        </is>
      </c>
      <c r="B15" t="n">
        <v>16</v>
      </c>
      <c r="C15" t="inlineStr">
        <is>
          <t>DOI_10.1038_s41588-024-01702-0</t>
        </is>
      </c>
      <c r="D15" t="inlineStr">
        <is>
          <t>DOI_10.1038_s41588-024-01702-0</t>
        </is>
      </c>
      <c r="E15" t="inlineStr">
        <is>
          <t>Cell-type-specific and disease-associated expression quantitative trait loci in the human lung.</t>
        </is>
      </c>
      <c r="F15" t="inlineStr">
        <is>
          <t>quick_consistency</t>
        </is>
      </c>
      <c r="G15" t="n">
        <v>11</v>
      </c>
      <c r="H15" t="n">
        <v>0</v>
      </c>
      <c r="I15" t="n">
        <v>0</v>
      </c>
      <c r="J15" t="n">
        <v>0</v>
      </c>
      <c r="K15" t="n">
        <v>11</v>
      </c>
      <c r="L15" t="n">
        <v>0</v>
      </c>
      <c r="M15" t="inlineStr">
        <is>
          <t>scripts/extract_markers/markers_output/DOI_10.1038_s41588_024_01702_0_review.csv</t>
        </is>
      </c>
      <c r="N15" t="inlineStr">
        <is>
          <t>2026-08-14</t>
        </is>
      </c>
      <c r="O15" t="inlineStr">
        <is>
          <t>reviewed_no_formal_pns_marker: 仅复用明确PNS细胞且作者直接给出marker/注释语境的旧候选</t>
        </is>
      </c>
    </row>
    <row r="16">
      <c r="A16" t="inlineStr">
        <is>
          <t>B20260814-002</t>
        </is>
      </c>
      <c r="B16" t="n">
        <v>17</v>
      </c>
      <c r="C16" t="inlineStr">
        <is>
          <t>DOI_10.1038_s41586-021-03569-1</t>
        </is>
      </c>
      <c r="D16" t="inlineStr">
        <is>
          <t>DOI_10.1038_s41586-021-03569-1</t>
        </is>
      </c>
      <c r="E16" t="inlineStr">
        <is>
          <t>A molecular single-cell lung atlas of lethal COVID-19.</t>
        </is>
      </c>
      <c r="F16" t="inlineStr">
        <is>
          <t>quick_consistency</t>
        </is>
      </c>
      <c r="G16" t="n">
        <v>19</v>
      </c>
      <c r="H16" t="n">
        <v>0</v>
      </c>
      <c r="I16" t="n">
        <v>0</v>
      </c>
      <c r="J16" t="n">
        <v>0</v>
      </c>
      <c r="K16" t="n">
        <v>19</v>
      </c>
      <c r="L16" t="n">
        <v>0</v>
      </c>
      <c r="M16" t="inlineStr">
        <is>
          <t>scripts/extract_markers/markers_output/DOI_10.1038_s41586_021_03569_1_review.csv</t>
        </is>
      </c>
      <c r="N16" t="inlineStr">
        <is>
          <t>2026-08-14</t>
        </is>
      </c>
      <c r="O16" t="inlineStr">
        <is>
          <t>reviewed_no_formal_pns_marker: 仅复用明确PNS细胞且作者直接给出marker/注释语境的旧候选</t>
        </is>
      </c>
    </row>
    <row r="17">
      <c r="A17" t="inlineStr">
        <is>
          <t>B20260814-002</t>
        </is>
      </c>
      <c r="B17" t="n">
        <v>18</v>
      </c>
      <c r="C17" t="inlineStr">
        <is>
          <t>DOI_10.1016_j.stem.2022.11.013</t>
        </is>
      </c>
      <c r="D17" t="inlineStr">
        <is>
          <t>DOI_10.1016_j.stem.2022.11.013</t>
        </is>
      </c>
      <c r="E17" t="inlineStr">
        <is>
          <t>Organoid modeling of human fetal lung alveolar development reveals mechanisms of cell fate patterning and neonatal respiratory disease.</t>
        </is>
      </c>
      <c r="F17" t="inlineStr">
        <is>
          <t>quick_consistency</t>
        </is>
      </c>
      <c r="G17" t="n">
        <v>49</v>
      </c>
      <c r="H17" t="n">
        <v>0</v>
      </c>
      <c r="I17" t="n">
        <v>0</v>
      </c>
      <c r="J17" t="n">
        <v>0</v>
      </c>
      <c r="K17" t="n">
        <v>49</v>
      </c>
      <c r="L17" t="n">
        <v>0</v>
      </c>
      <c r="M17" t="inlineStr">
        <is>
          <t>scripts/extract_markers/markers_output/Organoid_modeling_of_human_fetal_lung_alveolar_development_r_review.csv</t>
        </is>
      </c>
      <c r="N17" t="inlineStr">
        <is>
          <t>2026-08-14</t>
        </is>
      </c>
      <c r="O17" t="inlineStr">
        <is>
          <t>reviewed_no_formal_pns_marker: 仅复用明确PNS细胞且作者直接给出marker/注释语境的旧候选</t>
        </is>
      </c>
    </row>
    <row r="18">
      <c r="A18" t="inlineStr">
        <is>
          <t>B20260814-002</t>
        </is>
      </c>
      <c r="B18" t="n">
        <v>20</v>
      </c>
      <c r="C18" t="inlineStr">
        <is>
          <t>DOI_10.1016_j.cell.2021.07.023</t>
        </is>
      </c>
      <c r="D18" t="inlineStr">
        <is>
          <t>DOI_10.1016_j.cell.2021.07.023</t>
        </is>
      </c>
      <c r="E18" t="inlineStr">
        <is>
          <t>Impaired local intrinsic immunity to SARS-CoV-2 infection in severe COVID-19.</t>
        </is>
      </c>
      <c r="F18" t="inlineStr">
        <is>
          <t>quick_consistency</t>
        </is>
      </c>
      <c r="G18" t="n">
        <v>166</v>
      </c>
      <c r="H18" t="n">
        <v>2</v>
      </c>
      <c r="I18" t="n">
        <v>0</v>
      </c>
      <c r="J18" t="n">
        <v>2</v>
      </c>
      <c r="K18" t="n">
        <v>164</v>
      </c>
      <c r="L18" t="n">
        <v>0</v>
      </c>
      <c r="M18" t="inlineStr">
        <is>
          <t>scripts/extract_markers/markers_output/DOI_10.1016_j.cell.2021.07.023_review.csv</t>
        </is>
      </c>
      <c r="N18" t="inlineStr">
        <is>
          <t>2026-08-14</t>
        </is>
      </c>
      <c r="O18" t="inlineStr">
        <is>
          <t>reviewed_no_formal_pns_marker: 仅复用明确PNS细胞且作者直接给出marker/注释语境的旧候选</t>
        </is>
      </c>
    </row>
    <row r="19">
      <c r="A19" t="inlineStr">
        <is>
          <t>B20260814-002</t>
        </is>
      </c>
      <c r="B19" t="n">
        <v>21</v>
      </c>
      <c r="C19" t="inlineStr">
        <is>
          <t>DOI_10.64898_2025.12.18.695268</t>
        </is>
      </c>
      <c r="D19" t="inlineStr">
        <is>
          <t>DOI_10.64898_2025.12.18.695268</t>
        </is>
      </c>
      <c r="E19" t="inlineStr">
        <is>
          <t>A poly(A) isoform–aware single-cell and spatial atlas defines fibroblast niches in the human bladder</t>
        </is>
      </c>
      <c r="F19" t="inlineStr">
        <is>
          <t>legacy_unusable</t>
        </is>
      </c>
      <c r="G19" t="n">
        <v>0</v>
      </c>
      <c r="H19" t="n">
        <v>0</v>
      </c>
      <c r="I19" t="n">
        <v>0</v>
      </c>
      <c r="J19" t="n">
        <v>0</v>
      </c>
      <c r="K19" t="n">
        <v>0</v>
      </c>
      <c r="L19" t="n">
        <v>0</v>
      </c>
      <c r="N19" t="inlineStr">
        <is>
          <t>2026-08-14</t>
        </is>
      </c>
      <c r="O19" t="inlineStr">
        <is>
          <t>needs_reextract: 未找到可复用的旧复核 CSV</t>
        </is>
      </c>
    </row>
    <row r="20">
      <c r="A20" t="inlineStr">
        <is>
          <t>B20260814-002</t>
        </is>
      </c>
      <c r="B20" t="n">
        <v>22</v>
      </c>
      <c r="C20" t="inlineStr">
        <is>
          <t>DOI_10.1126_science.aat5031</t>
        </is>
      </c>
      <c r="D20" t="inlineStr">
        <is>
          <t>DOI_10.1126_science.aat5031</t>
        </is>
      </c>
      <c r="E20" t="inlineStr">
        <is>
          <t>Spatiotemporal immune zonation of the human kidney.</t>
        </is>
      </c>
      <c r="F20" t="inlineStr">
        <is>
          <t>quick_consistency</t>
        </is>
      </c>
      <c r="G20" t="n">
        <v>54</v>
      </c>
      <c r="H20" t="n">
        <v>0</v>
      </c>
      <c r="I20" t="n">
        <v>0</v>
      </c>
      <c r="J20" t="n">
        <v>0</v>
      </c>
      <c r="K20" t="n">
        <v>54</v>
      </c>
      <c r="L20" t="n">
        <v>0</v>
      </c>
      <c r="M20" t="inlineStr">
        <is>
          <t>scripts/extract_markers/markers_output/DOI_10.1126_science.aat5031_review.csv</t>
        </is>
      </c>
      <c r="N20" t="inlineStr">
        <is>
          <t>2026-08-14</t>
        </is>
      </c>
      <c r="O20" t="inlineStr">
        <is>
          <t>reviewed_no_formal_pns_marker: 仅复用明确PNS细胞且作者直接给出marker/注释语境的旧候选</t>
        </is>
      </c>
    </row>
    <row r="21">
      <c r="A21" t="inlineStr">
        <is>
          <t>B20260814-002</t>
        </is>
      </c>
      <c r="B21" t="n">
        <v>23</v>
      </c>
      <c r="C21" t="inlineStr">
        <is>
          <t>DOI_10.1016_j.isci.2024.111628</t>
        </is>
      </c>
      <c r="D21" t="inlineStr">
        <is>
          <t>DOI_10.1016_j.isci.2024.111628</t>
        </is>
      </c>
      <c r="E21" t="inlineStr">
        <is>
          <t>Exploring the utility of snRNA-seq in profiling human bladder tissue: A comprehensive comparison with scRNA-seq.</t>
        </is>
      </c>
      <c r="F21" t="inlineStr">
        <is>
          <t>quick_consistency</t>
        </is>
      </c>
      <c r="G21" t="n">
        <v>3</v>
      </c>
      <c r="H21" t="n">
        <v>3</v>
      </c>
      <c r="I21" t="n">
        <v>2</v>
      </c>
      <c r="J21" t="n">
        <v>1</v>
      </c>
      <c r="K21" t="n">
        <v>0</v>
      </c>
      <c r="L21" t="n">
        <v>2</v>
      </c>
      <c r="M21" t="inlineStr">
        <is>
          <t>scripts/extract_markers/markers_output/DOI_10.1016_j.isci.2024.111628_review.csv</t>
        </is>
      </c>
      <c r="N21" t="inlineStr">
        <is>
          <t>2026-08-14</t>
        </is>
      </c>
      <c r="O21" t="inlineStr">
        <is>
          <t>ready_to_import: 仅复用明确PNS细胞且作者直接给出marker/注释语境的旧候选</t>
        </is>
      </c>
    </row>
    <row r="22">
      <c r="A22" t="inlineStr">
        <is>
          <t>B20260814-002</t>
        </is>
      </c>
      <c r="B22" t="n">
        <v>24</v>
      </c>
      <c r="C22" t="inlineStr">
        <is>
          <t>DOI_10.1002_pros.24020</t>
        </is>
      </c>
      <c r="D22" t="inlineStr">
        <is>
          <t>DOI_10.1002_pros.24020</t>
        </is>
      </c>
      <c r="E22" t="inlineStr">
        <is>
          <t>Urethral luminal epithelia are castration-insensitive cells of the proximal prostate.</t>
        </is>
      </c>
      <c r="F22" t="inlineStr">
        <is>
          <t>legacy_unusable</t>
        </is>
      </c>
      <c r="G22" t="n">
        <v>0</v>
      </c>
      <c r="H22" t="n">
        <v>0</v>
      </c>
      <c r="I22" t="n">
        <v>0</v>
      </c>
      <c r="J22" t="n">
        <v>0</v>
      </c>
      <c r="K22" t="n">
        <v>0</v>
      </c>
      <c r="L22" t="n">
        <v>0</v>
      </c>
      <c r="N22" t="inlineStr">
        <is>
          <t>2026-08-14</t>
        </is>
      </c>
      <c r="O22" t="inlineStr">
        <is>
          <t>needs_reextract: 未找到可复用的旧复核 CSV</t>
        </is>
      </c>
    </row>
    <row r="23">
      <c r="A23" t="inlineStr">
        <is>
          <t>B20260814-002</t>
        </is>
      </c>
      <c r="B23" t="n">
        <v>25</v>
      </c>
      <c r="C23" t="inlineStr">
        <is>
          <t>DOI_10.1016_j.celrep.2018.11.086</t>
        </is>
      </c>
      <c r="D23" t="inlineStr">
        <is>
          <t>DOI_10.1016_j.celrep.2018.11.086</t>
        </is>
      </c>
      <c r="E23" t="inlineStr">
        <is>
          <t>A Cellular Anatomy of the Normal Adult Human Prostate and Prostatic Urethra.</t>
        </is>
      </c>
      <c r="F23" t="inlineStr">
        <is>
          <t>quick_consistency</t>
        </is>
      </c>
      <c r="G23" t="n">
        <v>29</v>
      </c>
      <c r="H23" t="n">
        <v>2</v>
      </c>
      <c r="I23" t="n">
        <v>2</v>
      </c>
      <c r="J23" t="n">
        <v>0</v>
      </c>
      <c r="K23" t="n">
        <v>27</v>
      </c>
      <c r="L23" t="n">
        <v>2</v>
      </c>
      <c r="M23" t="inlineStr">
        <is>
          <t>scripts/extract_markers/markers_output/DOI_10.1016_j.celrep.2018.11.086_review.csv</t>
        </is>
      </c>
      <c r="N23" t="inlineStr">
        <is>
          <t>2026-08-14</t>
        </is>
      </c>
      <c r="O23" t="inlineStr">
        <is>
          <t>ready_to_import: 仅复用明确PNS细胞且作者直接给出marker/注释语境的旧候选</t>
        </is>
      </c>
    </row>
    <row r="24">
      <c r="A24" t="inlineStr">
        <is>
          <t>B20260814-002</t>
        </is>
      </c>
      <c r="B24" t="n">
        <v>26</v>
      </c>
      <c r="C24" t="inlineStr">
        <is>
          <t>DOI_10.1101_2024.10.23.619925</t>
        </is>
      </c>
      <c r="D24" t="inlineStr">
        <is>
          <t>DOI_10.1101_2024.10.23.619925</t>
        </is>
      </c>
      <c r="E24" t="inlineStr">
        <is>
          <t>Profiling of epithelial functional states and fibroblast phenotypes in hormone therapy-naïve localised prostate cancer</t>
        </is>
      </c>
      <c r="F24" t="inlineStr">
        <is>
          <t>quick_consistency</t>
        </is>
      </c>
      <c r="G24" t="n">
        <v>55</v>
      </c>
      <c r="H24" t="n">
        <v>2</v>
      </c>
      <c r="I24" t="n">
        <v>2</v>
      </c>
      <c r="J24" t="n">
        <v>0</v>
      </c>
      <c r="K24" t="n">
        <v>53</v>
      </c>
      <c r="L24" t="n">
        <v>2</v>
      </c>
      <c r="M24" t="inlineStr">
        <is>
          <t>scripts/extract_markers/markers_output/DOI_10.1101_2024.10.23.619925_review.csv</t>
        </is>
      </c>
      <c r="N24" t="inlineStr">
        <is>
          <t>2026-08-14</t>
        </is>
      </c>
      <c r="O24" t="inlineStr">
        <is>
          <t>ready_to_import: 仅复用明确PNS细胞且作者直接给出marker/注释语境的旧候选</t>
        </is>
      </c>
    </row>
    <row r="25">
      <c r="A25" t="inlineStr">
        <is>
          <t>B20260814-002</t>
        </is>
      </c>
      <c r="B25" t="n">
        <v>27</v>
      </c>
      <c r="C25" t="inlineStr">
        <is>
          <t>DOI_10.1101_2025.01.17.633590</t>
        </is>
      </c>
      <c r="D25" t="inlineStr">
        <is>
          <t>DOI_10.1101_2025.01.17.633590</t>
        </is>
      </c>
      <c r="E25" t="inlineStr">
        <is>
          <t>Single-cell decoding of human islet cell type-specific alterations in type 2 diabetes reveals converging genetic- and state-driven β-cell gene expression defects</t>
        </is>
      </c>
      <c r="F25" t="inlineStr">
        <is>
          <t>quick_consistency</t>
        </is>
      </c>
      <c r="G25" t="n">
        <v>35</v>
      </c>
      <c r="H25" t="n">
        <v>1</v>
      </c>
      <c r="I25" t="n">
        <v>1</v>
      </c>
      <c r="J25" t="n">
        <v>0</v>
      </c>
      <c r="K25" t="n">
        <v>34</v>
      </c>
      <c r="L25" t="n">
        <v>1</v>
      </c>
      <c r="M25" t="inlineStr">
        <is>
          <t>scripts/extract_markers/markers_output/DOI_10.1101_2025.01.17.633590_review.csv</t>
        </is>
      </c>
      <c r="N25" t="inlineStr">
        <is>
          <t>2026-08-14</t>
        </is>
      </c>
      <c r="O25" t="inlineStr">
        <is>
          <t>ready_to_import: 仅复用明确PNS细胞且作者直接给出marker/注释语境的旧候选</t>
        </is>
      </c>
    </row>
    <row r="26">
      <c r="A26" t="inlineStr">
        <is>
          <t>B20260814-002</t>
        </is>
      </c>
      <c r="B26" t="n">
        <v>28</v>
      </c>
      <c r="C26" t="inlineStr">
        <is>
          <t>DOI_10.1016_j.cell.2017.09.004</t>
        </is>
      </c>
      <c r="D26" t="inlineStr">
        <is>
          <t>DOI_10.1016_j.cell.2017.09.004</t>
        </is>
      </c>
      <c r="E26" t="inlineStr">
        <is>
          <t>Single-Cell Analysis of Human Pancreas Reveals Transcriptional Signatures of Aging and Somatic Mutation Patterns.</t>
        </is>
      </c>
      <c r="F26" t="inlineStr">
        <is>
          <t>legacy_unusable</t>
        </is>
      </c>
      <c r="G26" t="n">
        <v>0</v>
      </c>
      <c r="H26" t="n">
        <v>0</v>
      </c>
      <c r="I26" t="n">
        <v>0</v>
      </c>
      <c r="J26" t="n">
        <v>0</v>
      </c>
      <c r="K26" t="n">
        <v>0</v>
      </c>
      <c r="L26" t="n">
        <v>0</v>
      </c>
      <c r="N26" t="inlineStr">
        <is>
          <t>2026-08-14</t>
        </is>
      </c>
      <c r="O26" t="inlineStr">
        <is>
          <t>needs_reextract: 未找到可复用的旧复核 CSV</t>
        </is>
      </c>
    </row>
    <row r="27">
      <c r="A27" t="inlineStr">
        <is>
          <t>B20260814-002</t>
        </is>
      </c>
      <c r="B27" t="n">
        <v>29</v>
      </c>
      <c r="C27" t="inlineStr">
        <is>
          <t>DOI_10.1038_s41591-024-03215-z</t>
        </is>
      </c>
      <c r="D27" t="inlineStr">
        <is>
          <t>DOI_10.1038_s41591-024-03215-z</t>
        </is>
      </c>
      <c r="E27" t="inlineStr">
        <is>
          <t>A multi-modal single-cell and spatial expression map of metastatic breast cancer biopsies across clinicopathological features.</t>
        </is>
      </c>
      <c r="F27" t="inlineStr">
        <is>
          <t>quick_consistency</t>
        </is>
      </c>
      <c r="G27" t="n">
        <v>14</v>
      </c>
      <c r="H27" t="n">
        <v>0</v>
      </c>
      <c r="I27" t="n">
        <v>0</v>
      </c>
      <c r="J27" t="n">
        <v>0</v>
      </c>
      <c r="K27" t="n">
        <v>14</v>
      </c>
      <c r="L27" t="n">
        <v>0</v>
      </c>
      <c r="M27" t="inlineStr">
        <is>
          <t>scripts/extract_markers/markers_output/DOI_10.1038_s41591_024_03215_z_review.csv</t>
        </is>
      </c>
      <c r="N27" t="inlineStr">
        <is>
          <t>2026-08-14</t>
        </is>
      </c>
      <c r="O27" t="inlineStr">
        <is>
          <t>reviewed_no_formal_pns_marker: 仅复用明确PNS细胞且作者直接给出marker/注释语境的旧候选</t>
        </is>
      </c>
    </row>
    <row r="28">
      <c r="A28" t="inlineStr">
        <is>
          <t>B20260814-002</t>
        </is>
      </c>
      <c r="B28" t="n">
        <v>30</v>
      </c>
      <c r="C28" t="inlineStr">
        <is>
          <t>DOI_10.1038_s42003-021-02562-8</t>
        </is>
      </c>
      <c r="D28" t="inlineStr">
        <is>
          <t>DOI_10.1038_s42003-021-02562-8</t>
        </is>
      </c>
      <c r="E28" t="inlineStr">
        <is>
          <t>Identification of distinct tumor cell populations and key genetic mechanisms through single cell sequencing in hepatoblastoma.</t>
        </is>
      </c>
      <c r="F28" t="inlineStr">
        <is>
          <t>quick_consistency</t>
        </is>
      </c>
      <c r="G28" t="n">
        <v>14</v>
      </c>
      <c r="H28" t="n">
        <v>0</v>
      </c>
      <c r="I28" t="n">
        <v>0</v>
      </c>
      <c r="J28" t="n">
        <v>0</v>
      </c>
      <c r="K28" t="n">
        <v>14</v>
      </c>
      <c r="L28" t="n">
        <v>0</v>
      </c>
      <c r="M28" t="inlineStr">
        <is>
          <t>scripts/extract_markers/markers_output/DOI_10.1038_s42003_021_02562_8_review.csv</t>
        </is>
      </c>
      <c r="N28" t="inlineStr">
        <is>
          <t>2026-08-14</t>
        </is>
      </c>
      <c r="O28" t="inlineStr">
        <is>
          <t>reviewed_no_formal_pns_marker: 仅复用明确PNS细胞且作者直接给出marker/注释语境的旧候选</t>
        </is>
      </c>
    </row>
    <row r="29">
      <c r="A29" t="inlineStr">
        <is>
          <t>B20260814-002</t>
        </is>
      </c>
      <c r="B29" t="n">
        <v>31</v>
      </c>
      <c r="C29" t="inlineStr">
        <is>
          <t>DOI_10.1038_s41588-025-02158-6</t>
        </is>
      </c>
      <c r="D29" t="inlineStr">
        <is>
          <t>DOI_10.1038_s41588-025-02158-6</t>
        </is>
      </c>
      <c r="E29" t="inlineStr">
        <is>
          <t>Longitudinal single-cell multiomic atlas of high-risk neuroblastoma reveals chemotherapy-induced tumor microenvironment rewiring.</t>
        </is>
      </c>
      <c r="F29" t="inlineStr">
        <is>
          <t>quick_consistency</t>
        </is>
      </c>
      <c r="G29" t="n">
        <v>92</v>
      </c>
      <c r="H29" t="n">
        <v>2</v>
      </c>
      <c r="I29" t="n">
        <v>2</v>
      </c>
      <c r="J29" t="n">
        <v>0</v>
      </c>
      <c r="K29" t="n">
        <v>90</v>
      </c>
      <c r="L29" t="n">
        <v>2</v>
      </c>
      <c r="M29" t="inlineStr">
        <is>
          <t>scripts/extract_markers/markers_output/DOI_10.1038_s41588_025_02158_6_review.csv</t>
        </is>
      </c>
      <c r="N29" t="inlineStr">
        <is>
          <t>2026-08-14</t>
        </is>
      </c>
      <c r="O29" t="inlineStr">
        <is>
          <t>ready_to_import: 仅复用明确PNS细胞且作者直接给出marker/注释语境的旧候选</t>
        </is>
      </c>
    </row>
    <row r="30">
      <c r="A30" t="inlineStr">
        <is>
          <t>B20260814-002</t>
        </is>
      </c>
      <c r="B30" t="n">
        <v>32</v>
      </c>
      <c r="C30" t="inlineStr">
        <is>
          <t>DOI_10.1038_s41586-021-03929-x</t>
        </is>
      </c>
      <c r="D30" t="inlineStr">
        <is>
          <t>DOI_10.1038_s41586-021-03929-x</t>
        </is>
      </c>
      <c r="E30" t="inlineStr">
        <is>
          <t>Blood and immune development in human fetal bone marrow and Down syndrome.</t>
        </is>
      </c>
      <c r="F30" t="inlineStr">
        <is>
          <t>legacy_unusable</t>
        </is>
      </c>
      <c r="G30" t="n">
        <v>0</v>
      </c>
      <c r="H30" t="n">
        <v>0</v>
      </c>
      <c r="I30" t="n">
        <v>0</v>
      </c>
      <c r="J30" t="n">
        <v>0</v>
      </c>
      <c r="K30" t="n">
        <v>0</v>
      </c>
      <c r="L30" t="n">
        <v>0</v>
      </c>
      <c r="N30" t="inlineStr">
        <is>
          <t>2026-08-14</t>
        </is>
      </c>
      <c r="O30" t="inlineStr">
        <is>
          <t>needs_reextract: 旧结果存在已确认的论文映射污染，未复用</t>
        </is>
      </c>
    </row>
    <row r="31">
      <c r="A31" t="inlineStr">
        <is>
          <t>B20260814-002</t>
        </is>
      </c>
      <c r="B31" t="n">
        <v>33</v>
      </c>
      <c r="C31" t="inlineStr">
        <is>
          <t>DOI_10.1038_s41588-025-02182-6</t>
        </is>
      </c>
      <c r="D31" t="inlineStr">
        <is>
          <t>DOI_10.1038_s41588-025-02182-6</t>
        </is>
      </c>
      <c r="E31" t="inlineStr">
        <is>
          <t>An integrated transcriptomic cell atlas of human endoderm-derived organoids.</t>
        </is>
      </c>
      <c r="F31" t="inlineStr">
        <is>
          <t>legacy_unusable</t>
        </is>
      </c>
      <c r="G31" t="n">
        <v>0</v>
      </c>
      <c r="H31" t="n">
        <v>0</v>
      </c>
      <c r="I31" t="n">
        <v>0</v>
      </c>
      <c r="J31" t="n">
        <v>0</v>
      </c>
      <c r="K31" t="n">
        <v>0</v>
      </c>
      <c r="L31" t="n">
        <v>0</v>
      </c>
      <c r="N31" t="inlineStr">
        <is>
          <t>2026-08-14</t>
        </is>
      </c>
      <c r="O31" t="inlineStr">
        <is>
          <t>needs_reextract: 未找到可复用的旧复核 CSV</t>
        </is>
      </c>
    </row>
    <row r="32">
      <c r="A32" t="inlineStr">
        <is>
          <t>B20260814-002</t>
        </is>
      </c>
      <c r="B32" t="n">
        <v>34</v>
      </c>
      <c r="C32" t="inlineStr">
        <is>
          <t>DOI_10.1126_science.abl4290</t>
        </is>
      </c>
      <c r="D32" t="inlineStr">
        <is>
          <t>DOI_10.1126_science.abl4290</t>
        </is>
      </c>
      <c r="E32" t="inlineStr">
        <is>
          <t>Single-nucleus cross-tissue molecular reference maps toward understanding disease gene function.</t>
        </is>
      </c>
      <c r="F32" t="inlineStr">
        <is>
          <t>quick_consistency</t>
        </is>
      </c>
      <c r="G32" t="n">
        <v>66</v>
      </c>
      <c r="H32" t="n">
        <v>1</v>
      </c>
      <c r="I32" t="n">
        <v>0</v>
      </c>
      <c r="J32" t="n">
        <v>1</v>
      </c>
      <c r="K32" t="n">
        <v>65</v>
      </c>
      <c r="L32" t="n">
        <v>0</v>
      </c>
      <c r="M32" t="inlineStr">
        <is>
          <t>scripts/extract_markers/markers_output/DOI_10.1126_science.abl4290_review.csv</t>
        </is>
      </c>
      <c r="N32" t="inlineStr">
        <is>
          <t>2026-08-14</t>
        </is>
      </c>
      <c r="O32" t="inlineStr">
        <is>
          <t>reviewed_no_formal_pns_marker: 仅复用明确PNS细胞且作者直接给出marker/注释语境的旧候选</t>
        </is>
      </c>
    </row>
    <row r="33">
      <c r="A33" t="inlineStr">
        <is>
          <t>B20260814-002</t>
        </is>
      </c>
      <c r="B33" t="n">
        <v>35</v>
      </c>
      <c r="C33" t="inlineStr">
        <is>
          <t>DOI_10.1126_science.abo0510</t>
        </is>
      </c>
      <c r="D33" t="inlineStr">
        <is>
          <t>DOI_10.1126_science.abo0510</t>
        </is>
      </c>
      <c r="E33" t="inlineStr">
        <is>
          <t>Mapping the developing human immune system across organs.</t>
        </is>
      </c>
      <c r="F33" t="inlineStr">
        <is>
          <t>quick_consistency</t>
        </is>
      </c>
      <c r="G33" t="n">
        <v>67</v>
      </c>
      <c r="H33" t="n">
        <v>0</v>
      </c>
      <c r="I33" t="n">
        <v>0</v>
      </c>
      <c r="J33" t="n">
        <v>0</v>
      </c>
      <c r="K33" t="n">
        <v>67</v>
      </c>
      <c r="L33" t="n">
        <v>0</v>
      </c>
      <c r="M33" t="inlineStr">
        <is>
          <t>scripts/extract_markers/markers_output/DOI_10.1126_science.abo0510_review.csv</t>
        </is>
      </c>
      <c r="N33" t="inlineStr">
        <is>
          <t>2026-08-14</t>
        </is>
      </c>
      <c r="O33" t="inlineStr">
        <is>
          <t>reviewed_no_formal_pns_marker: 仅复用明确PNS细胞且作者直接给出marker/注释语境的旧候选</t>
        </is>
      </c>
    </row>
    <row r="34">
      <c r="A34" t="inlineStr">
        <is>
          <t>B20260814-002</t>
        </is>
      </c>
      <c r="B34" t="n">
        <v>36</v>
      </c>
      <c r="C34" t="inlineStr">
        <is>
          <t>DOI_10.1038_s41467-024-52052-8</t>
        </is>
      </c>
      <c r="D34" t="inlineStr">
        <is>
          <t>DOI_10.1038_s41467-024-52052-8</t>
        </is>
      </c>
      <c r="E34" t="inlineStr">
        <is>
          <t>The single-cell transcriptomic atlas iPain identifies senescence of nociceptors as a therapeutical target for chronic pain treatment.</t>
        </is>
      </c>
      <c r="F34" t="inlineStr">
        <is>
          <t>quick_consistency</t>
        </is>
      </c>
      <c r="G34" t="n">
        <v>1</v>
      </c>
      <c r="H34" t="n">
        <v>1</v>
      </c>
      <c r="I34" t="n">
        <v>1</v>
      </c>
      <c r="J34" t="n">
        <v>0</v>
      </c>
      <c r="K34" t="n">
        <v>0</v>
      </c>
      <c r="L34" t="n">
        <v>1</v>
      </c>
      <c r="M34" t="inlineStr">
        <is>
          <t>scripts/extract_markers/markers_output/DOI_10.1038_s41467_024_52052_8_review.csv</t>
        </is>
      </c>
      <c r="N34" t="inlineStr">
        <is>
          <t>2026-08-14</t>
        </is>
      </c>
      <c r="O34" t="inlineStr">
        <is>
          <t>ready_to_import: 仅复用明确PNS细胞且作者直接给出marker/注释语境的旧候选</t>
        </is>
      </c>
    </row>
    <row r="35">
      <c r="A35" t="inlineStr">
        <is>
          <t>B20260814-002</t>
        </is>
      </c>
      <c r="B35" t="n">
        <v>39</v>
      </c>
      <c r="C35" t="inlineStr">
        <is>
          <t>DOI_10.1101_2025.09.26.678707</t>
        </is>
      </c>
      <c r="D35" t="inlineStr">
        <is>
          <t>DOI_10.1101_2025.09.26.678707</t>
        </is>
      </c>
      <c r="E35" t="inlineStr">
        <is>
          <t>Cellular and Spatial Drivers of Unresolved Injury and Functional Decline in the Human Kidney</t>
        </is>
      </c>
      <c r="F35" t="inlineStr">
        <is>
          <t>legacy_unusable</t>
        </is>
      </c>
      <c r="G35" t="n">
        <v>0</v>
      </c>
      <c r="H35" t="n">
        <v>0</v>
      </c>
      <c r="I35" t="n">
        <v>0</v>
      </c>
      <c r="J35" t="n">
        <v>0</v>
      </c>
      <c r="K35" t="n">
        <v>0</v>
      </c>
      <c r="L35" t="n">
        <v>0</v>
      </c>
      <c r="N35" t="inlineStr">
        <is>
          <t>2026-08-14</t>
        </is>
      </c>
      <c r="O35" t="inlineStr">
        <is>
          <t>needs_reextract: 旧结果存在已确认的论文映射污染，未复用</t>
        </is>
      </c>
    </row>
    <row r="36">
      <c r="A36" t="inlineStr">
        <is>
          <t>B20260814-002</t>
        </is>
      </c>
      <c r="B36" t="n">
        <v>40</v>
      </c>
      <c r="C36" t="inlineStr">
        <is>
          <t>DOI_10.1038_s41467-021-21783-3</t>
        </is>
      </c>
      <c r="D36" t="inlineStr">
        <is>
          <t>DOI_10.1038_s41467-021-21783-3</t>
        </is>
      </c>
      <c r="E36" t="inlineStr">
        <is>
          <t>Time-resolved single-cell analysis of Brca1 associated mammary tumourigenesis reveals aberrant differentiation of luminal progenitors.</t>
        </is>
      </c>
      <c r="F36" t="inlineStr">
        <is>
          <t>legacy_unusable</t>
        </is>
      </c>
      <c r="G36" t="n">
        <v>0</v>
      </c>
      <c r="H36" t="n">
        <v>0</v>
      </c>
      <c r="I36" t="n">
        <v>0</v>
      </c>
      <c r="J36" t="n">
        <v>0</v>
      </c>
      <c r="K36" t="n">
        <v>0</v>
      </c>
      <c r="L36" t="n">
        <v>0</v>
      </c>
      <c r="N36" t="inlineStr">
        <is>
          <t>2026-08-14</t>
        </is>
      </c>
      <c r="O36" t="inlineStr">
        <is>
          <t>needs_reextract: 未找到可复用的旧复核 CSV</t>
        </is>
      </c>
    </row>
    <row r="37">
      <c r="A37" t="inlineStr">
        <is>
          <t>B20260814-002</t>
        </is>
      </c>
      <c r="B37" t="n">
        <v>41</v>
      </c>
      <c r="C37" t="inlineStr">
        <is>
          <t>DOI_10.1038_s42255-023-00876-x</t>
        </is>
      </c>
      <c r="D37" t="inlineStr">
        <is>
          <t>DOI_10.1038_s42255-023-00876-x</t>
        </is>
      </c>
      <c r="E37" t="inlineStr">
        <is>
          <t>Delineating mouse β-cell identity during lifetime and in diabetes with a single cell atlas.</t>
        </is>
      </c>
      <c r="F37" t="inlineStr">
        <is>
          <t>quick_consistency</t>
        </is>
      </c>
      <c r="G37" t="n">
        <v>61</v>
      </c>
      <c r="H37" t="n">
        <v>3</v>
      </c>
      <c r="I37" t="n">
        <v>3</v>
      </c>
      <c r="J37" t="n">
        <v>0</v>
      </c>
      <c r="K37" t="n">
        <v>58</v>
      </c>
      <c r="L37" t="n">
        <v>3</v>
      </c>
      <c r="M37" t="inlineStr">
        <is>
          <t>scripts/extract_markers/markers_output/DOI_10.1038_s42255_023_00876_x_review.csv</t>
        </is>
      </c>
      <c r="N37" t="inlineStr">
        <is>
          <t>2026-08-14</t>
        </is>
      </c>
      <c r="O37" t="inlineStr">
        <is>
          <t>ready_to_import: 仅复用明确PNS细胞且作者直接给出marker/注释语境的旧候选</t>
        </is>
      </c>
    </row>
    <row r="38">
      <c r="A38" t="inlineStr">
        <is>
          <t>B20260814-002</t>
        </is>
      </c>
      <c r="B38" t="n">
        <v>42</v>
      </c>
      <c r="C38" t="inlineStr">
        <is>
          <t>DOI_10.1038_s41586-024-07069-w</t>
        </is>
      </c>
      <c r="D38" t="inlineStr">
        <is>
          <t>DOI_10.1038_s41586-024-07069-w</t>
        </is>
      </c>
      <c r="E38" t="inlineStr">
        <is>
          <t>A single-cell time-lapse of mouse prenatal development from gastrula to birth.</t>
        </is>
      </c>
      <c r="F38" t="inlineStr">
        <is>
          <t>quick_consistency</t>
        </is>
      </c>
      <c r="G38" t="n">
        <v>27</v>
      </c>
      <c r="H38" t="n">
        <v>1</v>
      </c>
      <c r="I38" t="n">
        <v>1</v>
      </c>
      <c r="J38" t="n">
        <v>0</v>
      </c>
      <c r="K38" t="n">
        <v>26</v>
      </c>
      <c r="L38" t="n">
        <v>1</v>
      </c>
      <c r="M38" t="inlineStr">
        <is>
          <t>scripts/extract_markers/markers_output/DOI_10.1038_s41586_024_07069_w_review.csv</t>
        </is>
      </c>
      <c r="N38" t="inlineStr">
        <is>
          <t>2026-08-14</t>
        </is>
      </c>
      <c r="O38" t="inlineStr">
        <is>
          <t>ready_to_import: 仅复用明确PNS细胞且作者直接给出marker/注释语境的旧候选</t>
        </is>
      </c>
    </row>
    <row r="39">
      <c r="A39" t="inlineStr">
        <is>
          <t>B20260814-002</t>
        </is>
      </c>
      <c r="B39" t="n">
        <v>43</v>
      </c>
      <c r="C39" t="inlineStr">
        <is>
          <t>DOI_10.1038_s41586-020-2496-1</t>
        </is>
      </c>
      <c r="D39" t="inlineStr">
        <is>
          <t>DOI_10.1038_s41586-020-2496-1</t>
        </is>
      </c>
      <c r="E39" t="inlineStr">
        <is>
          <t>A single-cell transcriptomic atlas characterizes ageing tissues in the mouse.</t>
        </is>
      </c>
      <c r="F39" t="inlineStr">
        <is>
          <t>quick_consistency</t>
        </is>
      </c>
      <c r="G39" t="n">
        <v>13</v>
      </c>
      <c r="H39" t="n">
        <v>0</v>
      </c>
      <c r="I39" t="n">
        <v>0</v>
      </c>
      <c r="J39" t="n">
        <v>0</v>
      </c>
      <c r="K39" t="n">
        <v>13</v>
      </c>
      <c r="L39" t="n">
        <v>0</v>
      </c>
      <c r="M39" t="inlineStr">
        <is>
          <t>scripts/extract_markers/markers_output/NATURE.587.619.2020_review.csv</t>
        </is>
      </c>
      <c r="N39" t="inlineStr">
        <is>
          <t>2026-08-14</t>
        </is>
      </c>
      <c r="O39" t="inlineStr">
        <is>
          <t>reviewed_no_formal_pns_marker: 仅复用明确PNS细胞且作者直接给出marker/注释语境的旧候选</t>
        </is>
      </c>
    </row>
    <row r="40">
      <c r="A40" t="inlineStr">
        <is>
          <t>B20260814-002</t>
        </is>
      </c>
      <c r="B40" t="n">
        <v>44</v>
      </c>
      <c r="C40" t="inlineStr">
        <is>
          <t>DOI_10.1038_s42003-024-07315-x</t>
        </is>
      </c>
      <c r="D40" t="inlineStr">
        <is>
          <t>DOI_10.1038_s42003-024-07315-x</t>
        </is>
      </c>
      <c r="E40" t="inlineStr">
        <is>
          <t>Cross-species single-cell RNA-seq analysis reveals disparate and conserved cardiac and extracardiac inflammatory responses upon heart injury.</t>
        </is>
      </c>
      <c r="F40" t="inlineStr">
        <is>
          <t>quick_consistency</t>
        </is>
      </c>
      <c r="G40" t="n">
        <v>53</v>
      </c>
      <c r="H40" t="n">
        <v>0</v>
      </c>
      <c r="I40" t="n">
        <v>0</v>
      </c>
      <c r="J40" t="n">
        <v>0</v>
      </c>
      <c r="K40" t="n">
        <v>53</v>
      </c>
      <c r="L40" t="n">
        <v>0</v>
      </c>
      <c r="M40" t="inlineStr">
        <is>
          <t>scripts/extract_markers/markers_output/DOI_10.1038_s42003_024_07315_x_review.csv</t>
        </is>
      </c>
      <c r="N40" t="inlineStr">
        <is>
          <t>2026-08-14</t>
        </is>
      </c>
      <c r="O40" t="inlineStr">
        <is>
          <t>reviewed_no_formal_pns_marker: 仅复用明确PNS细胞且作者直接给出marker/注释语境的旧候选</t>
        </is>
      </c>
    </row>
    <row r="41">
      <c r="A41" t="inlineStr">
        <is>
          <t>B20260814-003</t>
        </is>
      </c>
      <c r="B41" t="n">
        <v>1</v>
      </c>
      <c r="C41" t="inlineStr">
        <is>
          <t>DOI_10.1038_s41586-021-03710-0</t>
        </is>
      </c>
      <c r="D41" t="inlineStr">
        <is>
          <t>DOI_10.1038_s41586-021-03710-0</t>
        </is>
      </c>
      <c r="E41" t="inlineStr">
        <is>
          <t>Dysregulation of brain and choroid plexus cell types in severe COVID-19.</t>
        </is>
      </c>
      <c r="F41" t="inlineStr">
        <is>
          <t>quick_consistency</t>
        </is>
      </c>
      <c r="G41" t="n">
        <v>0</v>
      </c>
      <c r="H41" t="n">
        <v>0</v>
      </c>
      <c r="I41" t="n">
        <v>0</v>
      </c>
      <c r="J41" t="n">
        <v>0</v>
      </c>
      <c r="K41" t="n">
        <v>0</v>
      </c>
      <c r="L41" t="n">
        <v>0</v>
      </c>
      <c r="M41" t="inlineStr">
        <is>
          <t>scripts/extract_markers/review_md/DOI_10.1038_s41586-021-03710-0.md</t>
        </is>
      </c>
      <c r="N41" t="inlineStr">
        <is>
          <t>2026-08-14</t>
        </is>
      </c>
      <c r="O41" t="inlineStr">
        <is>
          <t>markdown_review_no_formal: Markdown定向复核未发现作者直接给出的正式PNS marker；窗口共现或比较文献基因不录入</t>
        </is>
      </c>
    </row>
    <row r="42">
      <c r="A42" t="inlineStr">
        <is>
          <t>B20260814-003</t>
        </is>
      </c>
      <c r="B42" t="n">
        <v>4</v>
      </c>
      <c r="C42" t="inlineStr">
        <is>
          <t>DOI_10.1038_s41586-020-2922-4</t>
        </is>
      </c>
      <c r="D42" t="inlineStr">
        <is>
          <t>DOI_10.1038_s41586-020-2922-4</t>
        </is>
      </c>
      <c r="E42" t="inlineStr">
        <is>
          <t>A molecular cell atlas of the human lung from single-cell RNA sequencing.</t>
        </is>
      </c>
      <c r="F42" t="inlineStr">
        <is>
          <t>quick_consistency</t>
        </is>
      </c>
      <c r="G42" t="n">
        <v>2</v>
      </c>
      <c r="H42" t="n">
        <v>0</v>
      </c>
      <c r="I42" t="n">
        <v>0</v>
      </c>
      <c r="J42" t="n">
        <v>2</v>
      </c>
      <c r="K42" t="n">
        <v>0</v>
      </c>
      <c r="L42" t="n">
        <v>0</v>
      </c>
      <c r="M42" t="inlineStr">
        <is>
          <t>scripts/extract_markers/review_md/DOI_10.1038_s41586-020-2922-4.md</t>
        </is>
      </c>
      <c r="N42" t="inlineStr">
        <is>
          <t>2026-08-14</t>
        </is>
      </c>
      <c r="O42" t="inlineStr">
        <is>
          <t>markdown_review_no_formal: Markdown定向复核未发现作者直接给出的正式PNS marker；窗口共现或比较文献基因不录入</t>
        </is>
      </c>
    </row>
    <row r="43">
      <c r="A43" t="inlineStr">
        <is>
          <t>B20260814-003</t>
        </is>
      </c>
      <c r="B43" t="n">
        <v>7</v>
      </c>
      <c r="C43" t="inlineStr">
        <is>
          <t>DOI_10.1038_s41586-021-04345-x</t>
        </is>
      </c>
      <c r="D43" t="inlineStr">
        <is>
          <t>DOI_10.1038_s41586-021-04345-x</t>
        </is>
      </c>
      <c r="E43" t="inlineStr">
        <is>
          <t>Local and systemic responses to SARS-CoV-2 infection in children and adults.</t>
        </is>
      </c>
      <c r="F43" t="inlineStr">
        <is>
          <t>quick_consistency</t>
        </is>
      </c>
      <c r="G43" t="n">
        <v>0</v>
      </c>
      <c r="H43" t="n">
        <v>0</v>
      </c>
      <c r="I43" t="n">
        <v>0</v>
      </c>
      <c r="J43" t="n">
        <v>0</v>
      </c>
      <c r="K43" t="n">
        <v>0</v>
      </c>
      <c r="L43" t="n">
        <v>0</v>
      </c>
      <c r="M43" t="inlineStr">
        <is>
          <t>scripts/extract_markers/review_md/DOI_10.1038_s41586-021-04345-x.md</t>
        </is>
      </c>
      <c r="N43" t="inlineStr">
        <is>
          <t>2026-08-14</t>
        </is>
      </c>
      <c r="O43" t="inlineStr">
        <is>
          <t>needs_manual_review: Markdown提及PNS细胞，但marker疑位于未完整转换的图表或补充材料，暂不强行录入</t>
        </is>
      </c>
    </row>
    <row r="44">
      <c r="A44" t="inlineStr">
        <is>
          <t>B20260814-003</t>
        </is>
      </c>
      <c r="B44" t="n">
        <v>8</v>
      </c>
      <c r="C44" t="inlineStr">
        <is>
          <t>DOI_10.1016_j.jcf.2025.01.016</t>
        </is>
      </c>
      <c r="D44" t="inlineStr">
        <is>
          <t>DOI_10.1016_j.jcf.2025.01.016</t>
        </is>
      </c>
      <c r="E44" t="inlineStr">
        <is>
          <t>Evidence for altered immune-structural cell crosstalk in cystic fibrosis revealed by single cell transcriptomics.</t>
        </is>
      </c>
      <c r="F44" t="inlineStr">
        <is>
          <t>quick_consistency</t>
        </is>
      </c>
      <c r="G44" t="n">
        <v>0</v>
      </c>
      <c r="H44" t="n">
        <v>0</v>
      </c>
      <c r="I44" t="n">
        <v>0</v>
      </c>
      <c r="J44" t="n">
        <v>0</v>
      </c>
      <c r="K44" t="n">
        <v>0</v>
      </c>
      <c r="L44" t="n">
        <v>0</v>
      </c>
      <c r="M44" t="inlineStr">
        <is>
          <t>scripts/extract_markers/review_md/DOI_10.1016_j.jcf.2025.01.016.md</t>
        </is>
      </c>
      <c r="N44" t="inlineStr">
        <is>
          <t>2026-08-14</t>
        </is>
      </c>
      <c r="O44" t="inlineStr">
        <is>
          <t>markdown_review_no_formal: Markdown定向复核未发现作者直接给出的正式PNS marker；窗口共现或比较文献基因不录入</t>
        </is>
      </c>
    </row>
    <row r="45">
      <c r="A45" t="inlineStr">
        <is>
          <t>B20260814-003</t>
        </is>
      </c>
      <c r="B45" t="n">
        <v>9</v>
      </c>
      <c r="C45" t="inlineStr">
        <is>
          <t>DOI_10.1016_j.cell.2022.11.005</t>
        </is>
      </c>
      <c r="D45" t="inlineStr">
        <is>
          <t>DOI_10.1016_j.cell.2022.11.005</t>
        </is>
      </c>
      <c r="E45" t="inlineStr">
        <is>
          <t>A human fetal lung cell atlas uncovers proximal-distal gradients of differentiation and key regulators of epithelial fates.</t>
        </is>
      </c>
      <c r="F45" t="inlineStr">
        <is>
          <t>quick_consistency</t>
        </is>
      </c>
      <c r="G45" t="n">
        <v>5</v>
      </c>
      <c r="H45" t="n">
        <v>4</v>
      </c>
      <c r="I45" t="n">
        <v>4</v>
      </c>
      <c r="J45" t="n">
        <v>1</v>
      </c>
      <c r="K45" t="n">
        <v>0</v>
      </c>
      <c r="L45" t="n">
        <v>4</v>
      </c>
      <c r="M45" t="inlineStr">
        <is>
          <t>scripts/extract_markers/review_md/DOI_10.1016_j.cell.2022.11.005.md</t>
        </is>
      </c>
      <c r="N45" t="inlineStr">
        <is>
          <t>2026-08-14</t>
        </is>
      </c>
      <c r="O45" t="inlineStr">
        <is>
          <t>markdown_review_imported: GLM预筛后经Markdown定向复核，批准并录入4条；窗口误配候选已剔除</t>
        </is>
      </c>
    </row>
    <row r="46">
      <c r="A46" t="inlineStr">
        <is>
          <t>B20260814-003</t>
        </is>
      </c>
      <c r="B46" t="n">
        <v>11</v>
      </c>
      <c r="C46" t="inlineStr">
        <is>
          <t>DOI_10.7554_elife.62522</t>
        </is>
      </c>
      <c r="D46" t="inlineStr">
        <is>
          <t>DOI_10.7554_elife.62522</t>
        </is>
      </c>
      <c r="E46" t="inlineStr">
        <is>
          <t>Single-cell multiomic profiling of human lungs reveals cell-type-specific and age-dynamic control of SARS-CoV2 host genes.</t>
        </is>
      </c>
      <c r="F46" t="inlineStr">
        <is>
          <t>quick_consistency</t>
        </is>
      </c>
      <c r="G46" t="n">
        <v>0</v>
      </c>
      <c r="H46" t="n">
        <v>0</v>
      </c>
      <c r="I46" t="n">
        <v>0</v>
      </c>
      <c r="J46" t="n">
        <v>0</v>
      </c>
      <c r="K46" t="n">
        <v>0</v>
      </c>
      <c r="L46" t="n">
        <v>0</v>
      </c>
      <c r="M46" t="inlineStr">
        <is>
          <t>scripts/extract_markers/review_md/DOI_10.7554_elife.62522.md</t>
        </is>
      </c>
      <c r="N46" t="inlineStr">
        <is>
          <t>2026-08-14</t>
        </is>
      </c>
      <c r="O46" t="inlineStr">
        <is>
          <t>needs_manual_review: Markdown提及PNS细胞，但marker疑位于未完整转换的图表或补充材料，暂不强行录入</t>
        </is>
      </c>
    </row>
    <row r="47">
      <c r="A47" t="inlineStr">
        <is>
          <t>B20260814-003</t>
        </is>
      </c>
      <c r="B47" t="n">
        <v>12</v>
      </c>
      <c r="C47" t="inlineStr">
        <is>
          <t>DOI_10.1038_s44318-024-00328-6</t>
        </is>
      </c>
      <c r="D47" t="inlineStr">
        <is>
          <t>DOI_10.1038_s44318-024-00328-6</t>
        </is>
      </c>
      <c r="E47" t="inlineStr">
        <is>
          <t>A novel human fetal lung-derived alveolar organoid model reveals mechanisms of surfactant protein C maturation relevant to interstitial lung disease.</t>
        </is>
      </c>
      <c r="F47" t="inlineStr">
        <is>
          <t>quick_consistency</t>
        </is>
      </c>
      <c r="G47" t="n">
        <v>3</v>
      </c>
      <c r="H47" t="n">
        <v>3</v>
      </c>
      <c r="I47" t="n">
        <v>3</v>
      </c>
      <c r="J47" t="n">
        <v>0</v>
      </c>
      <c r="K47" t="n">
        <v>0</v>
      </c>
      <c r="L47" t="n">
        <v>3</v>
      </c>
      <c r="M47" t="inlineStr">
        <is>
          <t>scripts/extract_markers/review_md/DOI_10.1038_s44318-024-00328-6.md</t>
        </is>
      </c>
      <c r="N47" t="inlineStr">
        <is>
          <t>2026-08-14</t>
        </is>
      </c>
      <c r="O47" t="inlineStr">
        <is>
          <t>markdown_review_imported: GLM预筛后经Markdown定向复核，批准并录入3条；窗口误配候选已剔除</t>
        </is>
      </c>
    </row>
    <row r="48">
      <c r="A48" t="inlineStr">
        <is>
          <t>B20260814-003</t>
        </is>
      </c>
      <c r="B48" t="n">
        <v>13</v>
      </c>
      <c r="C48" t="inlineStr">
        <is>
          <t>DOI_10.1126_sciimmunol.adf9988</t>
        </is>
      </c>
      <c r="D48" t="inlineStr">
        <is>
          <t>DOI_10.1126_sciimmunol.adf9988</t>
        </is>
      </c>
      <c r="E48" t="inlineStr">
        <is>
          <t>Early human lung immune cell development and its role in epithelial cell fate.</t>
        </is>
      </c>
      <c r="F48" t="inlineStr">
        <is>
          <t>quick_consistency</t>
        </is>
      </c>
      <c r="G48" t="n">
        <v>0</v>
      </c>
      <c r="H48" t="n">
        <v>0</v>
      </c>
      <c r="I48" t="n">
        <v>0</v>
      </c>
      <c r="J48" t="n">
        <v>0</v>
      </c>
      <c r="K48" t="n">
        <v>0</v>
      </c>
      <c r="L48" t="n">
        <v>0</v>
      </c>
      <c r="M48" t="inlineStr">
        <is>
          <t>scripts/extract_markers/review_md/DOI_10.1126_sciimmunol.adf9988.md</t>
        </is>
      </c>
      <c r="N48" t="inlineStr">
        <is>
          <t>2026-08-14</t>
        </is>
      </c>
      <c r="O48" t="inlineStr">
        <is>
          <t>markdown_review_no_formal: Markdown定向复核未发现作者直接给出的正式PNS marker；窗口共现或比较文献基因不录入</t>
        </is>
      </c>
    </row>
    <row r="49">
      <c r="A49" t="inlineStr">
        <is>
          <t>B20260814-003</t>
        </is>
      </c>
      <c r="B49" t="n">
        <v>15</v>
      </c>
      <c r="C49" t="inlineStr">
        <is>
          <t>DOI_10.1038_s41467-023-40173-5</t>
        </is>
      </c>
      <c r="D49" t="inlineStr">
        <is>
          <t>DOI_10.1038_s41467-023-40173-5</t>
        </is>
      </c>
      <c r="E49" t="inlineStr">
        <is>
          <t>Guided construction of single cell reference for human and mouse lung.</t>
        </is>
      </c>
      <c r="F49" t="inlineStr">
        <is>
          <t>quick_consistency</t>
        </is>
      </c>
      <c r="G49" t="n">
        <v>0</v>
      </c>
      <c r="H49" t="n">
        <v>0</v>
      </c>
      <c r="I49" t="n">
        <v>0</v>
      </c>
      <c r="J49" t="n">
        <v>0</v>
      </c>
      <c r="K49" t="n">
        <v>0</v>
      </c>
      <c r="L49" t="n">
        <v>0</v>
      </c>
      <c r="M49" t="inlineStr">
        <is>
          <t>scripts/extract_markers/review_md/DOI_10.1038_s41467-023-40173-5.md</t>
        </is>
      </c>
      <c r="N49" t="inlineStr">
        <is>
          <t>2026-08-14</t>
        </is>
      </c>
      <c r="O49" t="inlineStr">
        <is>
          <t>needs_manual_review: Markdown提及PNS细胞，但marker疑位于未完整转换的图表或补充材料，暂不强行录入</t>
        </is>
      </c>
    </row>
    <row r="50">
      <c r="A50" t="inlineStr">
        <is>
          <t>B20260814-003</t>
        </is>
      </c>
      <c r="B50" t="n">
        <v>16</v>
      </c>
      <c r="C50" t="inlineStr">
        <is>
          <t>DOI_10.1038_s41588-024-01702-0</t>
        </is>
      </c>
      <c r="D50" t="inlineStr">
        <is>
          <t>DOI_10.1038_s41588-024-01702-0</t>
        </is>
      </c>
      <c r="E50" t="inlineStr">
        <is>
          <t>Cell-type-specific and disease-associated expression quantitative trait loci in the human lung.</t>
        </is>
      </c>
      <c r="F50" t="inlineStr">
        <is>
          <t>quick_consistency</t>
        </is>
      </c>
      <c r="G50" t="n">
        <v>0</v>
      </c>
      <c r="H50" t="n">
        <v>0</v>
      </c>
      <c r="I50" t="n">
        <v>0</v>
      </c>
      <c r="J50" t="n">
        <v>0</v>
      </c>
      <c r="K50" t="n">
        <v>0</v>
      </c>
      <c r="L50" t="n">
        <v>0</v>
      </c>
      <c r="M50" t="inlineStr">
        <is>
          <t>scripts/extract_markers/review_md/DOI_10.1038_s41588-024-01702-0.md</t>
        </is>
      </c>
      <c r="N50" t="inlineStr">
        <is>
          <t>2026-08-14</t>
        </is>
      </c>
      <c r="O50" t="inlineStr">
        <is>
          <t>markdown_review_no_formal: Markdown定向复核未发现作者直接给出的正式PNS marker；窗口共现或比较文献基因不录入</t>
        </is>
      </c>
    </row>
    <row r="51">
      <c r="A51" t="inlineStr">
        <is>
          <t>B20260814-003</t>
        </is>
      </c>
      <c r="B51" t="n">
        <v>17</v>
      </c>
      <c r="C51" t="inlineStr">
        <is>
          <t>DOI_10.1038_s41586-021-03569-1</t>
        </is>
      </c>
      <c r="D51" t="inlineStr">
        <is>
          <t>DOI_10.1038_s41586-021-03569-1</t>
        </is>
      </c>
      <c r="E51" t="inlineStr">
        <is>
          <t>A molecular single-cell lung atlas of lethal COVID-19.</t>
        </is>
      </c>
      <c r="F51" t="inlineStr">
        <is>
          <t>quick_consistency</t>
        </is>
      </c>
      <c r="G51" t="n">
        <v>0</v>
      </c>
      <c r="H51" t="n">
        <v>0</v>
      </c>
      <c r="I51" t="n">
        <v>0</v>
      </c>
      <c r="J51" t="n">
        <v>0</v>
      </c>
      <c r="K51" t="n">
        <v>0</v>
      </c>
      <c r="L51" t="n">
        <v>0</v>
      </c>
      <c r="M51" t="inlineStr">
        <is>
          <t>scripts/extract_markers/review_md/DOI_10.1038_s41586-021-03569-1.md</t>
        </is>
      </c>
      <c r="N51" t="inlineStr">
        <is>
          <t>2026-08-14</t>
        </is>
      </c>
      <c r="O51" t="inlineStr">
        <is>
          <t>needs_manual_review: Markdown提及PNS细胞，但marker疑位于未完整转换的图表或补充材料，暂不强行录入</t>
        </is>
      </c>
    </row>
    <row r="52">
      <c r="A52" t="inlineStr">
        <is>
          <t>B20260814-003</t>
        </is>
      </c>
      <c r="B52" t="n">
        <v>18</v>
      </c>
      <c r="C52" t="inlineStr">
        <is>
          <t>DOI_10.1016_j.stem.2022.11.013</t>
        </is>
      </c>
      <c r="D52" t="inlineStr">
        <is>
          <t>DOI_10.1016_j.stem.2022.11.013</t>
        </is>
      </c>
      <c r="E52" t="inlineStr">
        <is>
          <t>Organoid modeling of human fetal lung alveolar development reveals mechanisms of cell fate patterning and neonatal respiratory disease.</t>
        </is>
      </c>
      <c r="F52" t="inlineStr">
        <is>
          <t>quick_consistency</t>
        </is>
      </c>
      <c r="G52" t="n">
        <v>1</v>
      </c>
      <c r="H52" t="n">
        <v>0</v>
      </c>
      <c r="I52" t="n">
        <v>0</v>
      </c>
      <c r="J52" t="n">
        <v>1</v>
      </c>
      <c r="K52" t="n">
        <v>0</v>
      </c>
      <c r="L52" t="n">
        <v>0</v>
      </c>
      <c r="M52" t="inlineStr">
        <is>
          <t>scripts/extract_markers/review_md/DOI_10.1016_j.stem.2022.11.013.md</t>
        </is>
      </c>
      <c r="N52" t="inlineStr">
        <is>
          <t>2026-08-14</t>
        </is>
      </c>
      <c r="O52" t="inlineStr">
        <is>
          <t>markdown_review_no_formal: Markdown定向复核未发现作者直接给出的正式PNS marker；窗口共现或比较文献基因不录入</t>
        </is>
      </c>
    </row>
    <row r="53">
      <c r="A53" t="inlineStr">
        <is>
          <t>B20260814-003</t>
        </is>
      </c>
      <c r="B53" t="n">
        <v>20</v>
      </c>
      <c r="C53" t="inlineStr">
        <is>
          <t>DOI_10.1016_j.cell.2021.07.023</t>
        </is>
      </c>
      <c r="D53" t="inlineStr">
        <is>
          <t>DOI_10.1016_j.cell.2021.07.023</t>
        </is>
      </c>
      <c r="E53" t="inlineStr">
        <is>
          <t>Impaired local intrinsic immunity to SARS-CoV-2 infection in severe COVID-19.</t>
        </is>
      </c>
      <c r="F53" t="inlineStr">
        <is>
          <t>quick_consistency</t>
        </is>
      </c>
      <c r="G53" t="n">
        <v>0</v>
      </c>
      <c r="H53" t="n">
        <v>0</v>
      </c>
      <c r="I53" t="n">
        <v>0</v>
      </c>
      <c r="J53" t="n">
        <v>0</v>
      </c>
      <c r="K53" t="n">
        <v>0</v>
      </c>
      <c r="L53" t="n">
        <v>0</v>
      </c>
      <c r="M53" t="inlineStr">
        <is>
          <t>scripts/extract_markers/review_md/DOI_10.1016_j.cell.2021.07.023.md</t>
        </is>
      </c>
      <c r="N53" t="inlineStr">
        <is>
          <t>2026-08-14</t>
        </is>
      </c>
      <c r="O53" t="inlineStr">
        <is>
          <t>needs_manual_review: Markdown提及PNS细胞，但marker疑位于未完整转换的图表或补充材料，暂不强行录入</t>
        </is>
      </c>
    </row>
    <row r="54">
      <c r="A54" t="inlineStr">
        <is>
          <t>B20260814-003</t>
        </is>
      </c>
      <c r="B54" t="n">
        <v>21</v>
      </c>
      <c r="C54" t="inlineStr">
        <is>
          <t>DOI_10.64898_2025.12.18.695268</t>
        </is>
      </c>
      <c r="D54" t="inlineStr">
        <is>
          <t>DOI_10.64898_2025.12.18.695268</t>
        </is>
      </c>
      <c r="E54" t="inlineStr">
        <is>
          <t>A poly(A) isoform–aware single-cell and spatial atlas defines fibroblast niches in the human bladder</t>
        </is>
      </c>
      <c r="F54" t="inlineStr">
        <is>
          <t>quick_consistency</t>
        </is>
      </c>
      <c r="G54" t="n">
        <v>5</v>
      </c>
      <c r="H54" t="n">
        <v>2</v>
      </c>
      <c r="I54" t="n">
        <v>2</v>
      </c>
      <c r="J54" t="n">
        <v>3</v>
      </c>
      <c r="K54" t="n">
        <v>0</v>
      </c>
      <c r="L54" t="n">
        <v>2</v>
      </c>
      <c r="M54" t="inlineStr">
        <is>
          <t>scripts/extract_markers/review_md/DOI_10.64898_2025.12.18.695268.md</t>
        </is>
      </c>
      <c r="N54" t="inlineStr">
        <is>
          <t>2026-08-14</t>
        </is>
      </c>
      <c r="O54" t="inlineStr">
        <is>
          <t>markdown_review_imported: GLM预筛后经Markdown定向复核，批准并录入2条；窗口误配候选已剔除</t>
        </is>
      </c>
    </row>
    <row r="55">
      <c r="A55" t="inlineStr">
        <is>
          <t>B20260814-003</t>
        </is>
      </c>
      <c r="B55" t="n">
        <v>22</v>
      </c>
      <c r="C55" t="inlineStr">
        <is>
          <t>DOI_10.1126_science.aat5031</t>
        </is>
      </c>
      <c r="D55" t="inlineStr">
        <is>
          <t>DOI_10.1126_science.aat5031</t>
        </is>
      </c>
      <c r="E55" t="inlineStr">
        <is>
          <t>Spatiotemporal immune zonation of the human kidney.</t>
        </is>
      </c>
      <c r="F55" t="inlineStr">
        <is>
          <t>quick_consistency</t>
        </is>
      </c>
      <c r="G55" t="n">
        <v>0</v>
      </c>
      <c r="H55" t="n">
        <v>0</v>
      </c>
      <c r="I55" t="n">
        <v>0</v>
      </c>
      <c r="J55" t="n">
        <v>0</v>
      </c>
      <c r="K55" t="n">
        <v>0</v>
      </c>
      <c r="L55" t="n">
        <v>0</v>
      </c>
      <c r="M55" t="inlineStr">
        <is>
          <t>scripts/extract_markers/review_md/DOI_10.1126_science.aat5031.md</t>
        </is>
      </c>
      <c r="N55" t="inlineStr">
        <is>
          <t>2026-08-14</t>
        </is>
      </c>
      <c r="O55" t="inlineStr">
        <is>
          <t>markdown_review_no_formal: Markdown定向复核未发现作者直接给出的正式PNS marker；窗口共现或比较文献基因不录入</t>
        </is>
      </c>
    </row>
    <row r="56">
      <c r="A56" t="inlineStr">
        <is>
          <t>B20260814-003</t>
        </is>
      </c>
      <c r="B56" t="n">
        <v>24</v>
      </c>
      <c r="C56" t="inlineStr">
        <is>
          <t>DOI_10.1002_pros.24020</t>
        </is>
      </c>
      <c r="D56" t="inlineStr">
        <is>
          <t>DOI_10.1002_pros.24020</t>
        </is>
      </c>
      <c r="E56" t="inlineStr">
        <is>
          <t>Urethral luminal epithelia are castration-insensitive cells of the proximal prostate.</t>
        </is>
      </c>
      <c r="F56" t="inlineStr">
        <is>
          <t>quick_consistency</t>
        </is>
      </c>
      <c r="G56" t="n">
        <v>1</v>
      </c>
      <c r="H56" t="n">
        <v>2</v>
      </c>
      <c r="I56" t="n">
        <v>2</v>
      </c>
      <c r="J56" t="n">
        <v>0</v>
      </c>
      <c r="K56" t="n">
        <v>0</v>
      </c>
      <c r="L56" t="n">
        <v>2</v>
      </c>
      <c r="M56" t="inlineStr">
        <is>
          <t>scripts/extract_markers/review_md/DOI_10.1002_pros.24020.md</t>
        </is>
      </c>
      <c r="N56" t="inlineStr">
        <is>
          <t>2026-08-14</t>
        </is>
      </c>
      <c r="O56" t="inlineStr">
        <is>
          <t>markdown_review_imported: GLM预筛后经Markdown定向复核，批准并录入2条；窗口误配候选已剔除</t>
        </is>
      </c>
    </row>
    <row r="57">
      <c r="A57" t="inlineStr">
        <is>
          <t>B20260814-003</t>
        </is>
      </c>
      <c r="B57" t="n">
        <v>28</v>
      </c>
      <c r="C57" t="inlineStr">
        <is>
          <t>DOI_10.1016_j.cell.2017.09.004</t>
        </is>
      </c>
      <c r="D57" t="inlineStr">
        <is>
          <t>DOI_10.1016_j.cell.2017.09.004</t>
        </is>
      </c>
      <c r="E57" t="inlineStr">
        <is>
          <t>Single-Cell Analysis of Human Pancreas Reveals Transcriptional Signatures of Aging and Somatic Mutation Patterns.</t>
        </is>
      </c>
      <c r="F57" t="inlineStr">
        <is>
          <t>quick_consistency</t>
        </is>
      </c>
      <c r="G57" t="n">
        <v>0</v>
      </c>
      <c r="H57" t="n">
        <v>0</v>
      </c>
      <c r="I57" t="n">
        <v>0</v>
      </c>
      <c r="J57" t="n">
        <v>0</v>
      </c>
      <c r="K57" t="n">
        <v>0</v>
      </c>
      <c r="L57" t="n">
        <v>0</v>
      </c>
      <c r="M57" t="inlineStr">
        <is>
          <t>scripts/extract_markers/review_md/DOI_10.1016_j.cell.2017.09.004.md</t>
        </is>
      </c>
      <c r="N57" t="inlineStr">
        <is>
          <t>2026-08-14</t>
        </is>
      </c>
      <c r="O57" t="inlineStr">
        <is>
          <t>markdown_review_no_formal: Markdown定向复核未发现作者直接给出的正式PNS marker；窗口共现或比较文献基因不录入</t>
        </is>
      </c>
    </row>
    <row r="58">
      <c r="A58" t="inlineStr">
        <is>
          <t>B20260814-003</t>
        </is>
      </c>
      <c r="B58" t="n">
        <v>29</v>
      </c>
      <c r="C58" t="inlineStr">
        <is>
          <t>DOI_10.1038_s41591-024-03215-z</t>
        </is>
      </c>
      <c r="D58" t="inlineStr">
        <is>
          <t>DOI_10.1038_s41591-024-03215-z</t>
        </is>
      </c>
      <c r="E58" t="inlineStr">
        <is>
          <t>A multi-modal single-cell and spatial expression map of metastatic breast cancer biopsies across clinicopathological features.</t>
        </is>
      </c>
      <c r="F58" t="inlineStr">
        <is>
          <t>quick_consistency</t>
        </is>
      </c>
      <c r="G58" t="n">
        <v>2</v>
      </c>
      <c r="H58" t="n">
        <v>0</v>
      </c>
      <c r="I58" t="n">
        <v>0</v>
      </c>
      <c r="J58" t="n">
        <v>2</v>
      </c>
      <c r="K58" t="n">
        <v>0</v>
      </c>
      <c r="L58" t="n">
        <v>0</v>
      </c>
      <c r="M58" t="inlineStr">
        <is>
          <t>scripts/extract_markers/review_md/DOI_10.1038_s41591-024-03215-z.md</t>
        </is>
      </c>
      <c r="N58" t="inlineStr">
        <is>
          <t>2026-08-14</t>
        </is>
      </c>
      <c r="O58" t="inlineStr">
        <is>
          <t>markdown_review_no_formal: Markdown定向复核未发现作者直接给出的正式PNS marker；窗口共现或比较文献基因不录入</t>
        </is>
      </c>
    </row>
    <row r="59">
      <c r="A59" t="inlineStr">
        <is>
          <t>B20260814-003</t>
        </is>
      </c>
      <c r="B59" t="n">
        <v>30</v>
      </c>
      <c r="C59" t="inlineStr">
        <is>
          <t>DOI_10.1038_s42003-021-02562-8</t>
        </is>
      </c>
      <c r="D59" t="inlineStr">
        <is>
          <t>DOI_10.1038_s42003-021-02562-8</t>
        </is>
      </c>
      <c r="E59" t="inlineStr">
        <is>
          <t>Identification of distinct tumor cell populations and key genetic mechanisms through single cell sequencing in hepatoblastoma.</t>
        </is>
      </c>
      <c r="F59" t="inlineStr">
        <is>
          <t>quick_consistency</t>
        </is>
      </c>
      <c r="G59" t="n">
        <v>0</v>
      </c>
      <c r="H59" t="n">
        <v>0</v>
      </c>
      <c r="I59" t="n">
        <v>0</v>
      </c>
      <c r="J59" t="n">
        <v>0</v>
      </c>
      <c r="K59" t="n">
        <v>0</v>
      </c>
      <c r="L59" t="n">
        <v>0</v>
      </c>
      <c r="M59" t="inlineStr">
        <is>
          <t>scripts/extract_markers/review_md/DOI_10.1038_s42003-021-02562-8.md</t>
        </is>
      </c>
      <c r="N59" t="inlineStr">
        <is>
          <t>2026-08-14</t>
        </is>
      </c>
      <c r="O59" t="inlineStr">
        <is>
          <t>markdown_review_no_formal: Markdown定向复核未发现作者直接给出的正式PNS marker；窗口共现或比较文献基因不录入</t>
        </is>
      </c>
    </row>
    <row r="60">
      <c r="A60" t="inlineStr">
        <is>
          <t>B20260814-003</t>
        </is>
      </c>
      <c r="B60" t="n">
        <v>32</v>
      </c>
      <c r="C60" t="inlineStr">
        <is>
          <t>DOI_10.1038_s41586-021-03929-x</t>
        </is>
      </c>
      <c r="D60" t="inlineStr">
        <is>
          <t>DOI_10.1038_s41586-021-03929-x</t>
        </is>
      </c>
      <c r="E60" t="inlineStr">
        <is>
          <t>Blood and immune development in human fetal bone marrow and Down syndrome.</t>
        </is>
      </c>
      <c r="F60" t="inlineStr">
        <is>
          <t>quick_consistency</t>
        </is>
      </c>
      <c r="G60" t="n">
        <v>0</v>
      </c>
      <c r="H60" t="n">
        <v>0</v>
      </c>
      <c r="I60" t="n">
        <v>0</v>
      </c>
      <c r="J60" t="n">
        <v>0</v>
      </c>
      <c r="K60" t="n">
        <v>0</v>
      </c>
      <c r="L60" t="n">
        <v>0</v>
      </c>
      <c r="M60" t="inlineStr">
        <is>
          <t>scripts/extract_markers/review_md/DOI_10.1038_s41586-021-03929-x.md</t>
        </is>
      </c>
      <c r="N60" t="inlineStr">
        <is>
          <t>2026-08-14</t>
        </is>
      </c>
      <c r="O60" t="inlineStr">
        <is>
          <t>markdown_review_no_formal: Markdown定向复核未发现作者直接给出的正式PNS marker；窗口共现或比较文献基因不录入</t>
        </is>
      </c>
    </row>
    <row r="61">
      <c r="A61" t="inlineStr">
        <is>
          <t>B20260814-003</t>
        </is>
      </c>
      <c r="B61" t="n">
        <v>33</v>
      </c>
      <c r="C61" t="inlineStr">
        <is>
          <t>DOI_10.1038_s41588-025-02182-6</t>
        </is>
      </c>
      <c r="D61" t="inlineStr">
        <is>
          <t>DOI_10.1038_s41588-025-02182-6</t>
        </is>
      </c>
      <c r="E61" t="inlineStr">
        <is>
          <t>An integrated transcriptomic cell atlas of human endoderm-derived organoids.</t>
        </is>
      </c>
      <c r="F61" t="inlineStr">
        <is>
          <t>quick_consistency</t>
        </is>
      </c>
      <c r="G61" t="n">
        <v>0</v>
      </c>
      <c r="H61" t="n">
        <v>0</v>
      </c>
      <c r="I61" t="n">
        <v>0</v>
      </c>
      <c r="J61" t="n">
        <v>0</v>
      </c>
      <c r="K61" t="n">
        <v>0</v>
      </c>
      <c r="L61" t="n">
        <v>0</v>
      </c>
      <c r="M61" t="inlineStr">
        <is>
          <t>scripts/extract_markers/review_md/DOI_10.1038_s41588-025-02182-6.md</t>
        </is>
      </c>
      <c r="N61" t="inlineStr">
        <is>
          <t>2026-08-14</t>
        </is>
      </c>
      <c r="O61" t="inlineStr">
        <is>
          <t>needs_manual_review: Markdown提及PNS细胞，但marker疑位于未完整转换的图表或补充材料，暂不强行录入</t>
        </is>
      </c>
    </row>
    <row r="62">
      <c r="A62" t="inlineStr">
        <is>
          <t>B20260814-003</t>
        </is>
      </c>
      <c r="B62" t="n">
        <v>34</v>
      </c>
      <c r="C62" t="inlineStr">
        <is>
          <t>DOI_10.1126_science.abl4290</t>
        </is>
      </c>
      <c r="D62" t="inlineStr">
        <is>
          <t>DOI_10.1126_science.abl4290</t>
        </is>
      </c>
      <c r="E62" t="inlineStr">
        <is>
          <t>Single-nucleus cross-tissue molecular reference maps toward understanding disease gene function.</t>
        </is>
      </c>
      <c r="F62" t="inlineStr">
        <is>
          <t>quick_consistency</t>
        </is>
      </c>
      <c r="G62" t="n">
        <v>1</v>
      </c>
      <c r="H62" t="n">
        <v>0</v>
      </c>
      <c r="I62" t="n">
        <v>0</v>
      </c>
      <c r="J62" t="n">
        <v>1</v>
      </c>
      <c r="K62" t="n">
        <v>0</v>
      </c>
      <c r="L62" t="n">
        <v>0</v>
      </c>
      <c r="M62" t="inlineStr">
        <is>
          <t>scripts/extract_markers/review_md/DOI_10.1126_science.abl4290.md</t>
        </is>
      </c>
      <c r="N62" t="inlineStr">
        <is>
          <t>2026-08-14</t>
        </is>
      </c>
      <c r="O62" t="inlineStr">
        <is>
          <t>markdown_review_no_formal: Markdown定向复核未发现作者直接给出的正式PNS marker；窗口共现或比较文献基因不录入</t>
        </is>
      </c>
    </row>
    <row r="63">
      <c r="A63" t="inlineStr">
        <is>
          <t>B20260814-003</t>
        </is>
      </c>
      <c r="B63" t="n">
        <v>35</v>
      </c>
      <c r="C63" t="inlineStr">
        <is>
          <t>DOI_10.1126_science.abo0510</t>
        </is>
      </c>
      <c r="D63" t="inlineStr">
        <is>
          <t>DOI_10.1126_science.abo0510</t>
        </is>
      </c>
      <c r="E63" t="inlineStr">
        <is>
          <t>Mapping the developing human immune system across organs.</t>
        </is>
      </c>
      <c r="F63" t="inlineStr">
        <is>
          <t>quick_consistency</t>
        </is>
      </c>
      <c r="G63" t="n">
        <v>0</v>
      </c>
      <c r="H63" t="n">
        <v>0</v>
      </c>
      <c r="I63" t="n">
        <v>0</v>
      </c>
      <c r="J63" t="n">
        <v>0</v>
      </c>
      <c r="K63" t="n">
        <v>0</v>
      </c>
      <c r="L63" t="n">
        <v>0</v>
      </c>
      <c r="M63" t="inlineStr">
        <is>
          <t>scripts/extract_markers/review_md/DOI_10.1126_science.abo0510.md</t>
        </is>
      </c>
      <c r="N63" t="inlineStr">
        <is>
          <t>2026-08-14</t>
        </is>
      </c>
      <c r="O63" t="inlineStr">
        <is>
          <t>markdown_review_no_formal: Markdown定向复核未发现作者直接给出的正式PNS marker；窗口共现或比较文献基因不录入</t>
        </is>
      </c>
    </row>
    <row r="64">
      <c r="A64" t="inlineStr">
        <is>
          <t>B20260814-003</t>
        </is>
      </c>
      <c r="B64" t="n">
        <v>39</v>
      </c>
      <c r="C64" t="inlineStr">
        <is>
          <t>DOI_10.1101_2025.09.26.678707</t>
        </is>
      </c>
      <c r="D64" t="inlineStr">
        <is>
          <t>DOI_10.1101_2025.09.26.678707</t>
        </is>
      </c>
      <c r="E64" t="inlineStr">
        <is>
          <t>Cellular and Spatial Drivers of Unresolved Injury and Functional Decline in the Human Kidney</t>
        </is>
      </c>
      <c r="F64" t="inlineStr">
        <is>
          <t>quick_consistency</t>
        </is>
      </c>
      <c r="G64" t="n">
        <v>0</v>
      </c>
      <c r="H64" t="n">
        <v>0</v>
      </c>
      <c r="I64" t="n">
        <v>0</v>
      </c>
      <c r="J64" t="n">
        <v>0</v>
      </c>
      <c r="K64" t="n">
        <v>0</v>
      </c>
      <c r="L64" t="n">
        <v>0</v>
      </c>
      <c r="M64" t="inlineStr">
        <is>
          <t>scripts/extract_markers/review_md/DOI_10.1101_2025.09.26.678707.md</t>
        </is>
      </c>
      <c r="N64" t="inlineStr">
        <is>
          <t>2026-08-14</t>
        </is>
      </c>
      <c r="O64" t="inlineStr">
        <is>
          <t>needs_manual_review: Markdown提及PNS细胞，但marker疑位于未完整转换的图表或补充材料，暂不强行录入</t>
        </is>
      </c>
    </row>
    <row r="65">
      <c r="A65" t="inlineStr">
        <is>
          <t>B20260814-003</t>
        </is>
      </c>
      <c r="B65" t="n">
        <v>40</v>
      </c>
      <c r="C65" t="inlineStr">
        <is>
          <t>DOI_10.1038_s41467-021-21783-3</t>
        </is>
      </c>
      <c r="D65" t="inlineStr">
        <is>
          <t>DOI_10.1038_s41467-021-21783-3</t>
        </is>
      </c>
      <c r="E65" t="inlineStr">
        <is>
          <t>Time-resolved single-cell analysis of Brca1 associated mammary tumourigenesis reveals aberrant differentiation of luminal progenitors.</t>
        </is>
      </c>
      <c r="F65" t="inlineStr">
        <is>
          <t>quick_consistency</t>
        </is>
      </c>
      <c r="G65" t="n">
        <v>0</v>
      </c>
      <c r="H65" t="n">
        <v>0</v>
      </c>
      <c r="I65" t="n">
        <v>0</v>
      </c>
      <c r="J65" t="n">
        <v>0</v>
      </c>
      <c r="K65" t="n">
        <v>0</v>
      </c>
      <c r="L65" t="n">
        <v>0</v>
      </c>
      <c r="M65" t="inlineStr">
        <is>
          <t>scripts/extract_markers/review_md/DOI_10.1038_s41467-021-21783-3.md</t>
        </is>
      </c>
      <c r="N65" t="inlineStr">
        <is>
          <t>2026-08-14</t>
        </is>
      </c>
      <c r="O65" t="inlineStr">
        <is>
          <t>markdown_review_no_formal: Markdown定向复核未发现作者直接给出的正式PNS marker；窗口共现或比较文献基因不录入</t>
        </is>
      </c>
    </row>
    <row r="66">
      <c r="A66" t="inlineStr">
        <is>
          <t>B20260814-003</t>
        </is>
      </c>
      <c r="B66" t="n">
        <v>43</v>
      </c>
      <c r="C66" t="inlineStr">
        <is>
          <t>DOI_10.1038_s41586-020-2496-1</t>
        </is>
      </c>
      <c r="D66" t="inlineStr">
        <is>
          <t>DOI_10.1038_s41586-020-2496-1</t>
        </is>
      </c>
      <c r="E66" t="inlineStr">
        <is>
          <t>A single-cell transcriptomic atlas characterizes ageing tissues in the mouse.</t>
        </is>
      </c>
      <c r="F66" t="inlineStr">
        <is>
          <t>quick_consistency</t>
        </is>
      </c>
      <c r="G66" t="n">
        <v>0</v>
      </c>
      <c r="H66" t="n">
        <v>0</v>
      </c>
      <c r="I66" t="n">
        <v>0</v>
      </c>
      <c r="J66" t="n">
        <v>0</v>
      </c>
      <c r="K66" t="n">
        <v>0</v>
      </c>
      <c r="L66" t="n">
        <v>0</v>
      </c>
      <c r="M66" t="inlineStr">
        <is>
          <t>scripts/extract_markers/review_md/DOI_10.1038_s41586-020-2496-1.md</t>
        </is>
      </c>
      <c r="N66" t="inlineStr">
        <is>
          <t>2026-08-14</t>
        </is>
      </c>
      <c r="O66" t="inlineStr">
        <is>
          <t>markdown_review_no_formal: Markdown定向复核未发现作者直接给出的正式PNS marker；窗口共现或比较文献基因不录入</t>
        </is>
      </c>
    </row>
    <row r="67">
      <c r="A67" t="inlineStr">
        <is>
          <t>B20260814-003</t>
        </is>
      </c>
      <c r="B67" t="n">
        <v>44</v>
      </c>
      <c r="C67" t="inlineStr">
        <is>
          <t>DOI_10.1038_s42003-024-07315-x</t>
        </is>
      </c>
      <c r="D67" t="inlineStr">
        <is>
          <t>DOI_10.1038_s42003-024-07315-x</t>
        </is>
      </c>
      <c r="E67" t="inlineStr">
        <is>
          <t>Cross-species single-cell RNA-seq analysis reveals disparate and conserved cardiac and extracardiac inflammatory responses upon heart injury.</t>
        </is>
      </c>
      <c r="F67" t="inlineStr">
        <is>
          <t>quick_consistency</t>
        </is>
      </c>
      <c r="G67" t="n">
        <v>0</v>
      </c>
      <c r="H67" t="n">
        <v>0</v>
      </c>
      <c r="I67" t="n">
        <v>0</v>
      </c>
      <c r="J67" t="n">
        <v>0</v>
      </c>
      <c r="K67" t="n">
        <v>0</v>
      </c>
      <c r="L67" t="n">
        <v>0</v>
      </c>
      <c r="M67" t="inlineStr">
        <is>
          <t>scripts/extract_markers/review_md/DOI_10.1038_s42003-024-07315-x.md</t>
        </is>
      </c>
      <c r="N67" t="inlineStr">
        <is>
          <t>2026-08-14</t>
        </is>
      </c>
      <c r="O67" t="inlineStr">
        <is>
          <t>markdown_review_no_formal: Markdown定向复核未发现作者直接给出的正式PNS marker；窗口共现或比较文献基因不录入</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2026-08-14T06:11:33Z</dcterms:created>
  <dcterms:modified xsi:type="dcterms:W3CDTF">2026-08-14T08:21:01Z</dcterms:modified>
</cp:coreProperties>
</file>