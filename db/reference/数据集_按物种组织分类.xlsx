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全部" sheetId="2" state="visible" r:id="rId2"/>
    <sheet xmlns:r="http://schemas.openxmlformats.org/officeDocument/2006/relationships" name="人 Human" sheetId="3" state="visible" r:id="rId3"/>
    <sheet xmlns:r="http://schemas.openxmlformats.org/officeDocument/2006/relationships" name="鼠 Mouse" sheetId="4" state="visible" r:id="rId4"/>
    <sheet xmlns:r="http://schemas.openxmlformats.org/officeDocument/2006/relationships" name="人鼠 Mixed" sheetId="5" state="visible" r:id="rId5"/>
  </sheets>
  <definedNames>
    <definedName name="_xlnm._FilterDatabase" localSheetId="1" hidden="1">'全部'!$A$1:$X$89</definedName>
    <definedName name="_xlnm._FilterDatabase" localSheetId="2" hidden="1">'人 Human'!$A$1:$X$72</definedName>
    <definedName name="_xlnm._FilterDatabase" localSheetId="3" hidden="1">'鼠 Mouse'!$A$1:$X$17</definedName>
    <definedName name="_xlnm._FilterDatabase" localSheetId="4" hidden="1">'人鼠 Mixed'!$A$1:$X$2</definedName>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name val="微软雅黑"/>
      <b val="1"/>
      <color rgb="00305496"/>
      <sz val="14"/>
    </font>
    <font>
      <name val="微软雅黑"/>
      <i val="1"/>
      <color rgb="00808080"/>
      <sz val="9"/>
    </font>
    <font>
      <name val="微软雅黑"/>
      <b val="1"/>
      <color rgb="00FFFFFF"/>
      <sz val="10"/>
    </font>
    <font>
      <name val="微软雅黑"/>
      <sz val="10"/>
    </font>
    <font>
      <name val="微软雅黑"/>
      <b val="1"/>
      <sz val="10"/>
    </font>
  </fonts>
  <fills count="19">
    <fill>
      <patternFill/>
    </fill>
    <fill>
      <patternFill patternType="gray125"/>
    </fill>
    <fill>
      <patternFill patternType="solid">
        <fgColor rgb="00305496"/>
      </patternFill>
    </fill>
    <fill>
      <patternFill patternType="solid">
        <fgColor rgb="00FFE5CC"/>
      </patternFill>
    </fill>
    <fill>
      <patternFill patternType="solid">
        <fgColor rgb="00FFF2CC"/>
      </patternFill>
    </fill>
    <fill>
      <patternFill patternType="solid">
        <fgColor rgb="00FCE4D6"/>
      </patternFill>
    </fill>
    <fill>
      <patternFill patternType="solid">
        <fgColor rgb="00F8CBAD"/>
      </patternFill>
    </fill>
    <fill>
      <patternFill patternType="solid">
        <fgColor rgb="00DDEBF7"/>
      </patternFill>
    </fill>
    <fill>
      <patternFill patternType="solid">
        <fgColor rgb="00D6E4F0"/>
      </patternFill>
    </fill>
    <fill>
      <patternFill patternType="solid">
        <fgColor rgb="00E6D5F2"/>
      </patternFill>
    </fill>
    <fill>
      <patternFill patternType="solid">
        <fgColor rgb="00E2EFDA"/>
      </patternFill>
    </fill>
    <fill>
      <patternFill patternType="solid">
        <fgColor rgb="00EDEDED"/>
      </patternFill>
    </fill>
    <fill>
      <patternFill patternType="solid">
        <fgColor rgb="00FFF0F5"/>
      </patternFill>
    </fill>
    <fill>
      <patternFill patternType="solid">
        <fgColor rgb="00FDE9D9"/>
      </patternFill>
    </fill>
    <fill>
      <patternFill patternType="solid">
        <fgColor rgb="00DAEEF3"/>
      </patternFill>
    </fill>
    <fill>
      <patternFill patternType="solid">
        <fgColor rgb="00E8F5E9"/>
      </patternFill>
    </fill>
    <fill>
      <patternFill patternType="solid">
        <fgColor rgb="00D9D9D9"/>
      </patternFill>
    </fill>
    <fill>
      <patternFill patternType="solid">
        <fgColor rgb="00D9E1F2"/>
      </patternFill>
    </fill>
    <fill>
      <patternFill patternType="solid">
        <fgColor rgb="00FFFF00"/>
        <b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pivotButton="0" quotePrefix="0" xfId="0"/>
    <xf numFmtId="164" fontId="4" fillId="0" borderId="1" applyAlignment="1" pivotButton="0" quotePrefix="0" xfId="0">
      <alignment horizontal="center"/>
    </xf>
    <xf numFmtId="3" fontId="5" fillId="0" borderId="1" applyAlignment="1" pivotButton="0" quotePrefix="0" xfId="0">
      <alignment horizontal="center"/>
    </xf>
    <xf numFmtId="3" fontId="4" fillId="0" borderId="1" applyAlignment="1" pivotButton="0" quotePrefix="0" xfId="0">
      <alignment horizontal="center"/>
    </xf>
    <xf numFmtId="0" fontId="4" fillId="4" borderId="1" pivotButton="0" quotePrefix="0" xfId="0"/>
    <xf numFmtId="0" fontId="4" fillId="5" borderId="1" pivotButton="0" quotePrefix="0" xfId="0"/>
    <xf numFmtId="0" fontId="4" fillId="6" borderId="1" pivotButton="0" quotePrefix="0" xfId="0"/>
    <xf numFmtId="0" fontId="4" fillId="7" borderId="1" pivotButton="0" quotePrefix="0" xfId="0"/>
    <xf numFmtId="0" fontId="4" fillId="8" borderId="1" pivotButton="0" quotePrefix="0" xfId="0"/>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4" fillId="13" borderId="1" pivotButton="0" quotePrefix="0" xfId="0"/>
    <xf numFmtId="0" fontId="4" fillId="14" borderId="1" pivotButton="0" quotePrefix="0" xfId="0"/>
    <xf numFmtId="0" fontId="4" fillId="15" borderId="1" pivotButton="0" quotePrefix="0" xfId="0"/>
    <xf numFmtId="0" fontId="4" fillId="16" borderId="1" pivotButton="0" quotePrefix="0" xfId="0"/>
    <xf numFmtId="0" fontId="5" fillId="17" borderId="1" pivotButton="0" quotePrefix="0" xfId="0"/>
    <xf numFmtId="3" fontId="5" fillId="17" borderId="1" applyAlignment="1" pivotButton="0" quotePrefix="0" xfId="0">
      <alignment horizontal="center"/>
    </xf>
    <xf numFmtId="0" fontId="4" fillId="0" borderId="1" applyAlignment="1" pivotButton="0" quotePrefix="0" xfId="0">
      <alignment vertical="center"/>
    </xf>
    <xf numFmtId="0" fontId="4" fillId="3" borderId="1" applyAlignment="1" pivotButton="0" quotePrefix="0" xfId="0">
      <alignment vertical="center"/>
    </xf>
    <xf numFmtId="3" fontId="4" fillId="0" borderId="1" applyAlignment="1" pivotButton="0" quotePrefix="0" xfId="0">
      <alignment vertical="center"/>
    </xf>
    <xf numFmtId="0" fontId="4" fillId="4" borderId="1" applyAlignment="1" pivotButton="0" quotePrefix="0" xfId="0">
      <alignment vertical="center"/>
    </xf>
    <xf numFmtId="0" fontId="4" fillId="5" borderId="1" applyAlignment="1" pivotButton="0" quotePrefix="0" xfId="0">
      <alignment vertical="center"/>
    </xf>
    <xf numFmtId="0" fontId="4" fillId="6" borderId="1" applyAlignment="1" pivotButton="0" quotePrefix="0" xfId="0">
      <alignment vertical="center"/>
    </xf>
    <xf numFmtId="0" fontId="4" fillId="7" borderId="1" applyAlignment="1" pivotButton="0" quotePrefix="0" xfId="0">
      <alignment vertical="center"/>
    </xf>
    <xf numFmtId="0" fontId="4" fillId="8" borderId="1" applyAlignment="1" pivotButton="0" quotePrefix="0" xfId="0">
      <alignment vertical="center"/>
    </xf>
    <xf numFmtId="0" fontId="4" fillId="9" borderId="1" applyAlignment="1" pivotButton="0" quotePrefix="0" xfId="0">
      <alignment vertical="center"/>
    </xf>
    <xf numFmtId="0" fontId="4" fillId="10" borderId="1" applyAlignment="1" pivotButton="0" quotePrefix="0" xfId="0">
      <alignment vertical="center"/>
    </xf>
    <xf numFmtId="0" fontId="4" fillId="11" borderId="1" applyAlignment="1" pivotButton="0" quotePrefix="0" xfId="0">
      <alignment vertical="center"/>
    </xf>
    <xf numFmtId="0" fontId="4" fillId="12" borderId="1" applyAlignment="1" pivotButton="0" quotePrefix="0" xfId="0">
      <alignment vertical="center"/>
    </xf>
    <xf numFmtId="0" fontId="4" fillId="13" borderId="1" applyAlignment="1" pivotButton="0" quotePrefix="0" xfId="0">
      <alignment vertical="center"/>
    </xf>
    <xf numFmtId="0" fontId="4" fillId="14" borderId="1" applyAlignment="1" pivotButton="0" quotePrefix="0" xfId="0">
      <alignment vertical="center"/>
    </xf>
    <xf numFmtId="0" fontId="4" fillId="16" borderId="1" applyAlignment="1" pivotButton="0" quotePrefix="0" xfId="0">
      <alignment vertical="center"/>
    </xf>
    <xf numFmtId="0" fontId="4" fillId="15" borderId="1" applyAlignment="1" pivotButton="0" quotePrefix="0" xfId="0">
      <alignment vertical="center"/>
    </xf>
    <xf numFmtId="0" fontId="3" fillId="0" borderId="0" pivotButton="0" quotePrefix="0" xfId="0"/>
    <xf numFmtId="0" fontId="4" fillId="18" borderId="1" applyAlignment="1" pivotButton="0" quotePrefix="0" xfId="0">
      <alignment vertical="center"/>
    </xf>
    <xf numFmtId="3" fontId="4" fillId="18" borderId="1" applyAlignment="1" pivotButton="0" quotePrefix="0" xfId="0">
      <alignment vertical="center"/>
    </xf>
    <xf numFmtId="0" fontId="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6" customWidth="1" min="1" max="1"/>
    <col width="15" customWidth="1" min="2" max="2"/>
    <col width="13" customWidth="1" min="3" max="3"/>
    <col width="16" customWidth="1" min="4" max="4"/>
    <col width="12" customWidth="1" min="5" max="5"/>
    <col width="14" customWidth="1" min="6" max="6"/>
  </cols>
  <sheetData>
    <row r="1">
      <c r="A1" s="1" t="inlineStr">
        <is>
          <t>外周神经 scRNA 数据集 · 按物种 × 组织系统大类 重新分类</t>
        </is>
      </c>
    </row>
    <row r="2">
      <c r="A2" s="2" t="inlineStr">
        <is>
          <t>来源：合并文献检索_四层整合版.xlsx（Tier-1 Catalog 真源）｜去重键=代表Dataset_ID｜共 88 个独立数据集｜生成日期 2026-06-14
说明：左侧 3 列「物种(中文)/组织系统大类/主组织」为便捷分析【派生列·非真源】；组织系统大类按 Tissue 关键词归纳，命中 ≥4 个不同系统判为「多器官图谱/全身」；原始 21 列完整保留。</t>
        </is>
      </c>
    </row>
    <row r="3"/>
    <row r="4"/>
    <row r="6">
      <c r="A6" s="3" t="inlineStr">
        <is>
          <t>组织系统大类</t>
        </is>
      </c>
      <c r="B6" s="3" t="inlineStr">
        <is>
          <t>人 Human</t>
        </is>
      </c>
      <c r="C6" s="3" t="inlineStr">
        <is>
          <t>鼠 Mouse</t>
        </is>
      </c>
      <c r="D6" s="3" t="inlineStr">
        <is>
          <t>人鼠 Human;Mouse</t>
        </is>
      </c>
      <c r="E6" s="3" t="inlineStr">
        <is>
          <t>数据集合计</t>
        </is>
      </c>
      <c r="F6" s="3" t="inlineStr">
        <is>
          <t>细胞数合计</t>
        </is>
      </c>
    </row>
    <row r="7">
      <c r="A7" s="4" t="inlineStr">
        <is>
          <t>周围神经节/神经干</t>
        </is>
      </c>
      <c r="B7" s="5">
        <f>COUNTIFS(全部!$A$2:$A$89,"人 Human",全部!$B$2:$B$89,$A7)</f>
        <v/>
      </c>
      <c r="C7" s="5">
        <f>COUNTIFS(全部!$A$2:$A$89,"鼠 Mouse",全部!$B$2:$B$89,$A7)</f>
        <v/>
      </c>
      <c r="D7" s="5">
        <f>COUNTIFS(全部!$A$2:$A$89,"人鼠 Human;Mouse",全部!$B$2:$B$89,$A7)</f>
        <v/>
      </c>
      <c r="E7" s="6">
        <f>SUM(B7:D7)</f>
        <v/>
      </c>
      <c r="F7" s="7">
        <f>SUMIFS(全部!$R$2:$R$89,全部!$B$2:$B$89,$A7)</f>
        <v/>
      </c>
    </row>
    <row r="8">
      <c r="A8" s="8" t="inlineStr">
        <is>
          <t>肠神经/消化道</t>
        </is>
      </c>
      <c r="B8" s="5">
        <f>COUNTIFS(全部!$A$2:$A$89,"人 Human",全部!$B$2:$B$89,$A8)</f>
        <v/>
      </c>
      <c r="C8" s="5">
        <f>COUNTIFS(全部!$A$2:$A$89,"鼠 Mouse",全部!$B$2:$B$89,$A8)</f>
        <v/>
      </c>
      <c r="D8" s="5">
        <f>COUNTIFS(全部!$A$2:$A$89,"人鼠 Human;Mouse",全部!$B$2:$B$89,$A8)</f>
        <v/>
      </c>
      <c r="E8" s="6">
        <f>SUM(B8:D8)</f>
        <v/>
      </c>
      <c r="F8" s="7">
        <f>SUMIFS(全部!$R$2:$R$89,全部!$B$2:$B$89,$A8)</f>
        <v/>
      </c>
    </row>
    <row r="9">
      <c r="A9" s="9" t="inlineStr">
        <is>
          <t>皮肤</t>
        </is>
      </c>
      <c r="B9" s="5">
        <f>COUNTIFS(全部!$A$2:$A$89,"人 Human",全部!$B$2:$B$89,$A9)</f>
        <v/>
      </c>
      <c r="C9" s="5">
        <f>COUNTIFS(全部!$A$2:$A$89,"鼠 Mouse",全部!$B$2:$B$89,$A9)</f>
        <v/>
      </c>
      <c r="D9" s="5">
        <f>COUNTIFS(全部!$A$2:$A$89,"人鼠 Human;Mouse",全部!$B$2:$B$89,$A9)</f>
        <v/>
      </c>
      <c r="E9" s="6">
        <f>SUM(B9:D9)</f>
        <v/>
      </c>
      <c r="F9" s="7">
        <f>SUMIFS(全部!$R$2:$R$89,全部!$B$2:$B$89,$A9)</f>
        <v/>
      </c>
    </row>
    <row r="10">
      <c r="A10" s="10" t="inlineStr">
        <is>
          <t>心血管</t>
        </is>
      </c>
      <c r="B10" s="5">
        <f>COUNTIFS(全部!$A$2:$A$89,"人 Human",全部!$B$2:$B$89,$A10)</f>
        <v/>
      </c>
      <c r="C10" s="5">
        <f>COUNTIFS(全部!$A$2:$A$89,"鼠 Mouse",全部!$B$2:$B$89,$A10)</f>
        <v/>
      </c>
      <c r="D10" s="5">
        <f>COUNTIFS(全部!$A$2:$A$89,"人鼠 Human;Mouse",全部!$B$2:$B$89,$A10)</f>
        <v/>
      </c>
      <c r="E10" s="6">
        <f>SUM(B10:D10)</f>
        <v/>
      </c>
      <c r="F10" s="7">
        <f>SUMIFS(全部!$R$2:$R$89,全部!$B$2:$B$89,$A10)</f>
        <v/>
      </c>
    </row>
    <row r="11">
      <c r="A11" s="11" t="inlineStr">
        <is>
          <t>呼吸系统</t>
        </is>
      </c>
      <c r="B11" s="5">
        <f>COUNTIFS(全部!$A$2:$A$89,"人 Human",全部!$B$2:$B$89,$A11)</f>
        <v/>
      </c>
      <c r="C11" s="5">
        <f>COUNTIFS(全部!$A$2:$A$89,"鼠 Mouse",全部!$B$2:$B$89,$A11)</f>
        <v/>
      </c>
      <c r="D11" s="5">
        <f>COUNTIFS(全部!$A$2:$A$89,"人鼠 Human;Mouse",全部!$B$2:$B$89,$A11)</f>
        <v/>
      </c>
      <c r="E11" s="6">
        <f>SUM(B11:D11)</f>
        <v/>
      </c>
      <c r="F11" s="7">
        <f>SUMIFS(全部!$R$2:$R$89,全部!$B$2:$B$89,$A11)</f>
        <v/>
      </c>
    </row>
    <row r="12">
      <c r="A12" s="12" t="inlineStr">
        <is>
          <t>泌尿系统</t>
        </is>
      </c>
      <c r="B12" s="5">
        <f>COUNTIFS(全部!$A$2:$A$89,"人 Human",全部!$B$2:$B$89,$A12)</f>
        <v/>
      </c>
      <c r="C12" s="5">
        <f>COUNTIFS(全部!$A$2:$A$89,"鼠 Mouse",全部!$B$2:$B$89,$A12)</f>
        <v/>
      </c>
      <c r="D12" s="5">
        <f>COUNTIFS(全部!$A$2:$A$89,"人鼠 Human;Mouse",全部!$B$2:$B$89,$A12)</f>
        <v/>
      </c>
      <c r="E12" s="6">
        <f>SUM(B12:D12)</f>
        <v/>
      </c>
      <c r="F12" s="7">
        <f>SUMIFS(全部!$R$2:$R$89,全部!$B$2:$B$89,$A12)</f>
        <v/>
      </c>
    </row>
    <row r="13">
      <c r="A13" s="13" t="inlineStr">
        <is>
          <t>生殖/乳腺</t>
        </is>
      </c>
      <c r="B13" s="5">
        <f>COUNTIFS(全部!$A$2:$A$89,"人 Human",全部!$B$2:$B$89,$A13)</f>
        <v/>
      </c>
      <c r="C13" s="5">
        <f>COUNTIFS(全部!$A$2:$A$89,"鼠 Mouse",全部!$B$2:$B$89,$A13)</f>
        <v/>
      </c>
      <c r="D13" s="5">
        <f>COUNTIFS(全部!$A$2:$A$89,"人鼠 Human;Mouse",全部!$B$2:$B$89,$A13)</f>
        <v/>
      </c>
      <c r="E13" s="6">
        <f>SUM(B13:D13)</f>
        <v/>
      </c>
      <c r="F13" s="7">
        <f>SUMIFS(全部!$R$2:$R$89,全部!$B$2:$B$89,$A13)</f>
        <v/>
      </c>
    </row>
    <row r="14">
      <c r="A14" s="14" t="inlineStr">
        <is>
          <t>内分泌/胰岛</t>
        </is>
      </c>
      <c r="B14" s="5">
        <f>COUNTIFS(全部!$A$2:$A$89,"人 Human",全部!$B$2:$B$89,$A14)</f>
        <v/>
      </c>
      <c r="C14" s="5">
        <f>COUNTIFS(全部!$A$2:$A$89,"鼠 Mouse",全部!$B$2:$B$89,$A14)</f>
        <v/>
      </c>
      <c r="D14" s="5">
        <f>COUNTIFS(全部!$A$2:$A$89,"人鼠 Human;Mouse",全部!$B$2:$B$89,$A14)</f>
        <v/>
      </c>
      <c r="E14" s="6">
        <f>SUM(B14:D14)</f>
        <v/>
      </c>
      <c r="F14" s="7">
        <f>SUMIFS(全部!$R$2:$R$89,全部!$B$2:$B$89,$A14)</f>
        <v/>
      </c>
    </row>
    <row r="15">
      <c r="A15" s="15" t="inlineStr">
        <is>
          <t>肌肉骨骼</t>
        </is>
      </c>
      <c r="B15" s="5">
        <f>COUNTIFS(全部!$A$2:$A$89,"人 Human",全部!$B$2:$B$89,$A15)</f>
        <v/>
      </c>
      <c r="C15" s="5">
        <f>COUNTIFS(全部!$A$2:$A$89,"鼠 Mouse",全部!$B$2:$B$89,$A15)</f>
        <v/>
      </c>
      <c r="D15" s="5">
        <f>COUNTIFS(全部!$A$2:$A$89,"人鼠 Human;Mouse",全部!$B$2:$B$89,$A15)</f>
        <v/>
      </c>
      <c r="E15" s="6">
        <f>SUM(B15:D15)</f>
        <v/>
      </c>
      <c r="F15" s="7">
        <f>SUMIFS(全部!$R$2:$R$89,全部!$B$2:$B$89,$A15)</f>
        <v/>
      </c>
    </row>
    <row r="16">
      <c r="A16" s="16" t="inlineStr">
        <is>
          <t>口腔牙齿</t>
        </is>
      </c>
      <c r="B16" s="5">
        <f>COUNTIFS(全部!$A$2:$A$89,"人 Human",全部!$B$2:$B$89,$A16)</f>
        <v/>
      </c>
      <c r="C16" s="5">
        <f>COUNTIFS(全部!$A$2:$A$89,"鼠 Mouse",全部!$B$2:$B$89,$A16)</f>
        <v/>
      </c>
      <c r="D16" s="5">
        <f>COUNTIFS(全部!$A$2:$A$89,"人鼠 Human;Mouse",全部!$B$2:$B$89,$A16)</f>
        <v/>
      </c>
      <c r="E16" s="6">
        <f>SUM(B16:D16)</f>
        <v/>
      </c>
      <c r="F16" s="7">
        <f>SUMIFS(全部!$R$2:$R$89,全部!$B$2:$B$89,$A16)</f>
        <v/>
      </c>
    </row>
    <row r="17">
      <c r="A17" s="17" t="inlineStr">
        <is>
          <t>肝胆</t>
        </is>
      </c>
      <c r="B17" s="5">
        <f>COUNTIFS(全部!$A$2:$A$89,"人 Human",全部!$B$2:$B$89,$A17)</f>
        <v/>
      </c>
      <c r="C17" s="5">
        <f>COUNTIFS(全部!$A$2:$A$89,"鼠 Mouse",全部!$B$2:$B$89,$A17)</f>
        <v/>
      </c>
      <c r="D17" s="5">
        <f>COUNTIFS(全部!$A$2:$A$89,"人鼠 Human;Mouse",全部!$B$2:$B$89,$A17)</f>
        <v/>
      </c>
      <c r="E17" s="6">
        <f>SUM(B17:D17)</f>
        <v/>
      </c>
      <c r="F17" s="7">
        <f>SUMIFS(全部!$R$2:$R$89,全部!$B$2:$B$89,$A17)</f>
        <v/>
      </c>
    </row>
    <row r="18">
      <c r="A18" s="18" t="inlineStr">
        <is>
          <t>淋巴/免疫/血液</t>
        </is>
      </c>
      <c r="B18" s="5">
        <f>COUNTIFS(全部!$A$2:$A$89,"人 Human",全部!$B$2:$B$89,$A18)</f>
        <v/>
      </c>
      <c r="C18" s="5">
        <f>COUNTIFS(全部!$A$2:$A$89,"鼠 Mouse",全部!$B$2:$B$89,$A18)</f>
        <v/>
      </c>
      <c r="D18" s="5">
        <f>COUNTIFS(全部!$A$2:$A$89,"人鼠 Human;Mouse",全部!$B$2:$B$89,$A18)</f>
        <v/>
      </c>
      <c r="E18" s="6">
        <f>SUM(B18:D18)</f>
        <v/>
      </c>
      <c r="F18" s="7">
        <f>SUMIFS(全部!$R$2:$R$89,全部!$B$2:$B$89,$A18)</f>
        <v/>
      </c>
    </row>
    <row r="19">
      <c r="A19" s="19" t="inlineStr">
        <is>
          <t>胚胎/发育</t>
        </is>
      </c>
      <c r="B19" s="5">
        <f>COUNTIFS(全部!$A$2:$A$89,"人 Human",全部!$B$2:$B$89,$A19)</f>
        <v/>
      </c>
      <c r="C19" s="5">
        <f>COUNTIFS(全部!$A$2:$A$89,"鼠 Mouse",全部!$B$2:$B$89,$A19)</f>
        <v/>
      </c>
      <c r="D19" s="5">
        <f>COUNTIFS(全部!$A$2:$A$89,"人鼠 Human;Mouse",全部!$B$2:$B$89,$A19)</f>
        <v/>
      </c>
      <c r="E19" s="6">
        <f>SUM(B19:D19)</f>
        <v/>
      </c>
      <c r="F19" s="7">
        <f>SUMIFS(全部!$R$2:$R$89,全部!$B$2:$B$89,$A19)</f>
        <v/>
      </c>
    </row>
    <row r="20">
      <c r="A20" s="20" t="inlineStr">
        <is>
          <t>多器官图谱/全身</t>
        </is>
      </c>
      <c r="B20" s="5">
        <f>COUNTIFS(全部!$A$2:$A$89,"人 Human",全部!$B$2:$B$89,$A20)</f>
        <v/>
      </c>
      <c r="C20" s="5">
        <f>COUNTIFS(全部!$A$2:$A$89,"鼠 Mouse",全部!$B$2:$B$89,$A20)</f>
        <v/>
      </c>
      <c r="D20" s="5">
        <f>COUNTIFS(全部!$A$2:$A$89,"人鼠 Human;Mouse",全部!$B$2:$B$89,$A20)</f>
        <v/>
      </c>
      <c r="E20" s="6">
        <f>SUM(B20:D20)</f>
        <v/>
      </c>
      <c r="F20" s="7">
        <f>SUMIFS(全部!$R$2:$R$89,全部!$B$2:$B$89,$A20)</f>
        <v/>
      </c>
    </row>
    <row r="21">
      <c r="A21" s="21" t="inlineStr">
        <is>
          <t>总计</t>
        </is>
      </c>
      <c r="B21" s="22">
        <f>SUM(B7:B20)</f>
        <v/>
      </c>
      <c r="C21" s="22">
        <f>SUM(C7:C20)</f>
        <v/>
      </c>
      <c r="D21" s="22">
        <f>SUM(D7:D20)</f>
        <v/>
      </c>
      <c r="E21" s="22">
        <f>SUM(E7:E20)</f>
        <v/>
      </c>
      <c r="F21" s="22">
        <f>SUM(F7:F20)</f>
        <v/>
      </c>
    </row>
  </sheetData>
  <mergeCells count="2">
    <mergeCell ref="A2:F4"/>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6" customWidth="1" min="2" max="2"/>
    <col width="22" customWidth="1" min="3" max="3"/>
    <col width="13" customWidth="1" min="4" max="4"/>
    <col width="10" customWidth="1" min="5" max="5"/>
    <col width="40" customWidth="1" min="6" max="6"/>
    <col width="14" customWidth="1" min="7" max="7"/>
    <col width="16" customWidth="1" min="8" max="8"/>
    <col width="24" customWidth="1" min="9" max="9"/>
    <col width="40" customWidth="1" min="10" max="10"/>
    <col width="30" customWidth="1" min="11" max="11"/>
    <col width="7" customWidth="1" min="12" max="12"/>
    <col width="22" customWidth="1" min="13" max="13"/>
    <col width="40" customWidth="1" min="14" max="14"/>
    <col width="30" customWidth="1" min="15" max="15"/>
    <col width="24" customWidth="1" min="16" max="16"/>
    <col width="9" customWidth="1" min="17" max="17"/>
    <col width="12" customWidth="1" min="18" max="18"/>
    <col width="34" customWidth="1" min="19" max="19"/>
    <col width="24" customWidth="1" min="20" max="20"/>
    <col width="22" customWidth="1" min="21" max="21"/>
    <col width="22" customWidth="1" min="22" max="22"/>
    <col width="22" customWidth="1" min="23" max="23"/>
    <col width="8" customWidth="1" min="24" max="24"/>
  </cols>
  <sheetData>
    <row r="1">
      <c r="A1" s="3" t="inlineStr">
        <is>
          <t>物种(中文)</t>
        </is>
      </c>
      <c r="B1" s="3" t="inlineStr">
        <is>
          <t>组织系统大类</t>
        </is>
      </c>
      <c r="C1" s="3" t="inlineStr">
        <is>
          <t>主组织</t>
        </is>
      </c>
      <c r="D1" s="3" t="inlineStr">
        <is>
          <t>Species</t>
        </is>
      </c>
      <c r="E1" s="3" t="inlineStr">
        <is>
          <t>细胞分层</t>
        </is>
      </c>
      <c r="F1" s="3" t="inlineStr">
        <is>
          <t>分层依据(具体细胞)</t>
        </is>
      </c>
      <c r="G1" s="3" t="inlineStr">
        <is>
          <t>泛化提示</t>
        </is>
      </c>
      <c r="H1" s="3" t="inlineStr">
        <is>
          <t>collection_id</t>
        </is>
      </c>
      <c r="I1" s="3" t="inlineStr">
        <is>
          <t>代表Dataset_ID</t>
        </is>
      </c>
      <c r="J1" s="3" t="inlineStr">
        <is>
          <t>Publication_Title</t>
        </is>
      </c>
      <c r="K1" s="3" t="inlineStr">
        <is>
          <t>中文标题</t>
        </is>
      </c>
      <c r="L1" s="3" t="inlineStr">
        <is>
          <t>Year</t>
        </is>
      </c>
      <c r="M1" s="3" t="inlineStr">
        <is>
          <t>PMID/DOI</t>
        </is>
      </c>
      <c r="N1" s="3" t="inlineStr">
        <is>
          <t>Tissue</t>
        </is>
      </c>
      <c r="O1" s="3" t="inlineStr">
        <is>
          <t>Disease</t>
        </is>
      </c>
      <c r="P1" s="3" t="inlineStr">
        <is>
          <t>Technology</t>
        </is>
      </c>
      <c r="Q1" s="3" t="inlineStr">
        <is>
          <t>悬浮susp</t>
        </is>
      </c>
      <c r="R1" s="3" t="inlineStr">
        <is>
          <t>Cell_Number</t>
        </is>
      </c>
      <c r="S1" s="3" t="inlineStr">
        <is>
          <t>外周相关细胞(规范)</t>
        </is>
      </c>
      <c r="T1" s="3" t="inlineStr">
        <is>
          <t>Marker_Genes</t>
        </is>
      </c>
      <c r="U1" s="3" t="inlineStr">
        <is>
          <t>Application_Tags</t>
        </is>
      </c>
      <c r="V1" s="3" t="inlineStr">
        <is>
          <t>h5ad下载</t>
        </is>
      </c>
      <c r="W1" s="3" t="inlineStr">
        <is>
          <t>collection链接</t>
        </is>
      </c>
      <c r="X1" s="3" t="inlineStr">
        <is>
          <t>折叠ds数</t>
        </is>
      </c>
      <c r="Y1" s="39" t="inlineStr">
        <is>
          <t>分工</t>
        </is>
      </c>
      <c r="Z1" t="inlineStr">
        <is>
          <t>分工</t>
        </is>
      </c>
    </row>
    <row r="2">
      <c r="A2" s="23" t="inlineStr">
        <is>
          <t>人 Human</t>
        </is>
      </c>
      <c r="B2" s="23" t="inlineStr">
        <is>
          <t>周围神经节/神经干</t>
        </is>
      </c>
      <c r="C2" s="23" t="inlineStr">
        <is>
          <t>choroid plexus</t>
        </is>
      </c>
      <c r="D2" s="23" t="inlineStr">
        <is>
          <t>Homo sapiens</t>
        </is>
      </c>
      <c r="E2" s="23" t="inlineStr">
        <is>
          <t>待定(泛神经)</t>
        </is>
      </c>
      <c r="F2" s="23" t="inlineStr">
        <is>
          <t>—</t>
        </is>
      </c>
      <c r="G2" s="23" t="inlineStr">
        <is>
          <t>含泛glial(疑中枢胶质,慎收)</t>
        </is>
      </c>
      <c r="H2" s="23" t="inlineStr">
        <is>
          <t>59c9ecfe-c47d-4a6a-bab0-895cc0c1942b</t>
        </is>
      </c>
      <c r="I2" s="23" t="inlineStr">
        <is>
          <t>CELLxGENE:595c9010-99ec-462d-b6a1-2b2fe5407871</t>
        </is>
      </c>
      <c r="J2" s="23" t="inlineStr">
        <is>
          <t>Dysregulation of brain and choroid plexus cell types in severe COVID-19</t>
        </is>
      </c>
      <c r="K2" s="23" t="inlineStr">
        <is>
          <t>严重COVID-19中脑和脉络丛细胞类型的失调</t>
        </is>
      </c>
      <c r="L2" s="23" t="inlineStr">
        <is>
          <t>2024</t>
        </is>
      </c>
      <c r="M2" s="23" t="inlineStr">
        <is>
          <t>10.1038/s41586-021-03710-0</t>
        </is>
      </c>
      <c r="N2" s="23" t="inlineStr">
        <is>
          <t>choroid plexus</t>
        </is>
      </c>
      <c r="O2" s="23" t="inlineStr">
        <is>
          <t>COVID-19|aspiration pneumonia|influenza|malignant pancreatic neoplasm</t>
        </is>
      </c>
      <c r="P2" s="23" t="inlineStr">
        <is>
          <t>10x 3' v3</t>
        </is>
      </c>
      <c r="Q2" s="23" t="inlineStr">
        <is>
          <t>nucleus</t>
        </is>
      </c>
      <c r="R2" s="25" t="n">
        <v>27092</v>
      </c>
      <c r="S2" s="23" t="inlineStr">
        <is>
          <t>glial cell</t>
        </is>
      </c>
      <c r="T2" s="23" t="n"/>
      <c r="U2" s="23" t="inlineStr">
        <is>
          <t>神经-免疫通讯;炎症</t>
        </is>
      </c>
      <c r="V2" s="23" t="inlineStr">
        <is>
          <t>https://datasets.cellxgene.cziscience.com/6dd04cc1-f4b6-49c4-b34c-56508ea8af8c.h5ad</t>
        </is>
      </c>
      <c r="W2" s="23" t="inlineStr">
        <is>
          <t>https://cellxgene.cziscience.com/collections/59c9ecfe-c47d-4a6a-bab0-895cc0c1942b</t>
        </is>
      </c>
      <c r="X2" s="23" t="n">
        <v>1</v>
      </c>
      <c r="Y2" t="inlineStr">
        <is>
          <t>?</t>
        </is>
      </c>
      <c r="Z2" t="inlineStr">
        <is>
          <t>B</t>
        </is>
      </c>
    </row>
    <row r="3">
      <c r="A3" s="23" t="inlineStr">
        <is>
          <t>人 Human</t>
        </is>
      </c>
      <c r="B3" s="23" t="inlineStr">
        <is>
          <t>周围神经节/神经干</t>
        </is>
      </c>
      <c r="C3" s="23" t="inlineStr">
        <is>
          <t>cranial nerve II</t>
        </is>
      </c>
      <c r="D3" s="23" t="inlineStr">
        <is>
          <t>Homo sapiens</t>
        </is>
      </c>
      <c r="E3" s="23" t="inlineStr">
        <is>
          <t>L2</t>
        </is>
      </c>
      <c r="F3" s="23" t="inlineStr">
        <is>
          <t>L2:Myelinating Schwann cell/Non-myelinating Schwann cell</t>
        </is>
      </c>
      <c r="G3" s="23" t="inlineStr"/>
      <c r="H3" s="23" t="inlineStr">
        <is>
          <t>05e3d0fc-c9dd-4f14-9163-2b242b3bb5c2</t>
        </is>
      </c>
      <c r="I3" s="23" t="inlineStr">
        <is>
          <t>CELLxGENE:3c364ffe-d599-44d5-a77f-6c5fd7038cf6</t>
        </is>
      </c>
      <c r="J3" s="23" t="inlineStr">
        <is>
          <t>Single cell atlas of the human optic nerve</t>
        </is>
      </c>
      <c r="K3" s="23" t="inlineStr">
        <is>
          <t>人视神经单细胞图谱</t>
        </is>
      </c>
      <c r="L3" s="23" t="inlineStr">
        <is>
          <t>2025</t>
        </is>
      </c>
      <c r="M3" s="23" t="inlineStr">
        <is>
          <t>not reported in repository metadata</t>
        </is>
      </c>
      <c r="N3" s="23" t="inlineStr">
        <is>
          <t>cranial nerve II|optic disc</t>
        </is>
      </c>
      <c r="O3" s="23" t="inlineStr">
        <is>
          <t>normal</t>
        </is>
      </c>
      <c r="P3" s="23" t="inlineStr">
        <is>
          <t>10x 3' v3</t>
        </is>
      </c>
      <c r="Q3" s="23" t="inlineStr">
        <is>
          <t>nucleus</t>
        </is>
      </c>
      <c r="R3" s="25" t="n">
        <v>959629</v>
      </c>
      <c r="S3" s="23" t="inlineStr">
        <is>
          <t>microglial cell|myelinating Schwann cell|non-myelinating Schwann cell</t>
        </is>
      </c>
      <c r="T3" s="23" t="n"/>
      <c r="U3" s="23" t="inlineStr">
        <is>
          <t>针灸作用相关;外周神经再生</t>
        </is>
      </c>
      <c r="V3" s="23" t="inlineStr">
        <is>
          <t>https://datasets.cellxgene.cziscience.com/b27057d6-a6a0-40e8-a4ba-5373a03746d2.h5ad</t>
        </is>
      </c>
      <c r="W3" s="23" t="inlineStr">
        <is>
          <t>https://cellxgene.cziscience.com/collections/05e3d0fc-c9dd-4f14-9163-2b242b3bb5c2</t>
        </is>
      </c>
      <c r="X3" s="23" t="n">
        <v>1</v>
      </c>
      <c r="Y3" t="inlineStr">
        <is>
          <t>?</t>
        </is>
      </c>
      <c r="Z3" t="inlineStr">
        <is>
          <t>B</t>
        </is>
      </c>
    </row>
    <row r="4">
      <c r="A4" s="23" t="inlineStr">
        <is>
          <t>人 Human</t>
        </is>
      </c>
      <c r="B4" s="23" t="inlineStr">
        <is>
          <t>周围神经节/神经干</t>
        </is>
      </c>
      <c r="C4" s="23" t="inlineStr">
        <is>
          <t>dorsal root ganglion</t>
        </is>
      </c>
      <c r="D4" s="23" t="inlineStr">
        <is>
          <t>Homo sapiens</t>
        </is>
      </c>
      <c r="E4" s="23" t="inlineStr">
        <is>
          <t>L1</t>
        </is>
      </c>
      <c r="F4" s="23" t="inlineStr">
        <is>
          <t>L1:Sensory neuron (DRG)</t>
        </is>
      </c>
      <c r="G4" s="23" t="inlineStr"/>
      <c r="H4" s="23" t="inlineStr">
        <is>
          <t>741abcf7-af4b-425d-88db-7e0b0d845719</t>
        </is>
      </c>
      <c r="I4" s="23" t="inlineStr">
        <is>
          <t>CELLxGENE:d973ea15-3722-4bc8-a0e8-1d956d26e203</t>
        </is>
      </c>
      <c r="J4" s="23" t="inlineStr">
        <is>
          <t>Single-nucleus transcriptomic analysis of human dorsal root ganglion neurons.</t>
        </is>
      </c>
      <c r="K4" s="23" t="inlineStr">
        <is>
          <t>人背根神经节神经元的单核转录组分析</t>
        </is>
      </c>
      <c r="L4" s="23" t="inlineStr">
        <is>
          <t>2025</t>
        </is>
      </c>
      <c r="M4" s="23" t="inlineStr">
        <is>
          <t>10.7554/eLife.71752</t>
        </is>
      </c>
      <c r="N4" s="23" t="inlineStr">
        <is>
          <t>dorsal root ganglion</t>
        </is>
      </c>
      <c r="O4" s="23" t="inlineStr">
        <is>
          <t>normal</t>
        </is>
      </c>
      <c r="P4" s="23" t="inlineStr">
        <is>
          <t>10x 3' v2|10x 3' v3</t>
        </is>
      </c>
      <c r="Q4" s="23" t="inlineStr">
        <is>
          <t>nucleus</t>
        </is>
      </c>
      <c r="R4" s="25" t="n">
        <v>1837</v>
      </c>
      <c r="S4" s="23" t="inlineStr">
        <is>
          <t>sensory neuron of dorsal root ganglion</t>
        </is>
      </c>
      <c r="T4" s="23" t="n"/>
      <c r="U4" s="23" t="inlineStr">
        <is>
          <t>针灸作用相关</t>
        </is>
      </c>
      <c r="V4" s="23" t="inlineStr">
        <is>
          <t>https://datasets.cellxgene.cziscience.com/cf1271ef-08be-46dd-b39e-90c3aa72755e.h5ad</t>
        </is>
      </c>
      <c r="W4" s="23" t="inlineStr">
        <is>
          <t>https://cellxgene.cziscience.com/collections/741abcf7-af4b-425d-88db-7e0b0d845719</t>
        </is>
      </c>
      <c r="X4" s="23" t="n">
        <v>1</v>
      </c>
      <c r="Y4" t="inlineStr">
        <is>
          <t>?</t>
        </is>
      </c>
      <c r="Z4" t="inlineStr">
        <is>
          <t>B</t>
        </is>
      </c>
    </row>
    <row r="5">
      <c r="A5" s="40" t="inlineStr">
        <is>
          <t>人 Human</t>
        </is>
      </c>
      <c r="B5" s="40" t="inlineStr">
        <is>
          <t>肠神经/消化道</t>
        </is>
      </c>
      <c r="C5" s="40" t="inlineStr">
        <is>
          <t>ascending colon</t>
        </is>
      </c>
      <c r="D5" s="40" t="inlineStr">
        <is>
          <t>Homo sapiens</t>
        </is>
      </c>
      <c r="E5" s="40" t="inlineStr">
        <is>
          <t>L1;L2;L4</t>
        </is>
      </c>
      <c r="F5" s="40" t="inlineStr">
        <is>
          <t>L1:Afferent neuron/Enteric neuron/Inhibitory motor neuron/Interneuron (ENS)/Motor neuron | L2:Enteroglial cell | L4:Enteroendocrine cell/Type EC enteroendocrine cell/Type G enteroendocrine cell/Type X enteroendocrine cell</t>
        </is>
      </c>
      <c r="G5" s="40" t="inlineStr"/>
      <c r="H5" s="40" t="inlineStr">
        <is>
          <t>f11cb29c-b546-4738-9bd8-66ea621a7bd5</t>
        </is>
      </c>
      <c r="I5" s="40" t="inlineStr">
        <is>
          <t>CELLxGENE:19053a82-9c89-4fb8-bd19-d7b1800b0b7b</t>
        </is>
      </c>
      <c r="J5" s="40" t="inlineStr">
        <is>
          <t>Single-cell integration reveals metaplasia in inflammatory gut diseases</t>
        </is>
      </c>
      <c r="K5" s="40" t="inlineStr">
        <is>
          <t>单细胞整合揭示炎症性肠道疾病中的化生</t>
        </is>
      </c>
      <c r="L5" s="40" t="inlineStr">
        <is>
          <t>2025</t>
        </is>
      </c>
      <c r="M5" s="40" t="inlineStr">
        <is>
          <t>10.1038/s41586-024-07571-1</t>
        </is>
      </c>
      <c r="N5" s="40" t="inlineStr">
        <is>
          <t>ascending colon|body of stomach|buccal mucosa|caecum|caecum epithelium|cecum mucosa|colon|colonic epithelium|colonic mucosa|descending colon|duodenal epithelium|duodenum|epithelium of esophagus|epithelium of rectum|epithelium of small intestine|epithelium of stomach|esophagus|gingiva|ileal epithelium|ileum|ileum lamina propria|intestine|jejunum|labial gland|lamina propria of mucosa of colon|lamina propria of small intestine|mesenteric lymph node|mucosa of sigmoid colon|mucosa of transverse colon|parotid gland|periodontium|pyloric antrum|pylorus|rectosigmoid junction|rectum|sigmoid colon|small intestine|stomach|transverse colon|vermiform appendix</t>
        </is>
      </c>
      <c r="O5" s="40" t="inlineStr">
        <is>
          <t>Crohn disease|celiac disease|colorectal cancer|gastric cancer|inflammatory bowel disease|normal|ulcerative colitis</t>
        </is>
      </c>
      <c r="P5" s="40" t="inlineStr">
        <is>
          <t>10x 3' v1|10x 3' v2|10x 3' v3|10x 5' transcription profiling|10x 5' v1|10x 5' v2</t>
        </is>
      </c>
      <c r="Q5" s="40" t="inlineStr">
        <is>
          <t>cell</t>
        </is>
      </c>
      <c r="R5" s="41" t="n">
        <v>1596200</v>
      </c>
      <c r="S5" s="40" t="inlineStr">
        <is>
          <t>afferent neuron|enteric neuron|enteroendocrine cell|enteroglial cell|inhibitory motor neuron|interneuron|motor neuron|type EC enteroendocrine cell|type G enteroendocrine cell|type X enteroendocrine cell</t>
        </is>
      </c>
      <c r="T5" s="40" t="n"/>
      <c r="U5" s="40" t="inlineStr">
        <is>
          <t>神经-免疫通讯;炎症;伤口修复</t>
        </is>
      </c>
      <c r="V5" s="40" t="inlineStr">
        <is>
          <t>https://datasets.cellxgene.cziscience.com/757945c8-a916-431d-aceb-1afbc80a7c55.h5ad</t>
        </is>
      </c>
      <c r="W5" s="40" t="inlineStr">
        <is>
          <t>https://cellxgene.cziscience.com/collections/f11cb29c-b546-4738-9bd8-66ea621a7bd5</t>
        </is>
      </c>
      <c r="X5" s="40" t="n">
        <v>11</v>
      </c>
      <c r="Y5" s="42" t="inlineStr">
        <is>
          <t>?</t>
        </is>
      </c>
      <c r="Z5" s="42" t="inlineStr">
        <is>
          <t>A</t>
        </is>
      </c>
    </row>
    <row r="6">
      <c r="A6" s="40" t="inlineStr">
        <is>
          <t>人 Human</t>
        </is>
      </c>
      <c r="B6" s="40" t="inlineStr">
        <is>
          <t>肠神经/消化道</t>
        </is>
      </c>
      <c r="C6" s="40" t="inlineStr">
        <is>
          <t>ascending colon</t>
        </is>
      </c>
      <c r="D6" s="40" t="inlineStr">
        <is>
          <t>Homo sapiens</t>
        </is>
      </c>
      <c r="E6" s="40" t="inlineStr">
        <is>
          <t>L1;L4</t>
        </is>
      </c>
      <c r="F6" s="40" t="inlineStr">
        <is>
          <t>L1:Inhibitory motor neuron/Interneuron (ENS)/Motor neuron | L4:Enteroendocrine cell/Type D enteroendocrine cell/Type EC enteroendocrine cell/Type L enteroendocrine cell</t>
        </is>
      </c>
      <c r="G6" s="40" t="inlineStr">
        <is>
          <t>含泛glial(疑肠胶质,可能L2)</t>
        </is>
      </c>
      <c r="H6" s="40" t="inlineStr">
        <is>
          <t>e33ffcd3-7cbf-4b8c-b0f4-85587ad5019a</t>
        </is>
      </c>
      <c r="I6" s="40" t="inlineStr">
        <is>
          <t>CELLxGENE:80a2c5b6-02e7-4fc0-9f12-179f5247c1bc</t>
        </is>
      </c>
      <c r="J6" s="40" t="inlineStr">
        <is>
          <t>Cells of the human intestinal tract mapped across space and time</t>
        </is>
      </c>
      <c r="K6" s="40" t="inlineStr">
        <is>
          <t>人类肠道细胞在空间和时间上的图谱</t>
        </is>
      </c>
      <c r="L6" s="40" t="inlineStr">
        <is>
          <t>2022</t>
        </is>
      </c>
      <c r="M6" s="40" t="inlineStr">
        <is>
          <t>10.1038/s41586-021-03852-1</t>
        </is>
      </c>
      <c r="N6" s="40" t="inlineStr">
        <is>
          <t>ascending colon|caecum|colon|descending colon|duodenum|ileum|jejunum|large intestine|lymph node|mesenteric lymph node|rectum|sigmoid colon|small intestine|transverse colon|vermiform appendix</t>
        </is>
      </c>
      <c r="O6" s="40" t="inlineStr">
        <is>
          <t>Crohn disease|normal</t>
        </is>
      </c>
      <c r="P6" s="40" t="inlineStr">
        <is>
          <t>10x 3' v2|10x 5' v2</t>
        </is>
      </c>
      <c r="Q6" s="40" t="inlineStr">
        <is>
          <t>cell</t>
        </is>
      </c>
      <c r="R6" s="41" t="n">
        <v>428469</v>
      </c>
      <c r="S6" s="40" t="inlineStr">
        <is>
          <t>enteroendocrine cell|glial cell|inhibitory motor neuron|interneuron|motor neuron|primary sensory neuron (sensu Teleostei)|type D enteroendocrine cell|type EC enteroendocrine cell|type I enteroendocrine cell|type L enteroendocrine cell|type N enteroendocrine cell</t>
        </is>
      </c>
      <c r="T6" s="40" t="n"/>
      <c r="U6" s="40" t="inlineStr">
        <is>
          <t>针灸作用相关;神经-免疫通讯;炎症</t>
        </is>
      </c>
      <c r="V6" s="40" t="inlineStr">
        <is>
          <t>https://datasets.cellxgene.cziscience.com/47ae9727-f767-46b8-9d56-a25ddcd9ae94.h5ad</t>
        </is>
      </c>
      <c r="W6" s="40" t="inlineStr">
        <is>
          <t>https://cellxgene.cziscience.com/collections/e33ffcd3-7cbf-4b8c-b0f4-85587ad5019a</t>
        </is>
      </c>
      <c r="X6" s="40" t="n">
        <v>1</v>
      </c>
      <c r="Y6" s="42" t="inlineStr">
        <is>
          <t>?</t>
        </is>
      </c>
      <c r="Z6" s="42" t="inlineStr">
        <is>
          <t>A</t>
        </is>
      </c>
    </row>
    <row r="7">
      <c r="A7" s="40" t="inlineStr">
        <is>
          <t>人 Human</t>
        </is>
      </c>
      <c r="B7" s="40" t="inlineStr">
        <is>
          <t>肠神经/消化道</t>
        </is>
      </c>
      <c r="C7" s="40" t="inlineStr">
        <is>
          <t>ascending colon</t>
        </is>
      </c>
      <c r="D7" s="40" t="inlineStr">
        <is>
          <t>Homo sapiens</t>
        </is>
      </c>
      <c r="E7" s="40" t="inlineStr">
        <is>
          <t>L2;L4</t>
        </is>
      </c>
      <c r="F7" s="40" t="inlineStr">
        <is>
          <t>L2:Schwann cell | L4:Enteroendocrine cell of colon</t>
        </is>
      </c>
      <c r="G7" s="40" t="inlineStr"/>
      <c r="H7" s="40" t="inlineStr">
        <is>
          <t>3a844375-60ea-474b-adf1-98e76928baee</t>
        </is>
      </c>
      <c r="I7" s="40" t="inlineStr">
        <is>
          <t>CELLxGENE:05a8c945-bc12-414f-960d-a31943bbcdd1</t>
        </is>
      </c>
      <c r="J7" s="40" t="inlineStr">
        <is>
          <t>Single-cell integration and multi-modal profiling reveals phenotypes and spatial organization of neutrophils in colorectal cancer</t>
        </is>
      </c>
      <c r="K7" s="40" t="inlineStr">
        <is>
          <t>单细胞整合与多模态分析揭示结直肠癌中中性粒细胞的表型及空间组织</t>
        </is>
      </c>
      <c r="L7" s="40" t="inlineStr">
        <is>
          <t>2026</t>
        </is>
      </c>
      <c r="M7" s="40" t="inlineStr">
        <is>
          <t>10.1016/j.ccell.2025.12.003</t>
        </is>
      </c>
      <c r="N7" s="40" t="inlineStr">
        <is>
          <t>ascending colon|blood|caecum|caecum epithelium|colon|colonic epithelium|colorectal mucosa|colorectum|descending colon|hepatic cecum|hepatic flexure of colon|left colon|liver|lymph node|mesenteric lymph node|mucosa of transverse colon|rectosigmoid junction|rectum|right colon|sigmoid colon|splenic flexure of colon|transverse colon</t>
        </is>
      </c>
      <c r="O7" s="40" t="inlineStr">
        <is>
          <t>colon adenocarcinoma|colon adenocarcinoma || mucinous adenocarcinoma|colon adenoma|colon adenoma || colorectal tubulovillous adenoma|colon adenoma || tubular adenoma|colon carcinoma|colon sessile serrated adenoma/polyp|colorectal adenocarcinoma|colorectal cancer|colorectal neoplasm|colorectal tubulovillous adenoma|hyperplastic polyp|metastasis from malignant tumor of colon|mucinous adenocarcinoma|normal|polyp of colon|rectum adenocarcinoma|tubular adenoma</t>
        </is>
      </c>
      <c r="P7" s="40" t="inlineStr">
        <is>
          <t>10x 3' v1|10x 3' v2|10x 3' v3|10x 5' transcription profiling|10x 5' v1|10x 5' v2|BD Rhapsody Whole Transcriptome Analysis|Fluidigm C1-based SMARTer library preparation|GEXSCOPE technology|Smart-seq2|TruDrop</t>
        </is>
      </c>
      <c r="Q7" s="40" t="inlineStr">
        <is>
          <t>cell</t>
        </is>
      </c>
      <c r="R7" s="41" t="n">
        <v>3790266</v>
      </c>
      <c r="S7" s="40" t="inlineStr">
        <is>
          <t>Schwann cell|enteroendocrine cell of colon</t>
        </is>
      </c>
      <c r="T7" s="40" t="n"/>
      <c r="U7" s="40" t="inlineStr">
        <is>
          <t>神经-免疫通讯;外周神经再生</t>
        </is>
      </c>
      <c r="V7" s="40" t="inlineStr">
        <is>
          <t>https://datasets.cellxgene.cziscience.com/4a8b9568-965e-46b8-a427-baab6bf018e5.h5ad</t>
        </is>
      </c>
      <c r="W7" s="40" t="inlineStr">
        <is>
          <t>https://cellxgene.cziscience.com/collections/3a844375-60ea-474b-adf1-98e76928baee</t>
        </is>
      </c>
      <c r="X7" s="40" t="n">
        <v>1</v>
      </c>
      <c r="Y7" s="42" t="inlineStr">
        <is>
          <t>?</t>
        </is>
      </c>
      <c r="Z7" s="42" t="inlineStr">
        <is>
          <t>A</t>
        </is>
      </c>
    </row>
    <row r="8">
      <c r="A8" s="40" t="inlineStr">
        <is>
          <t>人 Human</t>
        </is>
      </c>
      <c r="B8" s="40" t="inlineStr">
        <is>
          <t>肠神经/消化道</t>
        </is>
      </c>
      <c r="C8" s="40" t="inlineStr">
        <is>
          <t>ascending colon</t>
        </is>
      </c>
      <c r="D8" s="40" t="inlineStr">
        <is>
          <t>Homo sapiens</t>
        </is>
      </c>
      <c r="E8" s="40" t="inlineStr">
        <is>
          <t>L4</t>
        </is>
      </c>
      <c r="F8" s="40" t="inlineStr">
        <is>
          <t>L4:Enteroendocrine cell of colon/Enteroendocrine cell of small intestine</t>
        </is>
      </c>
      <c r="G8" s="40" t="inlineStr"/>
      <c r="H8" s="40" t="inlineStr">
        <is>
          <t>64b24fda-6591-4ce1-89e7-33eb6c43ad7b</t>
        </is>
      </c>
      <c r="I8" s="40" t="inlineStr">
        <is>
          <t>CELLxGENE:019c7af2-c827-4454-9970-44d5e39ce068</t>
        </is>
      </c>
      <c r="J8" s="40" t="inlineStr">
        <is>
          <t>A proximal-to-distal survey of healthy adult human small intestine and colon epithelium by single-cell transcriptomics</t>
        </is>
      </c>
      <c r="K8" s="40" t="inlineStr">
        <is>
          <t>通过单细胞转录组学对健康成人小肠和结肠上皮进行近端到远端的调查</t>
        </is>
      </c>
      <c r="L8" s="40" t="inlineStr">
        <is>
          <t>2023</t>
        </is>
      </c>
      <c r="M8" s="40" t="inlineStr">
        <is>
          <t>10.1016/j.jcmgh.2022.02.007</t>
        </is>
      </c>
      <c r="N8" s="40" t="inlineStr">
        <is>
          <t>ascending colon|descending colon|duodenum|ileum|jejunum|transverse colon</t>
        </is>
      </c>
      <c r="O8" s="40" t="inlineStr">
        <is>
          <t>normal</t>
        </is>
      </c>
      <c r="P8" s="40" t="inlineStr">
        <is>
          <t>10x 3' v3</t>
        </is>
      </c>
      <c r="Q8" s="40" t="inlineStr">
        <is>
          <t>cell</t>
        </is>
      </c>
      <c r="R8" s="41" t="n">
        <v>12590</v>
      </c>
      <c r="S8" s="40" t="inlineStr">
        <is>
          <t>enteroendocrine cell of colon|enteroendocrine cell of small intestine</t>
        </is>
      </c>
      <c r="T8" s="40" t="n"/>
      <c r="U8" s="40" t="inlineStr">
        <is>
          <t>general peripheral neurobiology</t>
        </is>
      </c>
      <c r="V8" s="40" t="inlineStr">
        <is>
          <t>https://datasets.cellxgene.cziscience.com/487be01d-3df6-417f-83c5-ad2bff5c46e7.h5ad</t>
        </is>
      </c>
      <c r="W8" s="40" t="inlineStr">
        <is>
          <t>https://cellxgene.cziscience.com/collections/64b24fda-6591-4ce1-89e7-33eb6c43ad7b</t>
        </is>
      </c>
      <c r="X8" s="40" t="n">
        <v>1</v>
      </c>
      <c r="Y8" s="42" t="inlineStr">
        <is>
          <t>?</t>
        </is>
      </c>
      <c r="Z8" s="42" t="inlineStr">
        <is>
          <t>A</t>
        </is>
      </c>
    </row>
    <row r="9">
      <c r="A9" s="40" t="inlineStr">
        <is>
          <t>人 Human</t>
        </is>
      </c>
      <c r="B9" s="40" t="inlineStr">
        <is>
          <t>肠神经/消化道</t>
        </is>
      </c>
      <c r="C9" s="40" t="inlineStr">
        <is>
          <t>ascending colon</t>
        </is>
      </c>
      <c r="D9" s="40" t="inlineStr">
        <is>
          <t>Homo sapiens</t>
        </is>
      </c>
      <c r="E9" s="40" t="inlineStr">
        <is>
          <t>L4</t>
        </is>
      </c>
      <c r="F9" s="40" t="inlineStr">
        <is>
          <t>L4:Enteroendocrine cell</t>
        </is>
      </c>
      <c r="G9" s="40" t="inlineStr">
        <is>
          <t>含泛glial(疑肠胶质,可能L2)</t>
        </is>
      </c>
      <c r="H9" s="40" t="inlineStr">
        <is>
          <t>854c0855-23ad-4362-8b77-6b1639e7a9fc</t>
        </is>
      </c>
      <c r="I9" s="40" t="inlineStr">
        <is>
          <t>CELLxGENE:cbec7853-d996-4493-bbf8-5d82857a4e51</t>
        </is>
      </c>
      <c r="J9" s="40" t="inlineStr">
        <is>
          <t>Automatic cell-type harmonization and integration across Human Cell Atlas datasets</t>
        </is>
      </c>
      <c r="K9" s="40" t="inlineStr">
        <is>
          <t>人类细胞图谱数据集间细胞类型的自动协调与整合</t>
        </is>
      </c>
      <c r="L9" s="40" t="inlineStr">
        <is>
          <t>2024</t>
        </is>
      </c>
      <c r="M9" s="40" t="inlineStr">
        <is>
          <t>10.1016/j.cell.2023.11.026</t>
        </is>
      </c>
      <c r="N9" s="40" t="inlineStr">
        <is>
          <t>ascending colon|caecum|caecum epithelium|caecum lamina propria|colonic epithelium|descending colon|duodenum|ileum|jejunum|lamina propria of mucosa of colon|large intestine|rectum|sigmoid colon|small intestine|transverse colon|transverse colon epithelium|transverse colon lamina propria|vermiform appendix</t>
        </is>
      </c>
      <c r="O9" s="40" t="inlineStr">
        <is>
          <t>normal</t>
        </is>
      </c>
      <c r="P9" s="40" t="inlineStr">
        <is>
          <t>10x 3' v1|10x 3' v2|10x 3' v3|10x 5' v2</t>
        </is>
      </c>
      <c r="Q9" s="40" t="inlineStr">
        <is>
          <t>cell</t>
        </is>
      </c>
      <c r="R9" s="41" t="n">
        <v>263275</v>
      </c>
      <c r="S9" s="40" t="inlineStr">
        <is>
          <t>enteroendocrine cell|glial cell</t>
        </is>
      </c>
      <c r="T9" s="40" t="n"/>
      <c r="U9" s="40" t="inlineStr">
        <is>
          <t>general peripheral neurobiology</t>
        </is>
      </c>
      <c r="V9" s="40" t="inlineStr">
        <is>
          <t>https://datasets.cellxgene.cziscience.com/0add1772-6d6e-43e1-8702-93fdf84e4dbc.h5ad</t>
        </is>
      </c>
      <c r="W9" s="40" t="inlineStr">
        <is>
          <t>https://cellxgene.cziscience.com/collections/854c0855-23ad-4362-8b77-6b1639e7a9fc</t>
        </is>
      </c>
      <c r="X9" s="40" t="n">
        <v>2</v>
      </c>
      <c r="Y9" s="42" t="inlineStr">
        <is>
          <t>?</t>
        </is>
      </c>
      <c r="Z9" s="42" t="inlineStr">
        <is>
          <t>A</t>
        </is>
      </c>
    </row>
    <row r="10">
      <c r="A10" s="40" t="inlineStr">
        <is>
          <t>人 Human</t>
        </is>
      </c>
      <c r="B10" s="40" t="inlineStr">
        <is>
          <t>肠神经/消化道</t>
        </is>
      </c>
      <c r="C10" s="40" t="inlineStr">
        <is>
          <t>ascending colon</t>
        </is>
      </c>
      <c r="D10" s="40" t="inlineStr">
        <is>
          <t>Homo sapiens</t>
        </is>
      </c>
      <c r="E10" s="40" t="inlineStr">
        <is>
          <t>L4</t>
        </is>
      </c>
      <c r="F10" s="40" t="inlineStr">
        <is>
          <t>L4:Intestinal enteroendocrine cell</t>
        </is>
      </c>
      <c r="G10" s="40" t="inlineStr"/>
      <c r="H10" s="40" t="inlineStr">
        <is>
          <t>a48f5033-3438-4550-8574-cdff3263fdfd</t>
        </is>
      </c>
      <c r="I10" s="40" t="inlineStr">
        <is>
          <t>CELLxGENE:e40c6272-af77-4a10-9385-62a398884f27</t>
        </is>
      </c>
      <c r="J10" s="40" t="inlineStr">
        <is>
          <t>HTAN VUMC - Differential pre-malignant programs and microenvironment chart distinct paths to malignancy in human colorectal polyps</t>
        </is>
      </c>
      <c r="K10" s="40" t="inlineStr">
        <is>
          <t>HTAN VUMC - 差异性的癌前程序与微环境描绘了人类结直肠息肉中通向恶性肿瘤的不同路径</t>
        </is>
      </c>
      <c r="L10" s="40" t="inlineStr">
        <is>
          <t>2022</t>
        </is>
      </c>
      <c r="M10" s="40" t="inlineStr">
        <is>
          <t>10.1016/j.cell.2021.11.031</t>
        </is>
      </c>
      <c r="N10" s="40" t="inlineStr">
        <is>
          <t>ascending colon|descending colon|hepatic cecum|hepatic flexure of colon|rectum|sigmoid colon|transverse colon</t>
        </is>
      </c>
      <c r="O10" s="40" t="inlineStr">
        <is>
          <t>colon sessile serrated adenoma/polyp|colorectal neoplasm|hyperplastic polyp|normal|tubular adenoma|tubulovillous adenoma</t>
        </is>
      </c>
      <c r="P10" s="40" t="inlineStr">
        <is>
          <t>TruDrop</t>
        </is>
      </c>
      <c r="Q10" s="40" t="inlineStr">
        <is>
          <t>cell</t>
        </is>
      </c>
      <c r="R10" s="41" t="n">
        <v>65088</v>
      </c>
      <c r="S10" s="40" t="inlineStr">
        <is>
          <t>intestinal enteroendocrine cell</t>
        </is>
      </c>
      <c r="T10" s="40" t="n"/>
      <c r="U10" s="40" t="inlineStr">
        <is>
          <t>general peripheral neurobiology</t>
        </is>
      </c>
      <c r="V10" s="40" t="inlineStr">
        <is>
          <t>https://datasets.cellxgene.cziscience.com/9da034b0-de48-47ab-97f6-21b5f2dbd1a4.h5ad</t>
        </is>
      </c>
      <c r="W10" s="40" t="inlineStr">
        <is>
          <t>https://cellxgene.cziscience.com/collections/a48f5033-3438-4550-8574-cdff3263fdfd</t>
        </is>
      </c>
      <c r="X10" s="40" t="n">
        <v>2</v>
      </c>
      <c r="Y10" s="42" t="inlineStr">
        <is>
          <t>?</t>
        </is>
      </c>
      <c r="Z10" s="42" t="inlineStr">
        <is>
          <t>A</t>
        </is>
      </c>
    </row>
    <row r="11">
      <c r="A11" s="40" t="inlineStr">
        <is>
          <t>人 Human</t>
        </is>
      </c>
      <c r="B11" s="40" t="inlineStr">
        <is>
          <t>肠神经/消化道</t>
        </is>
      </c>
      <c r="C11" s="40" t="inlineStr">
        <is>
          <t>blood</t>
        </is>
      </c>
      <c r="D11" s="40" t="inlineStr">
        <is>
          <t>Homo sapiens</t>
        </is>
      </c>
      <c r="E11" s="40" t="inlineStr">
        <is>
          <t>L4</t>
        </is>
      </c>
      <c r="F11" s="40" t="inlineStr">
        <is>
          <t>L4:Enterochromaffin-like cell/Intestinal enteroendocrine cell</t>
        </is>
      </c>
      <c r="G11" s="40" t="inlineStr">
        <is>
          <t>含泛glial(疑肠胶质,可能L2)</t>
        </is>
      </c>
      <c r="H11" s="40" t="inlineStr">
        <is>
          <t>7f7fdf50-aa0e-4a6f-979c-53655cac9d5d</t>
        </is>
      </c>
      <c r="I11" s="40" t="inlineStr">
        <is>
          <t>CELLxGENE:0e5c75da-7bc9-4a2c-83fc-ef1e378bd5f9</t>
        </is>
      </c>
      <c r="J11" s="40" t="inlineStr">
        <is>
          <t>IBDverse: Cell type-resolved genetic variation shapes inflammatory bowel disease risk</t>
        </is>
      </c>
      <c r="K11" s="40" t="inlineStr">
        <is>
          <t>IBDverse：细胞类型解析的遗传变异塑造炎症性肠病风险</t>
        </is>
      </c>
      <c r="L11" s="40" t="inlineStr">
        <is>
          <t>2026</t>
        </is>
      </c>
      <c r="M11" s="40" t="inlineStr">
        <is>
          <t>10.1038/s41586-026-10627-z</t>
        </is>
      </c>
      <c r="N11" s="40" t="inlineStr">
        <is>
          <t>blood|ileum|rectum</t>
        </is>
      </c>
      <c r="O11" s="40" t="inlineStr">
        <is>
          <t>Crohn disease|normal</t>
        </is>
      </c>
      <c r="P11" s="40" t="inlineStr">
        <is>
          <t>10x 3' v3</t>
        </is>
      </c>
      <c r="Q11" s="40" t="inlineStr">
        <is>
          <t>cell</t>
        </is>
      </c>
      <c r="R11" s="41" t="n">
        <v>1852681</v>
      </c>
      <c r="S11" s="40" t="inlineStr">
        <is>
          <t>enterochromaffin-like cell|glial cell|intestinal enteroendocrine cell</t>
        </is>
      </c>
      <c r="T11" s="40" t="n"/>
      <c r="U11" s="40" t="inlineStr">
        <is>
          <t>神经-免疫通讯;炎症</t>
        </is>
      </c>
      <c r="V11" s="40" t="inlineStr">
        <is>
          <t>https://datasets.cellxgene.cziscience.com/e3460364-c300-4616-9923-3a0224894998.h5ad</t>
        </is>
      </c>
      <c r="W11" s="40" t="inlineStr">
        <is>
          <t>https://cellxgene.cziscience.com/collections/7f7fdf50-aa0e-4a6f-979c-53655cac9d5d</t>
        </is>
      </c>
      <c r="X11" s="40" t="n">
        <v>1</v>
      </c>
      <c r="Y11" s="42" t="inlineStr">
        <is>
          <t>?</t>
        </is>
      </c>
      <c r="Z11" s="42" t="inlineStr">
        <is>
          <t>A</t>
        </is>
      </c>
    </row>
    <row r="12">
      <c r="A12" s="40" t="inlineStr">
        <is>
          <t>人 Human</t>
        </is>
      </c>
      <c r="B12" s="40" t="inlineStr">
        <is>
          <t>肠神经/消化道</t>
        </is>
      </c>
      <c r="C12" s="40" t="inlineStr">
        <is>
          <t>body of stomach</t>
        </is>
      </c>
      <c r="D12" s="40" t="inlineStr">
        <is>
          <t>Homo sapiens</t>
        </is>
      </c>
      <c r="E12" s="40" t="inlineStr">
        <is>
          <t>L1;L4</t>
        </is>
      </c>
      <c r="F12" s="40" t="inlineStr">
        <is>
          <t>L1:Peripheral nervous system neuron | L4:Enteroendocrine cell</t>
        </is>
      </c>
      <c r="G12" s="40" t="inlineStr">
        <is>
          <t>含泛glial(疑肠胶质,可能L2)</t>
        </is>
      </c>
      <c r="H12" s="40" t="inlineStr">
        <is>
          <t>dfc09a93-bce0-4c77-893d-e153d1b7f9fa</t>
        </is>
      </c>
      <c r="I12" s="40" t="inlineStr">
        <is>
          <t>CELLxGENE:9968be68-ab65-4a38-9e1a-c9b6abece194</t>
        </is>
      </c>
      <c r="J12" s="40" t="inlineStr">
        <is>
          <t>Charting human development using a multi-endodermal organ atlas and organoid models</t>
        </is>
      </c>
      <c r="K12" s="40" t="inlineStr">
        <is>
          <t>利用多内胚层器官图谱与类器官模型描绘人类发育过程</t>
        </is>
      </c>
      <c r="L12" s="40" t="inlineStr">
        <is>
          <t>2023</t>
        </is>
      </c>
      <c r="M12" s="40" t="inlineStr">
        <is>
          <t>10.1016/j.cell.2021.04.028</t>
        </is>
      </c>
      <c r="N12" s="40" t="inlineStr">
        <is>
          <t>body of stomach|colon|duodenum|epithelium of trachea|esophagus|ileum|jejunum|liver|lung|pyloric antrum|small intestine|stomach</t>
        </is>
      </c>
      <c r="O12" s="40" t="inlineStr">
        <is>
          <t>normal</t>
        </is>
      </c>
      <c r="P12" s="40" t="inlineStr">
        <is>
          <t>10x 3' v2|10x 3' v3</t>
        </is>
      </c>
      <c r="Q12" s="40" t="inlineStr">
        <is>
          <t>cell</t>
        </is>
      </c>
      <c r="R12" s="41" t="n">
        <v>155232</v>
      </c>
      <c r="S12" s="40" t="inlineStr">
        <is>
          <t>enteroendocrine cell|glial cell|peripheral nervous system neuron</t>
        </is>
      </c>
      <c r="T12" s="40" t="n"/>
      <c r="U12" s="40" t="inlineStr">
        <is>
          <t>general peripheral neurobiology</t>
        </is>
      </c>
      <c r="V12" s="40" t="inlineStr">
        <is>
          <t>https://datasets.cellxgene.cziscience.com/00b80c9b-8dbd-45c1-8347-51fbe8bd150e.h5ad</t>
        </is>
      </c>
      <c r="W12" s="40" t="inlineStr">
        <is>
          <t>https://cellxgene.cziscience.com/collections/dfc09a93-bce0-4c77-893d-e153d1b7f9fa</t>
        </is>
      </c>
      <c r="X12" s="40" t="n">
        <v>2</v>
      </c>
      <c r="Y12" s="42" t="inlineStr">
        <is>
          <t>?</t>
        </is>
      </c>
      <c r="Z12" s="42" t="inlineStr">
        <is>
          <t>A</t>
        </is>
      </c>
    </row>
    <row r="13">
      <c r="A13" s="40" t="inlineStr">
        <is>
          <t>人 Human</t>
        </is>
      </c>
      <c r="B13" s="40" t="inlineStr">
        <is>
          <t>肠神经/消化道</t>
        </is>
      </c>
      <c r="C13" s="40" t="inlineStr">
        <is>
          <t>body of stomach</t>
        </is>
      </c>
      <c r="D13" s="40" t="inlineStr">
        <is>
          <t>Homo sapiens</t>
        </is>
      </c>
      <c r="E13" s="40" t="inlineStr">
        <is>
          <t>L4</t>
        </is>
      </c>
      <c r="F13" s="40" t="inlineStr">
        <is>
          <t>L4:Enteroendocrine cell/Type G enteroendocrine cell</t>
        </is>
      </c>
      <c r="G13" s="40" t="inlineStr"/>
      <c r="H13" s="40" t="inlineStr">
        <is>
          <t>a18474f4-ff1e-4864-af69-270b956cee5b</t>
        </is>
      </c>
      <c r="I13" s="40" t="inlineStr">
        <is>
          <t>CELLxGENE:7bb64315-9e5a-41b9-9235-59acf9642a3e</t>
        </is>
      </c>
      <c r="J13" s="40" t="inlineStr">
        <is>
          <t>Single-cell RNA sequencing unifies developmental programs of Esophageal and Gastric Intestinal Metaplasia</t>
        </is>
      </c>
      <c r="K13" s="40" t="inlineStr">
        <is>
          <t>单细胞RNA测序统一食管与胃肠化生的发育程序</t>
        </is>
      </c>
      <c r="L13" s="40" t="inlineStr">
        <is>
          <t>2023</t>
        </is>
      </c>
      <c r="M13" s="40" t="inlineStr">
        <is>
          <t>10.1158/2159-8290.cd-22-0824</t>
        </is>
      </c>
      <c r="N13" s="40" t="inlineStr">
        <is>
          <t>body of stomach|cardia of stomach|colon|duodenum|esophagogastric junction|ileum|lower esophagus|rectum|submucosal esophageal gland</t>
        </is>
      </c>
      <c r="O13" s="40" t="inlineStr">
        <is>
          <t>Barrett esophagus|gastric cancer|gastric intestinal metaplasia|gastritis|normal</t>
        </is>
      </c>
      <c r="P13" s="40" t="inlineStr">
        <is>
          <t>10x 3' v2|10x 3' v3|10x 5' v1</t>
        </is>
      </c>
      <c r="Q13" s="40" t="inlineStr">
        <is>
          <t>cell</t>
        </is>
      </c>
      <c r="R13" s="41" t="n">
        <v>293823</v>
      </c>
      <c r="S13" s="40" t="inlineStr">
        <is>
          <t>P/D1 enteroendocrine cell|enteroendocrine cell|type G enteroendocrine cell</t>
        </is>
      </c>
      <c r="T13" s="40" t="n"/>
      <c r="U13" s="40" t="inlineStr">
        <is>
          <t>神经-免疫通讯</t>
        </is>
      </c>
      <c r="V13" s="40" t="inlineStr">
        <is>
          <t>https://datasets.cellxgene.cziscience.com/3b5ba887-80df-43db-8486-3fc03027a15e.h5ad</t>
        </is>
      </c>
      <c r="W13" s="40" t="inlineStr">
        <is>
          <t>https://cellxgene.cziscience.com/collections/a18474f4-ff1e-4864-af69-270b956cee5b</t>
        </is>
      </c>
      <c r="X13" s="40" t="n">
        <v>3</v>
      </c>
      <c r="Y13" s="42" t="inlineStr">
        <is>
          <t>?</t>
        </is>
      </c>
      <c r="Z13" s="42" t="inlineStr">
        <is>
          <t>A</t>
        </is>
      </c>
    </row>
    <row r="14">
      <c r="A14" s="40" t="inlineStr">
        <is>
          <t>人 Human</t>
        </is>
      </c>
      <c r="B14" s="40" t="inlineStr">
        <is>
          <t>肠神经/消化道</t>
        </is>
      </c>
      <c r="C14" s="40" t="inlineStr">
        <is>
          <t>caecum</t>
        </is>
      </c>
      <c r="D14" s="40" t="inlineStr">
        <is>
          <t>Homo sapiens</t>
        </is>
      </c>
      <c r="E14" s="40" t="inlineStr">
        <is>
          <t>L4</t>
        </is>
      </c>
      <c r="F14" s="40" t="inlineStr">
        <is>
          <t>L4:Enteroendocrine cell of colon</t>
        </is>
      </c>
      <c r="G14" s="40" t="inlineStr"/>
      <c r="H14" s="40" t="inlineStr">
        <is>
          <t>1cbfb478-2c7f-4d15-b522-9f74e9fe52a8</t>
        </is>
      </c>
      <c r="I14" s="40" t="inlineStr">
        <is>
          <t>CELLxGENE:829a3cd1-a466-49f1-b2e9-d3f6b7f392e2</t>
        </is>
      </c>
      <c r="J14" s="40" t="inlineStr">
        <is>
          <t>Progressive plasticity during colorectal cancer metastasis</t>
        </is>
      </c>
      <c r="K14" s="40" t="inlineStr">
        <is>
          <t>结直肠癌转移过程中的渐进式可塑性</t>
        </is>
      </c>
      <c r="L14" s="40" t="inlineStr">
        <is>
          <t>2025</t>
        </is>
      </c>
      <c r="M14" s="40" t="inlineStr">
        <is>
          <t>10.1038/s41586-024-08560-0</t>
        </is>
      </c>
      <c r="N14" s="40" t="inlineStr">
        <is>
          <t>caecum|chest wall|descending colon|hepatic flexure of colon|liver|lung|peritoneum|rectum|sigmoid colon|transverse colon</t>
        </is>
      </c>
      <c r="O14" s="40" t="inlineStr">
        <is>
          <t>colorectal cancer|normal</t>
        </is>
      </c>
      <c r="P14" s="40" t="inlineStr">
        <is>
          <t>10x 3' v3</t>
        </is>
      </c>
      <c r="Q14" s="40" t="inlineStr">
        <is>
          <t>cell</t>
        </is>
      </c>
      <c r="R14" s="41" t="n">
        <v>47107</v>
      </c>
      <c r="S14" s="40" t="inlineStr">
        <is>
          <t>enteroendocrine cell of colon</t>
        </is>
      </c>
      <c r="T14" s="40" t="n"/>
      <c r="U14" s="40" t="inlineStr">
        <is>
          <t>神经-免疫通讯</t>
        </is>
      </c>
      <c r="V14" s="40" t="inlineStr">
        <is>
          <t>https://datasets.cellxgene.cziscience.com/81bd8922-b69a-45ea-9b2a-032c480c0e37.h5ad</t>
        </is>
      </c>
      <c r="W14" s="40" t="inlineStr">
        <is>
          <t>https://cellxgene.cziscience.com/collections/1cbfb478-2c7f-4d15-b522-9f74e9fe52a8</t>
        </is>
      </c>
      <c r="X14" s="40" t="n">
        <v>3</v>
      </c>
      <c r="Y14" s="42" t="inlineStr">
        <is>
          <t>?</t>
        </is>
      </c>
      <c r="Z14" s="42" t="inlineStr">
        <is>
          <t>A</t>
        </is>
      </c>
    </row>
    <row r="15">
      <c r="A15" s="40" t="inlineStr">
        <is>
          <t>人 Human</t>
        </is>
      </c>
      <c r="B15" s="40" t="inlineStr">
        <is>
          <t>肠神经/消化道</t>
        </is>
      </c>
      <c r="C15" s="40" t="inlineStr">
        <is>
          <t>caecum epithelium</t>
        </is>
      </c>
      <c r="D15" s="40" t="inlineStr">
        <is>
          <t>Homo sapiens</t>
        </is>
      </c>
      <c r="E15" s="40" t="inlineStr">
        <is>
          <t>L4</t>
        </is>
      </c>
      <c r="F15" s="40" t="inlineStr">
        <is>
          <t>L4:Enteroendocrine cell</t>
        </is>
      </c>
      <c r="G15" s="40" t="inlineStr"/>
      <c r="H15" s="40" t="inlineStr">
        <is>
          <t>33d19f34-87f5-455b-8ca5-9023a2e5453d</t>
        </is>
      </c>
      <c r="I15" s="40" t="inlineStr">
        <is>
          <t>CELLxGENE:4dd00779-7f73-4f50-89bb-e2d3c6b71b18</t>
        </is>
      </c>
      <c r="J15" s="40" t="inlineStr">
        <is>
          <t>Intra- and Inter-cellular Rewiring of the Human Colon during Ulcerative Colitis</t>
        </is>
      </c>
      <c r="K15" s="40" t="inlineStr">
        <is>
          <t>溃疡性结肠炎期间人结肠的细胞内与细胞间重连</t>
        </is>
      </c>
      <c r="L15" s="40" t="inlineStr">
        <is>
          <t>2023</t>
        </is>
      </c>
      <c r="M15" s="40" t="inlineStr">
        <is>
          <t>10.1016/j.cell.2019.06.029</t>
        </is>
      </c>
      <c r="N15" s="40" t="inlineStr">
        <is>
          <t>caecum epithelium|colonic epithelium|transverse colon epithelium</t>
        </is>
      </c>
      <c r="O15" s="40" t="inlineStr">
        <is>
          <t>normal</t>
        </is>
      </c>
      <c r="P15" s="40" t="inlineStr">
        <is>
          <t>10x 3' v1|10x 3' v2</t>
        </is>
      </c>
      <c r="Q15" s="40" t="inlineStr">
        <is>
          <t>cell</t>
        </is>
      </c>
      <c r="R15" s="41" t="n">
        <v>34772</v>
      </c>
      <c r="S15" s="40" t="inlineStr">
        <is>
          <t>enteroendocrine cell</t>
        </is>
      </c>
      <c r="T15" s="40" t="n"/>
      <c r="U15" s="40" t="inlineStr">
        <is>
          <t>神经-免疫通讯;炎症;伤口修复</t>
        </is>
      </c>
      <c r="V15" s="40" t="inlineStr">
        <is>
          <t>https://datasets.cellxgene.cziscience.com/774d77e7-210d-4237-8ca8-8d2bb841a2e4.h5ad</t>
        </is>
      </c>
      <c r="W15" s="40" t="inlineStr">
        <is>
          <t>https://cellxgene.cziscience.com/collections/33d19f34-87f5-455b-8ca5-9023a2e5453d</t>
        </is>
      </c>
      <c r="X15" s="40" t="n">
        <v>1</v>
      </c>
      <c r="Y15" s="42" t="inlineStr">
        <is>
          <t>?</t>
        </is>
      </c>
      <c r="Z15" s="42" t="inlineStr">
        <is>
          <t>A</t>
        </is>
      </c>
    </row>
    <row r="16">
      <c r="A16" s="40" t="inlineStr">
        <is>
          <t>人 Human</t>
        </is>
      </c>
      <c r="B16" s="40" t="inlineStr">
        <is>
          <t>肠神经/消化道</t>
        </is>
      </c>
      <c r="C16" s="40" t="inlineStr">
        <is>
          <t>colon</t>
        </is>
      </c>
      <c r="D16" s="40" t="inlineStr">
        <is>
          <t>Homo sapiens</t>
        </is>
      </c>
      <c r="E16" s="40" t="inlineStr">
        <is>
          <t>L1;L4</t>
        </is>
      </c>
      <c r="F16" s="40" t="inlineStr">
        <is>
          <t>L1:Enteric neuron | L4:Enteroendocrine cell</t>
        </is>
      </c>
      <c r="G16" s="40" t="inlineStr"/>
      <c r="H16" s="40" t="inlineStr">
        <is>
          <t>17481d16-ee44-49e5-bcf0-28c0780d8c4a</t>
        </is>
      </c>
      <c r="I16" s="40" t="inlineStr">
        <is>
          <t>CELLxGENE:b46237d1-19c6-4af2-9335-9854634bad16</t>
        </is>
      </c>
      <c r="J16" s="40" t="inlineStr">
        <is>
          <t>Single-Cell Sequencing of Developing Human Gut Reveals Transcriptional Links to Childhood Crohn’s Disease</t>
        </is>
      </c>
      <c r="K16" s="40" t="inlineStr">
        <is>
          <t>发育中人类肠道的单细胞测序揭示与儿童克罗恩病的转录关联</t>
        </is>
      </c>
      <c r="L16" s="40" t="inlineStr">
        <is>
          <t>2022</t>
        </is>
      </c>
      <c r="M16" s="40" t="inlineStr">
        <is>
          <t>10.1016/j.devcel.2020.11.010</t>
        </is>
      </c>
      <c r="N16" s="40" t="inlineStr">
        <is>
          <t>colon|duodeno-jejunal junction|ileum</t>
        </is>
      </c>
      <c r="O16" s="40" t="inlineStr">
        <is>
          <t>normal</t>
        </is>
      </c>
      <c r="P16" s="40" t="inlineStr">
        <is>
          <t>10x 3' v2</t>
        </is>
      </c>
      <c r="Q16" s="40" t="inlineStr">
        <is>
          <t>cell</t>
        </is>
      </c>
      <c r="R16" s="41" t="n">
        <v>62849</v>
      </c>
      <c r="S16" s="40" t="inlineStr">
        <is>
          <t>enteric neuron|enteroendocrine cell</t>
        </is>
      </c>
      <c r="T16" s="40" t="n"/>
      <c r="U16" s="40" t="inlineStr">
        <is>
          <t>神经-免疫通讯;炎症</t>
        </is>
      </c>
      <c r="V16" s="40" t="inlineStr">
        <is>
          <t>https://datasets.cellxgene.cziscience.com/5cf26393-87e2-4946-8a97-2d42625856a3.h5ad</t>
        </is>
      </c>
      <c r="W16" s="40" t="inlineStr">
        <is>
          <t>https://cellxgene.cziscience.com/collections/17481d16-ee44-49e5-bcf0-28c0780d8c4a</t>
        </is>
      </c>
      <c r="X16" s="40" t="n">
        <v>2</v>
      </c>
      <c r="Y16" s="42" t="inlineStr">
        <is>
          <t>?</t>
        </is>
      </c>
      <c r="Z16" s="42" t="inlineStr">
        <is>
          <t>A</t>
        </is>
      </c>
    </row>
    <row r="17">
      <c r="A17" s="40" t="inlineStr">
        <is>
          <t>人 Human</t>
        </is>
      </c>
      <c r="B17" s="40" t="inlineStr">
        <is>
          <t>肠神经/消化道</t>
        </is>
      </c>
      <c r="C17" s="40" t="inlineStr">
        <is>
          <t>colon</t>
        </is>
      </c>
      <c r="D17" s="40" t="inlineStr">
        <is>
          <t>Homo sapiens</t>
        </is>
      </c>
      <c r="E17" s="40" t="inlineStr">
        <is>
          <t>L1;L4</t>
        </is>
      </c>
      <c r="F17" s="40" t="inlineStr">
        <is>
          <t>L1:Inhibitory motor neuron/Interneuron (ENS)/Motor neuron | L4:Neuroendocrine cell</t>
        </is>
      </c>
      <c r="G17" s="40" t="inlineStr">
        <is>
          <t>含泛glial(疑肠胶质,可能L2)</t>
        </is>
      </c>
      <c r="H17" s="40" t="inlineStr">
        <is>
          <t>60358420-6055-411d-ba4f-e8ac80682a2e</t>
        </is>
      </c>
      <c r="I17" s="40" t="inlineStr">
        <is>
          <t>CELLxGENE:bbd16004-09e8-4b6c-b465-73ff83a52837</t>
        </is>
      </c>
      <c r="J17" s="40" t="inlineStr">
        <is>
          <t>Spatiotemporal analysis of human intestinal development at single-cell resolution</t>
        </is>
      </c>
      <c r="K17" s="40" t="inlineStr">
        <is>
          <t>单细胞分辨率下人类肠道发育的时空分析</t>
        </is>
      </c>
      <c r="L17" s="40" t="inlineStr">
        <is>
          <t>2021</t>
        </is>
      </c>
      <c r="M17" s="40" t="inlineStr">
        <is>
          <t>10.1016/j.cell.2020.12.016</t>
        </is>
      </c>
      <c r="N17" s="40" t="inlineStr">
        <is>
          <t>colon|hindgut|ileum</t>
        </is>
      </c>
      <c r="O17" s="40" t="inlineStr">
        <is>
          <t>normal</t>
        </is>
      </c>
      <c r="P17" s="40" t="inlineStr">
        <is>
          <t>10x 3' v3</t>
        </is>
      </c>
      <c r="Q17" s="40" t="inlineStr">
        <is>
          <t>cell</t>
        </is>
      </c>
      <c r="R17" s="41" t="n">
        <v>4144</v>
      </c>
      <c r="S17" s="40" t="inlineStr">
        <is>
          <t>glial cell|inhibitory motor neuron|interneuron|motor neuron|neuroendocrine cell</t>
        </is>
      </c>
      <c r="T17" s="40" t="n"/>
      <c r="U17" s="40" t="inlineStr">
        <is>
          <t>general peripheral neurobiology</t>
        </is>
      </c>
      <c r="V17" s="40" t="inlineStr">
        <is>
          <t>https://datasets.cellxgene.cziscience.com/a40d9047-5990-4aa1-aac8-2ff55649dab5.h5ad</t>
        </is>
      </c>
      <c r="W17" s="40" t="inlineStr">
        <is>
          <t>https://cellxgene.cziscience.com/collections/60358420-6055-411d-ba4f-e8ac80682a2e</t>
        </is>
      </c>
      <c r="X17" s="40" t="n">
        <v>2</v>
      </c>
      <c r="Y17" s="42" t="inlineStr">
        <is>
          <t>?</t>
        </is>
      </c>
      <c r="Z17" s="42" t="inlineStr">
        <is>
          <t>A</t>
        </is>
      </c>
    </row>
    <row r="18">
      <c r="A18" s="40" t="inlineStr">
        <is>
          <t>人 Human</t>
        </is>
      </c>
      <c r="B18" s="40" t="inlineStr">
        <is>
          <t>肠神经/消化道</t>
        </is>
      </c>
      <c r="C18" s="40" t="inlineStr">
        <is>
          <t>colorectum</t>
        </is>
      </c>
      <c r="D18" s="40" t="inlineStr">
        <is>
          <t>Homo sapiens</t>
        </is>
      </c>
      <c r="E18" s="40" t="inlineStr">
        <is>
          <t>L2;L4</t>
        </is>
      </c>
      <c r="F18" s="40" t="inlineStr">
        <is>
          <t>L2:Schwann cell | L4:Enteroendocrine cell</t>
        </is>
      </c>
      <c r="G18" s="40" t="inlineStr"/>
      <c r="H18" s="40" t="inlineStr">
        <is>
          <t>4d82bd8e-8827-410b-8fc7-685b7dd92585</t>
        </is>
      </c>
      <c r="I18" s="40" t="inlineStr">
        <is>
          <t>CELLxGENE:16023185-de21-4c0d-a9c8-73abdd52d142</t>
        </is>
      </c>
      <c r="J18" s="40" t="inlineStr">
        <is>
          <t>Spatially organized multicellular immune hubs in human colorectal cancer</t>
        </is>
      </c>
      <c r="K18" s="40" t="inlineStr">
        <is>
          <t>人类结直肠癌中空间组织的多细胞免疫枢纽</t>
        </is>
      </c>
      <c r="L18" s="40" t="inlineStr">
        <is>
          <t>2025</t>
        </is>
      </c>
      <c r="M18" s="40" t="inlineStr">
        <is>
          <t>10.1016/j.cell.2021.08.003</t>
        </is>
      </c>
      <c r="N18" s="40" t="inlineStr">
        <is>
          <t>colorectum</t>
        </is>
      </c>
      <c r="O18" s="40" t="inlineStr">
        <is>
          <t>colon adenocarcinoma|normal</t>
        </is>
      </c>
      <c r="P18" s="40" t="inlineStr">
        <is>
          <t>10x 3' v2|10x 3' v3</t>
        </is>
      </c>
      <c r="Q18" s="40" t="inlineStr">
        <is>
          <t>cell</t>
        </is>
      </c>
      <c r="R18" s="41" t="n">
        <v>370115</v>
      </c>
      <c r="S18" s="40" t="inlineStr">
        <is>
          <t>Schwann cell|enteroendocrine cell</t>
        </is>
      </c>
      <c r="T18" s="40" t="n"/>
      <c r="U18" s="40" t="inlineStr">
        <is>
          <t>神经-免疫通讯;外周神经再生</t>
        </is>
      </c>
      <c r="V18" s="40" t="inlineStr">
        <is>
          <t>https://datasets.cellxgene.cziscience.com/3d1f3641-5755-47e2-b797-10317d33fe32.h5ad</t>
        </is>
      </c>
      <c r="W18" s="40" t="inlineStr">
        <is>
          <t>https://cellxgene.cziscience.com/collections/4d82bd8e-8827-410b-8fc7-685b7dd92585</t>
        </is>
      </c>
      <c r="X18" s="40" t="n">
        <v>3</v>
      </c>
      <c r="Y18" s="42" t="inlineStr">
        <is>
          <t>?</t>
        </is>
      </c>
      <c r="Z18" s="42" t="inlineStr">
        <is>
          <t>A</t>
        </is>
      </c>
    </row>
    <row r="19">
      <c r="A19" s="40" t="inlineStr">
        <is>
          <t>人 Human</t>
        </is>
      </c>
      <c r="B19" s="40" t="inlineStr">
        <is>
          <t>肠神经/消化道</t>
        </is>
      </c>
      <c r="C19" s="40" t="inlineStr">
        <is>
          <t>duodenum</t>
        </is>
      </c>
      <c r="D19" s="40" t="inlineStr">
        <is>
          <t>Homo sapiens</t>
        </is>
      </c>
      <c r="E19" s="40" t="inlineStr">
        <is>
          <t>L2;L4</t>
        </is>
      </c>
      <c r="F19" s="40" t="inlineStr">
        <is>
          <t>L2:Enteroglial cell | L4:Enteroendocrine cell of small intestine</t>
        </is>
      </c>
      <c r="G19" s="40" t="inlineStr"/>
      <c r="H19" s="40" t="inlineStr">
        <is>
          <t>e5f58829-1a66-40b5-a624-9046778e74f5</t>
        </is>
      </c>
      <c r="I19" s="40" t="inlineStr">
        <is>
          <t>CELLxGENE:a357414d-2042-4eb5-95f0-c58604a18bdd</t>
        </is>
      </c>
      <c r="J19" s="40" t="inlineStr">
        <is>
          <t>Tabula Sapiens</t>
        </is>
      </c>
      <c r="K19" s="40" t="inlineStr">
        <is>
          <t>Tabula Sapiens</t>
        </is>
      </c>
      <c r="L19" s="40" t="inlineStr">
        <is>
          <t>2021</t>
        </is>
      </c>
      <c r="M19" s="40" t="inlineStr">
        <is>
          <t>10.1126/science.abl4896</t>
        </is>
      </c>
      <c r="N19" s="40" t="inlineStr">
        <is>
          <t>duodenum|ileum|jejunum|small intestine</t>
        </is>
      </c>
      <c r="O19" s="40" t="inlineStr">
        <is>
          <t>normal</t>
        </is>
      </c>
      <c r="P19" s="40" t="inlineStr">
        <is>
          <t>10x 3' v3|Smart-seq2</t>
        </is>
      </c>
      <c r="Q19" s="40" t="inlineStr">
        <is>
          <t>cell</t>
        </is>
      </c>
      <c r="R19" s="41" t="n">
        <v>42036</v>
      </c>
      <c r="S19" s="40" t="inlineStr">
        <is>
          <t>enteroendocrine cell of small intestine|enteroglial cell</t>
        </is>
      </c>
      <c r="T19" s="40" t="n"/>
      <c r="U19" s="40" t="inlineStr">
        <is>
          <t>general peripheral neurobiology</t>
        </is>
      </c>
      <c r="V19" s="40" t="inlineStr">
        <is>
          <t>https://datasets.cellxgene.cziscience.com/6db4dfe6-d421-4287-a9dc-22eaa59be966.h5ad</t>
        </is>
      </c>
      <c r="W19" s="40" t="inlineStr">
        <is>
          <t>https://cellxgene.cziscience.com/collections/e5f58829-1a66-40b5-a624-9046778e74f5</t>
        </is>
      </c>
      <c r="X19" s="40" t="n">
        <v>5</v>
      </c>
      <c r="Y19" s="42" t="inlineStr">
        <is>
          <t>?</t>
        </is>
      </c>
      <c r="Z19" s="42" t="inlineStr">
        <is>
          <t>A</t>
        </is>
      </c>
    </row>
    <row r="20">
      <c r="A20" s="40" t="inlineStr">
        <is>
          <t>人 Human</t>
        </is>
      </c>
      <c r="B20" s="40" t="inlineStr">
        <is>
          <t>肠神经/消化道</t>
        </is>
      </c>
      <c r="C20" s="40" t="inlineStr">
        <is>
          <t>epithelium of small intestine</t>
        </is>
      </c>
      <c r="D20" s="40" t="inlineStr">
        <is>
          <t>Homo sapiens</t>
        </is>
      </c>
      <c r="E20" s="40" t="inlineStr">
        <is>
          <t>L4</t>
        </is>
      </c>
      <c r="F20" s="40" t="inlineStr">
        <is>
          <t>L4:Type EC enteroendocrine cell/Type L enteroendocrine cell</t>
        </is>
      </c>
      <c r="G20" s="40" t="inlineStr"/>
      <c r="H20" s="40" t="inlineStr">
        <is>
          <t>5c868b6f-62c5-4532-9d7f-a346ad4b50a7</t>
        </is>
      </c>
      <c r="I20" s="40" t="inlineStr">
        <is>
          <t>CELLxGENE:fe4b89d5-461e-440c-a5a8-621b37b122c0</t>
        </is>
      </c>
      <c r="J20" s="40" t="inlineStr">
        <is>
          <t>The landscape of immune dysregulation in Crohn’s disease revealed through single-cell transcriptomic profiling in the ileum and colon</t>
        </is>
      </c>
      <c r="K20" s="40" t="inlineStr">
        <is>
          <t>单细胞转录组谱分析揭示克罗恩病回肠与结肠免疫失调的全景</t>
        </is>
      </c>
      <c r="L20" s="40" t="inlineStr">
        <is>
          <t>2023</t>
        </is>
      </c>
      <c r="M20" s="40" t="inlineStr">
        <is>
          <t>10.1016/j.immuni.2023.01.002</t>
        </is>
      </c>
      <c r="N20" s="40" t="inlineStr">
        <is>
          <t>epithelium of small intestine|ileal epithelium|ileum|ileum lamina propria|lamina propria of small intestine|small intestine</t>
        </is>
      </c>
      <c r="O20" s="40" t="inlineStr">
        <is>
          <t>Crohn disease|normal</t>
        </is>
      </c>
      <c r="P20" s="40" t="inlineStr">
        <is>
          <t>10x 3' v2|10x 3' v3</t>
        </is>
      </c>
      <c r="Q20" s="40" t="inlineStr">
        <is>
          <t>cell</t>
        </is>
      </c>
      <c r="R20" s="41" t="n">
        <v>154136</v>
      </c>
      <c r="S20" s="40" t="inlineStr">
        <is>
          <t>type EC enteroendocrine cell|type L enteroendocrine cell</t>
        </is>
      </c>
      <c r="T20" s="40" t="n"/>
      <c r="U20" s="40" t="inlineStr">
        <is>
          <t>神经-免疫通讯;炎症</t>
        </is>
      </c>
      <c r="V20" s="40" t="inlineStr">
        <is>
          <t>https://datasets.cellxgene.cziscience.com/6a6b7339-106f-420b-95ae-c8d2d91f9945.h5ad</t>
        </is>
      </c>
      <c r="W20" s="40" t="inlineStr">
        <is>
          <t>https://cellxgene.cziscience.com/collections/5c868b6f-62c5-4532-9d7f-a346ad4b50a7</t>
        </is>
      </c>
      <c r="X20" s="40" t="n">
        <v>4</v>
      </c>
      <c r="Y20" s="42" t="inlineStr">
        <is>
          <t>?</t>
        </is>
      </c>
      <c r="Z20" s="42" t="inlineStr">
        <is>
          <t>A</t>
        </is>
      </c>
    </row>
    <row r="21">
      <c r="A21" s="40" t="inlineStr">
        <is>
          <t>人 Human</t>
        </is>
      </c>
      <c r="B21" s="40" t="inlineStr">
        <is>
          <t>肠神经/消化道</t>
        </is>
      </c>
      <c r="C21" s="40" t="inlineStr">
        <is>
          <t>ileum</t>
        </is>
      </c>
      <c r="D21" s="40" t="inlineStr">
        <is>
          <t>Homo sapiens</t>
        </is>
      </c>
      <c r="E21" s="40" t="inlineStr">
        <is>
          <t>L4</t>
        </is>
      </c>
      <c r="F21" s="40" t="inlineStr">
        <is>
          <t>L4:Enteroendocrine cell of colon</t>
        </is>
      </c>
      <c r="G21" s="40" t="inlineStr"/>
      <c r="H21" s="40" t="inlineStr">
        <is>
          <t>ff668d5d-5b3f-49ee-a007-ff0664bf35ec</t>
        </is>
      </c>
      <c r="I21" s="40" t="inlineStr">
        <is>
          <t>CELLxGENE:248cf7bf-508b-4c28-a2fd-cabe2ab956aa</t>
        </is>
      </c>
      <c r="J21" s="40" t="inlineStr">
        <is>
          <t>Single-cell transcriptome analysis reveals differential nutrient absorption functions in human intestine</t>
        </is>
      </c>
      <c r="K21" s="40" t="inlineStr">
        <is>
          <t>单细胞转录组分析揭示人肠道中差异性的营养吸收功能</t>
        </is>
      </c>
      <c r="L21" s="40" t="inlineStr">
        <is>
          <t>2022</t>
        </is>
      </c>
      <c r="M21" s="40" t="inlineStr">
        <is>
          <t>10.1084/jem.20191130</t>
        </is>
      </c>
      <c r="N21" s="40" t="inlineStr">
        <is>
          <t>ileum</t>
        </is>
      </c>
      <c r="O21" s="40" t="inlineStr">
        <is>
          <t>normal</t>
        </is>
      </c>
      <c r="P21" s="40" t="inlineStr">
        <is>
          <t>10x 3' v2</t>
        </is>
      </c>
      <c r="Q21" s="40" t="inlineStr">
        <is>
          <t>cell</t>
        </is>
      </c>
      <c r="R21" s="41" t="n">
        <v>5980</v>
      </c>
      <c r="S21" s="40" t="inlineStr">
        <is>
          <t>enteroendocrine cell of colon</t>
        </is>
      </c>
      <c r="T21" s="40" t="n"/>
      <c r="U21" s="40" t="inlineStr">
        <is>
          <t>general peripheral neurobiology</t>
        </is>
      </c>
      <c r="V21" s="40" t="inlineStr">
        <is>
          <t>https://datasets.cellxgene.cziscience.com/685f053a-2204-489a-b166-1d0190406be6.h5ad</t>
        </is>
      </c>
      <c r="W21" s="40" t="inlineStr">
        <is>
          <t>https://cellxgene.cziscience.com/collections/ff668d5d-5b3f-49ee-a007-ff0664bf35ec</t>
        </is>
      </c>
      <c r="X21" s="40" t="n">
        <v>3</v>
      </c>
      <c r="Y21" s="42" t="inlineStr">
        <is>
          <t>?</t>
        </is>
      </c>
      <c r="Z21" s="42" t="inlineStr">
        <is>
          <t>A</t>
        </is>
      </c>
    </row>
    <row r="22">
      <c r="A22" s="40" t="inlineStr">
        <is>
          <t>人 Human</t>
        </is>
      </c>
      <c r="B22" s="40" t="inlineStr">
        <is>
          <t>肠神经/消化道</t>
        </is>
      </c>
      <c r="C22" s="40" t="inlineStr">
        <is>
          <t>ileum</t>
        </is>
      </c>
      <c r="D22" s="40" t="inlineStr">
        <is>
          <t>Homo sapiens</t>
        </is>
      </c>
      <c r="E22" s="40" t="inlineStr">
        <is>
          <t>L4</t>
        </is>
      </c>
      <c r="F22" s="40" t="inlineStr">
        <is>
          <t>L4:Enteroendocrine cell of small intestine</t>
        </is>
      </c>
      <c r="G22" s="40" t="inlineStr">
        <is>
          <t>含泛glial(疑肠胶质,可能L2)</t>
        </is>
      </c>
      <c r="H22" s="40" t="inlineStr">
        <is>
          <t>2b02dff7-e427-4cdc-96fb-c0f354c099aa</t>
        </is>
      </c>
      <c r="I22" s="40" t="inlineStr">
        <is>
          <t>CELLxGENE:36c867a7-be10-4e69-9b39-5de12b0af6da</t>
        </is>
      </c>
      <c r="J22" s="40" t="inlineStr">
        <is>
          <t>Single-Cell Analysis of Crohn’s Disease Lesions Identifies a Pathogenic Cellular Module Associated with Resistance to Anti-TNF Therapy</t>
        </is>
      </c>
      <c r="K22" s="40" t="inlineStr">
        <is>
          <t>克罗恩病病灶的单细胞分析识别出与抗TNF治疗耐药相关的致病性细胞模块</t>
        </is>
      </c>
      <c r="L22" s="40" t="inlineStr">
        <is>
          <t>2022</t>
        </is>
      </c>
      <c r="M22" s="40" t="inlineStr">
        <is>
          <t>10.1016/j.cell.2019.08.008</t>
        </is>
      </c>
      <c r="N22" s="40" t="inlineStr">
        <is>
          <t>ileum</t>
        </is>
      </c>
      <c r="O22" s="40" t="inlineStr">
        <is>
          <t>normal</t>
        </is>
      </c>
      <c r="P22" s="40" t="inlineStr">
        <is>
          <t>10x 3' v1|10x 3' v2</t>
        </is>
      </c>
      <c r="Q22" s="40" t="inlineStr">
        <is>
          <t>cell</t>
        </is>
      </c>
      <c r="R22" s="41" t="n">
        <v>32458</v>
      </c>
      <c r="S22" s="40" t="inlineStr">
        <is>
          <t>enteroendocrine cell of small intestine|glial cell</t>
        </is>
      </c>
      <c r="T22" s="40" t="n"/>
      <c r="U22" s="40" t="inlineStr">
        <is>
          <t>神经-免疫通讯;炎症</t>
        </is>
      </c>
      <c r="V22" s="40" t="inlineStr">
        <is>
          <t>https://datasets.cellxgene.cziscience.com/aa44120b-7b9f-4584-a8a2-0f3aceafc87c.h5ad</t>
        </is>
      </c>
      <c r="W22" s="40" t="inlineStr">
        <is>
          <t>https://cellxgene.cziscience.com/collections/2b02dff7-e427-4cdc-96fb-c0f354c099aa</t>
        </is>
      </c>
      <c r="X22" s="40" t="n">
        <v>1</v>
      </c>
      <c r="Y22" s="42" t="inlineStr">
        <is>
          <t>?</t>
        </is>
      </c>
      <c r="Z22" s="42" t="inlineStr">
        <is>
          <t>A</t>
        </is>
      </c>
    </row>
    <row r="23">
      <c r="A23" s="40" t="inlineStr">
        <is>
          <t>人 Human</t>
        </is>
      </c>
      <c r="B23" s="40" t="inlineStr">
        <is>
          <t>肠神经/消化道</t>
        </is>
      </c>
      <c r="C23" s="40" t="inlineStr">
        <is>
          <t>intestinal mucosa</t>
        </is>
      </c>
      <c r="D23" s="40" t="inlineStr">
        <is>
          <t>Homo sapiens</t>
        </is>
      </c>
      <c r="E23" s="40" t="inlineStr">
        <is>
          <t>L4</t>
        </is>
      </c>
      <c r="F23" s="40" t="inlineStr">
        <is>
          <t>L4:Enteroendocrine cell</t>
        </is>
      </c>
      <c r="G23" s="40" t="inlineStr">
        <is>
          <t>含泛neuron(肠,待裁定)</t>
        </is>
      </c>
      <c r="H23" s="40" t="inlineStr">
        <is>
          <t>f30e0bf7-7b03-44b0-b312-cda799ef0240</t>
        </is>
      </c>
      <c r="I23" s="40" t="inlineStr">
        <is>
          <t>CELLxGENE:51d9716c-50bb-4fd8-8d1e-7d9329969cb7</t>
        </is>
      </c>
      <c r="J23" s="40" t="inlineStr">
        <is>
          <t>iPSC-derived small intestine-on-chip with self-organizing epithelial, mesenchymal and neural cells</t>
        </is>
      </c>
      <c r="K23" s="40" t="inlineStr">
        <is>
          <t>iPSC衍生的小肠芯片模型：具有自组织上皮、间充质及神经细胞</t>
        </is>
      </c>
      <c r="L23" s="40" t="inlineStr">
        <is>
          <t>2024</t>
        </is>
      </c>
      <c r="M23" s="40" t="inlineStr">
        <is>
          <t>10.1016/j.celrep.2024.114247</t>
        </is>
      </c>
      <c r="N23" s="40" t="inlineStr">
        <is>
          <t>intestinal mucosa</t>
        </is>
      </c>
      <c r="O23" s="40" t="inlineStr">
        <is>
          <t>normal</t>
        </is>
      </c>
      <c r="P23" s="40" t="inlineStr">
        <is>
          <t>10x 3' v3</t>
        </is>
      </c>
      <c r="Q23" s="40" t="inlineStr">
        <is>
          <t>cell</t>
        </is>
      </c>
      <c r="R23" s="41" t="n">
        <v>11177</v>
      </c>
      <c r="S23" s="40" t="inlineStr">
        <is>
          <t>enteroendocrine cell|neuron</t>
        </is>
      </c>
      <c r="T23" s="40" t="n"/>
      <c r="U23" s="40" t="inlineStr">
        <is>
          <t>general peripheral neurobiology</t>
        </is>
      </c>
      <c r="V23" s="40" t="inlineStr">
        <is>
          <t>https://datasets.cellxgene.cziscience.com/c4bfcccf-6009-4590-a06d-c1443372c6c7.h5ad</t>
        </is>
      </c>
      <c r="W23" s="40" t="inlineStr">
        <is>
          <t>https://cellxgene.cziscience.com/collections/f30e0bf7-7b03-44b0-b312-cda799ef0240</t>
        </is>
      </c>
      <c r="X23" s="40" t="n">
        <v>2</v>
      </c>
      <c r="Y23" s="42" t="inlineStr">
        <is>
          <t>?</t>
        </is>
      </c>
      <c r="Z23" s="42" t="inlineStr">
        <is>
          <t>A</t>
        </is>
      </c>
    </row>
    <row r="24">
      <c r="A24" s="40" t="inlineStr">
        <is>
          <t>人 Human</t>
        </is>
      </c>
      <c r="B24" s="40" t="inlineStr">
        <is>
          <t>肠神经/消化道</t>
        </is>
      </c>
      <c r="C24" s="40" t="inlineStr">
        <is>
          <t>lamina propria of small intestine</t>
        </is>
      </c>
      <c r="D24" s="40" t="inlineStr">
        <is>
          <t>Homo sapiens</t>
        </is>
      </c>
      <c r="E24" s="40" t="inlineStr">
        <is>
          <t>L4</t>
        </is>
      </c>
      <c r="F24" s="40" t="inlineStr">
        <is>
          <t>L4:Enteroendocrine cell</t>
        </is>
      </c>
      <c r="G24" s="40" t="inlineStr">
        <is>
          <t>含泛glial(疑肠胶质,可能L2)</t>
        </is>
      </c>
      <c r="H24" s="40" t="inlineStr">
        <is>
          <t>a064d795-3b77-44ae-9fb5-beb57c567443</t>
        </is>
      </c>
      <c r="I24" s="40" t="inlineStr">
        <is>
          <t>CELLxGENE:6ceeaa86-9ceb-4582-b390-6d4dd6ff0572</t>
        </is>
      </c>
      <c r="J24" s="40" t="inlineStr">
        <is>
          <t>Pediatric FGID lamina propria of ileum biopsies.</t>
        </is>
      </c>
      <c r="K24" s="40" t="inlineStr">
        <is>
          <t>儿童FGID回肠固有层活检</t>
        </is>
      </c>
      <c r="L24" s="40" t="inlineStr">
        <is>
          <t>2023</t>
        </is>
      </c>
      <c r="M24" s="40" t="inlineStr">
        <is>
          <t>10.1101/2021.09.17.21263540</t>
        </is>
      </c>
      <c r="N24" s="40" t="inlineStr">
        <is>
          <t>lamina propria of small intestine</t>
        </is>
      </c>
      <c r="O24" s="40" t="inlineStr">
        <is>
          <t>digestive system disorder</t>
        </is>
      </c>
      <c r="P24" s="40" t="inlineStr">
        <is>
          <t>10x 3' v2</t>
        </is>
      </c>
      <c r="Q24" s="40" t="inlineStr">
        <is>
          <t>cell</t>
        </is>
      </c>
      <c r="R24" s="41" t="n">
        <v>89849</v>
      </c>
      <c r="S24" s="40" t="inlineStr">
        <is>
          <t>enteroendocrine cell|glial cell</t>
        </is>
      </c>
      <c r="T24" s="40" t="n"/>
      <c r="U24" s="40" t="inlineStr">
        <is>
          <t>general peripheral neurobiology</t>
        </is>
      </c>
      <c r="V24" s="40" t="inlineStr">
        <is>
          <t>https://datasets.cellxgene.cziscience.com/8cf9e6a2-5cd6-4d8e-95bd-b8c54d05e3f1.h5ad</t>
        </is>
      </c>
      <c r="W24" s="40" t="inlineStr">
        <is>
          <t>https://cellxgene.cziscience.com/collections/a064d795-3b77-44ae-9fb5-beb57c567443</t>
        </is>
      </c>
      <c r="X24" s="40" t="n">
        <v>1</v>
      </c>
      <c r="Y24" s="42" t="inlineStr">
        <is>
          <t>?</t>
        </is>
      </c>
      <c r="Z24" s="42" t="inlineStr">
        <is>
          <t>A</t>
        </is>
      </c>
    </row>
    <row r="25">
      <c r="A25" s="40" t="inlineStr">
        <is>
          <t>人 Human</t>
        </is>
      </c>
      <c r="B25" s="40" t="inlineStr">
        <is>
          <t>肠神经/消化道</t>
        </is>
      </c>
      <c r="C25" s="40" t="inlineStr">
        <is>
          <t>right colon</t>
        </is>
      </c>
      <c r="D25" s="40" t="inlineStr">
        <is>
          <t>Homo sapiens</t>
        </is>
      </c>
      <c r="E25" s="40" t="inlineStr">
        <is>
          <t>L1</t>
        </is>
      </c>
      <c r="F25" s="40" t="inlineStr">
        <is>
          <t>L1:Neuronal receptor cell</t>
        </is>
      </c>
      <c r="G25" s="40" t="inlineStr"/>
      <c r="H25" s="40" t="inlineStr">
        <is>
          <t>3b8b7fec-ed65-4483-9579-9f98f5a93a74</t>
        </is>
      </c>
      <c r="I25" s="40" t="inlineStr">
        <is>
          <t>CELLxGENE:5d4415d1-cfcd-4b43-b2b2-138b5afd68af</t>
        </is>
      </c>
      <c r="J25" s="40" t="inlineStr">
        <is>
          <t>Epithelium-enriched single cell transcriptomes from the ascending colon of pediatric and adult control subjects</t>
        </is>
      </c>
      <c r="K25" s="40" t="inlineStr">
        <is>
          <t>儿童和成人对照升结肠上皮富集的单细胞转录组</t>
        </is>
      </c>
      <c r="L25" s="40" t="inlineStr">
        <is>
          <t>2026</t>
        </is>
      </c>
      <c r="M25" s="40" t="inlineStr">
        <is>
          <t>10.1016/j.jcmgh.2025.101665</t>
        </is>
      </c>
      <c r="N25" s="40" t="inlineStr">
        <is>
          <t>right colon</t>
        </is>
      </c>
      <c r="O25" s="40" t="inlineStr">
        <is>
          <t>normal</t>
        </is>
      </c>
      <c r="P25" s="40" t="inlineStr">
        <is>
          <t>10x 3' v3</t>
        </is>
      </c>
      <c r="Q25" s="40" t="inlineStr">
        <is>
          <t>cell</t>
        </is>
      </c>
      <c r="R25" s="41" t="n">
        <v>35957</v>
      </c>
      <c r="S25" s="40" t="inlineStr">
        <is>
          <t>neuronal receptor cell</t>
        </is>
      </c>
      <c r="T25" s="40" t="n"/>
      <c r="U25" s="40" t="inlineStr">
        <is>
          <t>general peripheral neurobiology</t>
        </is>
      </c>
      <c r="V25" s="40" t="inlineStr">
        <is>
          <t>https://datasets.cellxgene.cziscience.com/45566c3d-0484-4b2b-858b-8aea1783f21f.h5ad</t>
        </is>
      </c>
      <c r="W25" s="40" t="inlineStr">
        <is>
          <t>https://cellxgene.cziscience.com/collections/3b8b7fec-ed65-4483-9579-9f98f5a93a74</t>
        </is>
      </c>
      <c r="X25" s="40" t="n">
        <v>2</v>
      </c>
      <c r="Y25" s="42" t="inlineStr">
        <is>
          <t>?</t>
        </is>
      </c>
      <c r="Z25" s="42" t="inlineStr">
        <is>
          <t>A</t>
        </is>
      </c>
    </row>
    <row r="26">
      <c r="A26" s="40" t="inlineStr">
        <is>
          <t>人 Human</t>
        </is>
      </c>
      <c r="B26" s="40" t="inlineStr">
        <is>
          <t>肠神经/消化道</t>
        </is>
      </c>
      <c r="C26" s="40" t="inlineStr">
        <is>
          <t>small intestine</t>
        </is>
      </c>
      <c r="D26" s="40" t="inlineStr">
        <is>
          <t>Homo sapiens</t>
        </is>
      </c>
      <c r="E26" s="40" t="inlineStr">
        <is>
          <t>L4</t>
        </is>
      </c>
      <c r="F26" s="40" t="inlineStr">
        <is>
          <t>L4:Enteroendocrine cell</t>
        </is>
      </c>
      <c r="G26" s="40" t="inlineStr">
        <is>
          <t>含泛neuron(肠,待裁定)</t>
        </is>
      </c>
      <c r="H26" s="40" t="inlineStr">
        <is>
          <t>7651ac1a-f947-463a-9223-a9e408a41989</t>
        </is>
      </c>
      <c r="I26" s="40" t="inlineStr">
        <is>
          <t>CELLxGENE:3f32121d-126b-4e8d-9f69-d86502d2a1b1</t>
        </is>
      </c>
      <c r="J26" s="40" t="inlineStr">
        <is>
          <t>Insulin is expressed by enteroendocrine cells during human fetal development</t>
        </is>
      </c>
      <c r="K26" s="40" t="inlineStr">
        <is>
          <t>人胎儿发育期间肠内分泌细胞表达胰岛素</t>
        </is>
      </c>
      <c r="L26" s="40" t="inlineStr">
        <is>
          <t>2023</t>
        </is>
      </c>
      <c r="M26" s="40" t="inlineStr">
        <is>
          <t>10.1038/s41591-021-01586-1</t>
        </is>
      </c>
      <c r="N26" s="40" t="inlineStr">
        <is>
          <t>small intestine</t>
        </is>
      </c>
      <c r="O26" s="40" t="inlineStr">
        <is>
          <t>normal</t>
        </is>
      </c>
      <c r="P26" s="40" t="inlineStr">
        <is>
          <t>10x 3' v2|10x 3' v3</t>
        </is>
      </c>
      <c r="Q26" s="40" t="inlineStr">
        <is>
          <t>cell</t>
        </is>
      </c>
      <c r="R26" s="41" t="n">
        <v>36359</v>
      </c>
      <c r="S26" s="40" t="inlineStr">
        <is>
          <t>enteroendocrine cell|neuron</t>
        </is>
      </c>
      <c r="T26" s="40" t="n"/>
      <c r="U26" s="40" t="inlineStr">
        <is>
          <t>general peripheral neurobiology</t>
        </is>
      </c>
      <c r="V26" s="40" t="inlineStr">
        <is>
          <t>https://datasets.cellxgene.cziscience.com/fe96972c-7199-4146-9e03-af518d8916cc.h5ad</t>
        </is>
      </c>
      <c r="W26" s="40" t="inlineStr">
        <is>
          <t>https://cellxgene.cziscience.com/collections/7651ac1a-f947-463a-9223-a9e408a41989</t>
        </is>
      </c>
      <c r="X26" s="40" t="n">
        <v>1</v>
      </c>
      <c r="Y26" s="42" t="inlineStr">
        <is>
          <t>?</t>
        </is>
      </c>
      <c r="Z26" s="42" t="inlineStr">
        <is>
          <t>A</t>
        </is>
      </c>
    </row>
    <row r="27">
      <c r="A27" s="40" t="inlineStr">
        <is>
          <t>人 Human</t>
        </is>
      </c>
      <c r="B27" s="40" t="inlineStr">
        <is>
          <t>皮肤</t>
        </is>
      </c>
      <c r="C27" s="40" t="inlineStr">
        <is>
          <t>arm skin</t>
        </is>
      </c>
      <c r="D27" s="40" t="inlineStr">
        <is>
          <t>Homo sapiens</t>
        </is>
      </c>
      <c r="E27" s="40" t="inlineStr">
        <is>
          <t>L2</t>
        </is>
      </c>
      <c r="F27" s="40" t="inlineStr">
        <is>
          <t>L2:Schwann cell</t>
        </is>
      </c>
      <c r="G27" s="40" t="inlineStr"/>
      <c r="H27" s="40" t="inlineStr">
        <is>
          <t>34f12de7-c5e5-4813-a136-832677f98ac8</t>
        </is>
      </c>
      <c r="I27" s="40" t="inlineStr">
        <is>
          <t>CELLxGENE:e7c5ba7e-4be0-4696-af50-a07d0dc7aac5</t>
        </is>
      </c>
      <c r="J27" s="40" t="inlineStr">
        <is>
          <t>Multi-scale spatial mapping of cell populations across anatomical sites in healthy human skin and basal cell carcinoma</t>
        </is>
      </c>
      <c r="K27" s="40" t="inlineStr">
        <is>
          <t>健康人皮肤和基底细胞癌中跨解剖部位细胞群体的多尺度空间图谱</t>
        </is>
      </c>
      <c r="L27" s="40" t="inlineStr">
        <is>
          <t>2024</t>
        </is>
      </c>
      <c r="M27" s="40" t="inlineStr">
        <is>
          <t>10.1073/pnas.2313326120</t>
        </is>
      </c>
      <c r="N27" s="40" t="inlineStr">
        <is>
          <t>arm skin|nose skin|skin of abdomen|skin of cheek|skin of external ear|skin of forehead|skin of temple</t>
        </is>
      </c>
      <c r="O27" s="40" t="inlineStr">
        <is>
          <t>basal cell carcinoma|normal</t>
        </is>
      </c>
      <c r="P27" s="40" t="inlineStr">
        <is>
          <t>10x 3' v1|10x 3' v2|10x 3' v3</t>
        </is>
      </c>
      <c r="Q27" s="40" t="inlineStr">
        <is>
          <t>cell</t>
        </is>
      </c>
      <c r="R27" s="41" t="n">
        <v>152189</v>
      </c>
      <c r="S27" s="40" t="inlineStr">
        <is>
          <t>Schwann cell</t>
        </is>
      </c>
      <c r="T27" s="40" t="n"/>
      <c r="U27" s="40" t="inlineStr">
        <is>
          <t>外周神经再生</t>
        </is>
      </c>
      <c r="V27" s="40" t="inlineStr">
        <is>
          <t>https://datasets.cellxgene.cziscience.com/82515193-f68f-49f1-923e-d10a2b798b42.h5ad</t>
        </is>
      </c>
      <c r="W27" s="40" t="inlineStr">
        <is>
          <t>https://cellxgene.cziscience.com/collections/34f12de7-c5e5-4813-a136-832677f98ac8</t>
        </is>
      </c>
      <c r="X27" s="40" t="n">
        <v>1</v>
      </c>
      <c r="Y27" s="42" t="inlineStr">
        <is>
          <t>A</t>
        </is>
      </c>
      <c r="Z27" s="42" t="inlineStr">
        <is>
          <t>A</t>
        </is>
      </c>
    </row>
    <row r="28">
      <c r="A28" s="40" t="inlineStr">
        <is>
          <t>人 Human</t>
        </is>
      </c>
      <c r="B28" s="40" t="inlineStr">
        <is>
          <t>皮肤</t>
        </is>
      </c>
      <c r="C28" s="40" t="inlineStr">
        <is>
          <t>dermis</t>
        </is>
      </c>
      <c r="D28" s="40" t="inlineStr">
        <is>
          <t>Homo sapiens</t>
        </is>
      </c>
      <c r="E28" s="40" t="inlineStr">
        <is>
          <t>L2</t>
        </is>
      </c>
      <c r="F28" s="40" t="inlineStr">
        <is>
          <t>L2:Schwann cell</t>
        </is>
      </c>
      <c r="G28" s="40" t="inlineStr"/>
      <c r="H28" s="40" t="inlineStr">
        <is>
          <t>73f82ac8-15cc-4fcd-87f8-5683723fce7f</t>
        </is>
      </c>
      <c r="I28" s="40" t="inlineStr">
        <is>
          <t>CELLxGENE:f0f0d7c4-3bec-428e-9539-c99d36548d96</t>
        </is>
      </c>
      <c r="J28" s="40" t="inlineStr">
        <is>
          <t>Developmental cell programs are co-opted in inflammatory skin disease</t>
        </is>
      </c>
      <c r="K28" s="40" t="inlineStr">
        <is>
          <t>炎症性皮肤病中发育细胞程序被共选利用</t>
        </is>
      </c>
      <c r="L28" s="40" t="inlineStr">
        <is>
          <t>2024</t>
        </is>
      </c>
      <c r="M28" s="40" t="inlineStr">
        <is>
          <t>10.1126/science.aba6500</t>
        </is>
      </c>
      <c r="N28" s="40" t="inlineStr">
        <is>
          <t>dermis|skin epidermis</t>
        </is>
      </c>
      <c r="O28" s="40" t="inlineStr">
        <is>
          <t>normal</t>
        </is>
      </c>
      <c r="P28" s="40" t="inlineStr">
        <is>
          <t>10x 3' v2</t>
        </is>
      </c>
      <c r="Q28" s="40" t="inlineStr">
        <is>
          <t>cell</t>
        </is>
      </c>
      <c r="R28" s="41" t="n">
        <v>195739</v>
      </c>
      <c r="S28" s="40" t="inlineStr">
        <is>
          <t>Schwann cell</t>
        </is>
      </c>
      <c r="T28" s="40" t="n"/>
      <c r="U28" s="40" t="inlineStr">
        <is>
          <t>神经-免疫通讯;外周神经再生;炎症</t>
        </is>
      </c>
      <c r="V28" s="40" t="inlineStr">
        <is>
          <t>https://datasets.cellxgene.cziscience.com/f8b5c4f4-7ece-4314-9f49-fc254bbd5c71.h5ad</t>
        </is>
      </c>
      <c r="W28" s="40" t="inlineStr">
        <is>
          <t>https://cellxgene.cziscience.com/collections/73f82ac8-15cc-4fcd-87f8-5683723fce7f</t>
        </is>
      </c>
      <c r="X28" s="40" t="n">
        <v>1</v>
      </c>
      <c r="Y28" s="42" t="inlineStr">
        <is>
          <t>A</t>
        </is>
      </c>
      <c r="Z28" s="42" t="inlineStr">
        <is>
          <t>A</t>
        </is>
      </c>
    </row>
    <row r="29">
      <c r="A29" s="40" t="inlineStr">
        <is>
          <t>人 Human</t>
        </is>
      </c>
      <c r="B29" s="40" t="inlineStr">
        <is>
          <t>皮肤</t>
        </is>
      </c>
      <c r="C29" s="40" t="inlineStr">
        <is>
          <t>skin of body</t>
        </is>
      </c>
      <c r="D29" s="40" t="inlineStr">
        <is>
          <t>Homo sapiens</t>
        </is>
      </c>
      <c r="E29" s="40" t="inlineStr">
        <is>
          <t>L2</t>
        </is>
      </c>
      <c r="F29" s="40" t="inlineStr">
        <is>
          <t>L2:Schwann cell</t>
        </is>
      </c>
      <c r="G29" s="40" t="inlineStr"/>
      <c r="H29" s="40" t="inlineStr">
        <is>
          <t>5e143645-177c-45b6-952d-48770e29a54b</t>
        </is>
      </c>
      <c r="I29" s="40" t="inlineStr">
        <is>
          <t>CELLxGENE:b0ef440b-e303-4ad2-ada8-ce13336280ba</t>
        </is>
      </c>
      <c r="J29" s="40" t="inlineStr">
        <is>
          <t>Multi-modal skin atlas identifies a multicellular immune-stromal community associated with altered cornification and specific T cell expansion in atopic dermatitis</t>
        </is>
      </c>
      <c r="K29" s="40" t="inlineStr">
        <is>
          <t>多模态皮肤图谱识别出与特应性皮炎中角质化改变及特定T细胞扩增相关的多细胞免疫-基质群落</t>
        </is>
      </c>
      <c r="L29" s="40" t="inlineStr">
        <is>
          <t>2026</t>
        </is>
      </c>
      <c r="M29" s="40" t="inlineStr">
        <is>
          <t>10.1038/s41467-026-69587-7</t>
        </is>
      </c>
      <c r="N29" s="40" t="inlineStr">
        <is>
          <t>skin of body</t>
        </is>
      </c>
      <c r="O29" s="40" t="inlineStr">
        <is>
          <t>atopic eczema|normal</t>
        </is>
      </c>
      <c r="P29" s="40" t="inlineStr">
        <is>
          <t>10x 3' v2|10x 3' v3</t>
        </is>
      </c>
      <c r="Q29" s="40" t="inlineStr">
        <is>
          <t>cell</t>
        </is>
      </c>
      <c r="R29" s="41" t="n">
        <v>280518</v>
      </c>
      <c r="S29" s="40" t="inlineStr">
        <is>
          <t>Schwann cell</t>
        </is>
      </c>
      <c r="T29" s="40" t="n"/>
      <c r="U29" s="40" t="inlineStr">
        <is>
          <t>神经-免疫通讯;外周神经再生</t>
        </is>
      </c>
      <c r="V29" s="40" t="inlineStr">
        <is>
          <t>https://datasets.cellxgene.cziscience.com/e046218f-6a66-46f9-a91c-7f26b4ee00c2.h5ad</t>
        </is>
      </c>
      <c r="W29" s="40" t="inlineStr">
        <is>
          <t>https://cellxgene.cziscience.com/collections/5e143645-177c-45b6-952d-48770e29a54b</t>
        </is>
      </c>
      <c r="X29" s="40" t="n">
        <v>1</v>
      </c>
      <c r="Y29" s="42" t="inlineStr">
        <is>
          <t>A</t>
        </is>
      </c>
      <c r="Z29" s="42" t="inlineStr">
        <is>
          <t>A</t>
        </is>
      </c>
    </row>
    <row r="30">
      <c r="A30" s="40" t="inlineStr">
        <is>
          <t>人 Human</t>
        </is>
      </c>
      <c r="B30" s="40" t="inlineStr">
        <is>
          <t>皮肤</t>
        </is>
      </c>
      <c r="C30" s="40" t="inlineStr">
        <is>
          <t>subcutaneous abdominal adipose tissue</t>
        </is>
      </c>
      <c r="D30" s="40" t="inlineStr">
        <is>
          <t>Homo sapiens</t>
        </is>
      </c>
      <c r="E30" s="40" t="inlineStr">
        <is>
          <t>L2</t>
        </is>
      </c>
      <c r="F30" s="40" t="inlineStr">
        <is>
          <t>L2:Schwann cell</t>
        </is>
      </c>
      <c r="G30" s="40" t="inlineStr"/>
      <c r="H30" s="40" t="inlineStr">
        <is>
          <t>6b701826-37bb-4356-9792-ff41fc4c3161</t>
        </is>
      </c>
      <c r="I30" s="40" t="inlineStr">
        <is>
          <t>CELLxGENE:9d8e5dca-03a3-457d-b7fb-844c75735c83</t>
        </is>
      </c>
      <c r="J30" s="40" t="inlineStr">
        <is>
          <t>Single-Nucleus Analysis of Human White Adipose Tissue Reveals Adipocyte Subsets with Distinct Metabolic Profiles</t>
        </is>
      </c>
      <c r="K30" s="40" t="inlineStr">
        <is>
          <t>人白色脂肪组织单细胞核分析揭示具有不同代谢特征的脂肪细胞亚群</t>
        </is>
      </c>
      <c r="L30" s="40" t="inlineStr">
        <is>
          <t>2023</t>
        </is>
      </c>
      <c r="M30" s="40" t="inlineStr">
        <is>
          <t>10.1101/2025.09.14.673351</t>
        </is>
      </c>
      <c r="N30" s="40" t="inlineStr">
        <is>
          <t>subcutaneous abdominal adipose tissue|visceral abdominal adipose tissue</t>
        </is>
      </c>
      <c r="O30" s="40" t="inlineStr">
        <is>
          <t>normal</t>
        </is>
      </c>
      <c r="P30" s="40" t="inlineStr">
        <is>
          <t>10x 3' v3</t>
        </is>
      </c>
      <c r="Q30" s="40" t="inlineStr">
        <is>
          <t>nucleus</t>
        </is>
      </c>
      <c r="R30" s="41" t="n">
        <v>72335</v>
      </c>
      <c r="S30" s="40" t="inlineStr">
        <is>
          <t>Schwann cell|neuron associated cell</t>
        </is>
      </c>
      <c r="T30" s="40" t="n"/>
      <c r="U30" s="40" t="inlineStr">
        <is>
          <t>外周神经再生</t>
        </is>
      </c>
      <c r="V30" s="40" t="inlineStr">
        <is>
          <t>https://datasets.cellxgene.cziscience.com/3d0f967f-ad82-4470-a46d-6d156ad13e42.h5ad</t>
        </is>
      </c>
      <c r="W30" s="40" t="inlineStr">
        <is>
          <t>https://cellxgene.cziscience.com/collections/6b701826-37bb-4356-9792-ff41fc4c3161</t>
        </is>
      </c>
      <c r="X30" s="40" t="n">
        <v>1</v>
      </c>
      <c r="Y30" s="42" t="inlineStr">
        <is>
          <t>A</t>
        </is>
      </c>
      <c r="Z30" s="42" t="inlineStr">
        <is>
          <t>A</t>
        </is>
      </c>
    </row>
    <row r="31">
      <c r="A31" s="40" t="inlineStr">
        <is>
          <t>人 Human</t>
        </is>
      </c>
      <c r="B31" s="40" t="inlineStr">
        <is>
          <t>心血管</t>
        </is>
      </c>
      <c r="C31" s="40" t="inlineStr">
        <is>
          <t>apex of heart</t>
        </is>
      </c>
      <c r="D31" s="40" t="inlineStr">
        <is>
          <t>Homo sapiens</t>
        </is>
      </c>
      <c r="E31" s="40" t="inlineStr">
        <is>
          <t>L1</t>
        </is>
      </c>
      <c r="F31" s="40" t="inlineStr">
        <is>
          <t>L1:Cardiac neuron</t>
        </is>
      </c>
      <c r="G31" s="40" t="inlineStr"/>
      <c r="H31" s="40" t="inlineStr">
        <is>
          <t>20eea6c8-9d64-42c9-9b6f-c11b5249e0e9</t>
        </is>
      </c>
      <c r="I31" s="40" t="inlineStr">
        <is>
          <t>CELLxGENE:2e9d2f32-4cfb-49b5-b990-cbf4c241214e</t>
        </is>
      </c>
      <c r="J31" s="40" t="inlineStr">
        <is>
          <t>Single-cell genomics improves the discovery of risk variants and genes of atrial fibrillation</t>
        </is>
      </c>
      <c r="K31" s="40" t="inlineStr">
        <is>
          <t>单细胞基因组学改进心房颤动风险变异和基因的发现</t>
        </is>
      </c>
      <c r="L31" s="40" t="inlineStr">
        <is>
          <t>2024</t>
        </is>
      </c>
      <c r="M31" s="40" t="inlineStr">
        <is>
          <t>10.1038/s41467-023-40505-5</t>
        </is>
      </c>
      <c r="N31" s="40" t="inlineStr">
        <is>
          <t>apex of heart|heart left ventricle|heart right ventricle|interventricular septum</t>
        </is>
      </c>
      <c r="O31" s="40" t="inlineStr">
        <is>
          <t>normal</t>
        </is>
      </c>
      <c r="P31" s="40" t="inlineStr">
        <is>
          <t>10x 3' v3</t>
        </is>
      </c>
      <c r="Q31" s="40" t="inlineStr">
        <is>
          <t>nucleus</t>
        </is>
      </c>
      <c r="R31" s="41" t="n">
        <v>49359</v>
      </c>
      <c r="S31" s="40" t="inlineStr">
        <is>
          <t>cardiac neuron</t>
        </is>
      </c>
      <c r="T31" s="40" t="n"/>
      <c r="U31" s="40" t="inlineStr">
        <is>
          <t>general peripheral neurobiology</t>
        </is>
      </c>
      <c r="V31" s="40" t="inlineStr">
        <is>
          <t>https://datasets.cellxgene.cziscience.com/f35a8c3f-b3a0-4373-a4cd-c937db7f7ec2.h5ad</t>
        </is>
      </c>
      <c r="W31" s="40" t="inlineStr">
        <is>
          <t>https://cellxgene.cziscience.com/collections/20eea6c8-9d64-42c9-9b6f-c11b5249e0e9</t>
        </is>
      </c>
      <c r="X31" s="40" t="n">
        <v>1</v>
      </c>
      <c r="Y31" s="42" t="inlineStr">
        <is>
          <t>A</t>
        </is>
      </c>
      <c r="Z31" s="42" t="inlineStr">
        <is>
          <t>A</t>
        </is>
      </c>
    </row>
    <row r="32">
      <c r="A32" s="40" t="inlineStr">
        <is>
          <t>人 Human</t>
        </is>
      </c>
      <c r="B32" s="40" t="inlineStr">
        <is>
          <t>心血管</t>
        </is>
      </c>
      <c r="C32" s="40" t="inlineStr">
        <is>
          <t>apex of heart</t>
        </is>
      </c>
      <c r="D32" s="40" t="inlineStr">
        <is>
          <t>Homo sapiens</t>
        </is>
      </c>
      <c r="E32" s="40" t="inlineStr">
        <is>
          <t>L1</t>
        </is>
      </c>
      <c r="F32" s="40" t="inlineStr">
        <is>
          <t>L1:Cardiac neuron</t>
        </is>
      </c>
      <c r="G32" s="40" t="inlineStr"/>
      <c r="H32" s="40" t="inlineStr">
        <is>
          <t>e75342a8-0f3b-4ec5-8ee1-245a23e0f7cb</t>
        </is>
      </c>
      <c r="I32" s="40" t="inlineStr">
        <is>
          <t>CELLxGENE:65badd7a-9262-4fd1-9ce2-eb5dc0ca8039</t>
        </is>
      </c>
      <c r="J32" s="40" t="inlineStr">
        <is>
          <t>Pathogenic variants damage cell composition and single cell transcription in cardiomyopathies</t>
        </is>
      </c>
      <c r="K32" s="40" t="inlineStr">
        <is>
          <t>致病性变异损害心肌病中的细胞组成与单细胞转录</t>
        </is>
      </c>
      <c r="L32" s="40" t="inlineStr">
        <is>
          <t>2022</t>
        </is>
      </c>
      <c r="M32" s="40" t="inlineStr">
        <is>
          <t>10.1126/science.abo1984</t>
        </is>
      </c>
      <c r="N32" s="40" t="inlineStr">
        <is>
          <t>apex of heart|heart left ventricle|heart right ventricle|interventricular septum</t>
        </is>
      </c>
      <c r="O32" s="40" t="inlineStr">
        <is>
          <t>arrhythmogenic right ventricular cardiomyopathy|dilated cardiomyopathy|non-compaction cardiomyopathy|normal</t>
        </is>
      </c>
      <c r="P32" s="40" t="inlineStr">
        <is>
          <t>10x 3' v2|10x 3' v3</t>
        </is>
      </c>
      <c r="Q32" s="40" t="inlineStr">
        <is>
          <t>nucleus</t>
        </is>
      </c>
      <c r="R32" s="41" t="n">
        <v>881081</v>
      </c>
      <c r="S32" s="40" t="inlineStr">
        <is>
          <t>cardiac neuron</t>
        </is>
      </c>
      <c r="T32" s="40" t="n"/>
      <c r="U32" s="40" t="inlineStr">
        <is>
          <t>general peripheral neurobiology</t>
        </is>
      </c>
      <c r="V32" s="40" t="inlineStr">
        <is>
          <t>https://datasets.cellxgene.cziscience.com/6d0b8b8a-2b22-4578-b8ee-8ca4ab893594.h5ad</t>
        </is>
      </c>
      <c r="W32" s="40" t="inlineStr">
        <is>
          <t>https://cellxgene.cziscience.com/collections/e75342a8-0f3b-4ec5-8ee1-245a23e0f7cb</t>
        </is>
      </c>
      <c r="X32" s="40" t="n">
        <v>2</v>
      </c>
      <c r="Y32" s="42" t="inlineStr">
        <is>
          <t>A</t>
        </is>
      </c>
      <c r="Z32" s="42" t="inlineStr">
        <is>
          <t>A</t>
        </is>
      </c>
    </row>
    <row r="33">
      <c r="A33" s="40" t="inlineStr">
        <is>
          <t>人 Human</t>
        </is>
      </c>
      <c r="B33" s="40" t="inlineStr">
        <is>
          <t>心血管</t>
        </is>
      </c>
      <c r="C33" s="40" t="inlineStr">
        <is>
          <t>apex of heart</t>
        </is>
      </c>
      <c r="D33" s="40" t="inlineStr">
        <is>
          <t>Homo sapiens</t>
        </is>
      </c>
      <c r="E33" s="40" t="inlineStr">
        <is>
          <t>L1</t>
        </is>
      </c>
      <c r="F33" s="40" t="inlineStr">
        <is>
          <t>L1:Cardiac neuron</t>
        </is>
      </c>
      <c r="G33" s="40" t="inlineStr"/>
      <c r="H33" s="40" t="inlineStr">
        <is>
          <t>328d71f0-0ed7-4518-966f-be6bd0797324</t>
        </is>
      </c>
      <c r="I33" s="40" t="inlineStr">
        <is>
          <t>CELLxGENE:fe7aae33-6f7c-41a5-8d29-9996a9ddf1ab</t>
        </is>
      </c>
      <c r="J33" s="40" t="inlineStr">
        <is>
          <t>The cellular and molecular cardiac tissue responses in human inflammatory cardiomyopathies after SARS-CoV-2 infection and COVID-19 vaccination</t>
        </is>
      </c>
      <c r="K33" s="40" t="inlineStr">
        <is>
          <t>SARS-CoV-2感染和COVID-19疫苗接种后人炎症性心肌病的心脏细胞与分子组织反应</t>
        </is>
      </c>
      <c r="L33" s="40" t="inlineStr">
        <is>
          <t>2025</t>
        </is>
      </c>
      <c r="M33" s="40" t="inlineStr">
        <is>
          <t>10.1038/s44161-025-00612-6</t>
        </is>
      </c>
      <c r="N33" s="40" t="inlineStr">
        <is>
          <t>apex of heart|heart left ventricle</t>
        </is>
      </c>
      <c r="O33" s="40" t="inlineStr">
        <is>
          <t>myocarditis|normal</t>
        </is>
      </c>
      <c r="P33" s="40" t="inlineStr">
        <is>
          <t>10x 3' v2|10x 3' v3</t>
        </is>
      </c>
      <c r="Q33" s="40" t="inlineStr">
        <is>
          <t>nucleus</t>
        </is>
      </c>
      <c r="R33" s="41" t="n">
        <v>205596</v>
      </c>
      <c r="S33" s="40" t="inlineStr">
        <is>
          <t>cardiac neuron</t>
        </is>
      </c>
      <c r="T33" s="40" t="n"/>
      <c r="U33" s="40" t="inlineStr">
        <is>
          <t>神经-免疫通讯;炎症</t>
        </is>
      </c>
      <c r="V33" s="40" t="inlineStr">
        <is>
          <t>https://datasets.cellxgene.cziscience.com/5ca4319d-488f-444d-b383-e909fe0783d4.h5ad</t>
        </is>
      </c>
      <c r="W33" s="40" t="inlineStr">
        <is>
          <t>https://cellxgene.cziscience.com/collections/328d71f0-0ed7-4518-966f-be6bd0797324</t>
        </is>
      </c>
      <c r="X33" s="40" t="n">
        <v>1</v>
      </c>
      <c r="Y33" s="42" t="inlineStr">
        <is>
          <t>A</t>
        </is>
      </c>
      <c r="Z33" s="42" t="inlineStr">
        <is>
          <t>A</t>
        </is>
      </c>
    </row>
    <row r="34">
      <c r="A34" s="40" t="inlineStr">
        <is>
          <t>人 Human</t>
        </is>
      </c>
      <c r="B34" s="40" t="inlineStr">
        <is>
          <t>心血管</t>
        </is>
      </c>
      <c r="C34" s="40" t="inlineStr">
        <is>
          <t>apex of heart</t>
        </is>
      </c>
      <c r="D34" s="40" t="inlineStr">
        <is>
          <t>Homo sapiens</t>
        </is>
      </c>
      <c r="E34" s="40" t="inlineStr">
        <is>
          <t>待定(泛神经)</t>
        </is>
      </c>
      <c r="F34" s="40" t="inlineStr">
        <is>
          <t>—</t>
        </is>
      </c>
      <c r="G34" s="40" t="inlineStr">
        <is>
          <t>含泛neuron(器官图谱→疑中枢/噪声,待裁定)</t>
        </is>
      </c>
      <c r="H34" s="40" t="inlineStr">
        <is>
          <t>43b45a20-a969-49ac-a8e8-8c84b211bd01</t>
        </is>
      </c>
      <c r="I34" s="40" t="inlineStr">
        <is>
          <t>CELLxGENE:5500c673-1610-40a0-86d9-64d987ae50e6</t>
        </is>
      </c>
      <c r="J34" s="40" t="inlineStr">
        <is>
          <t>Integrated adult and foetal heart single-cell RNA sequencing</t>
        </is>
      </c>
      <c r="K34" s="40" t="inlineStr">
        <is>
          <t>整合成人与胎儿心脏单细胞RNA测序</t>
        </is>
      </c>
      <c r="L34" s="40" t="inlineStr">
        <is>
          <t>2023</t>
        </is>
      </c>
      <c r="M34" s="40" t="inlineStr">
        <is>
          <t>10.1038/s44161-022-00183-w</t>
        </is>
      </c>
      <c r="N34" s="40" t="inlineStr">
        <is>
          <t>apex of heart|basal zone of heart|heart left ventricle|heart right ventricle|interventricular septum|left cardiac atrium|right cardiac atrium</t>
        </is>
      </c>
      <c r="O34" s="40" t="inlineStr">
        <is>
          <t>normal</t>
        </is>
      </c>
      <c r="P34" s="40" t="inlineStr">
        <is>
          <t>10x 3' v2|10x 3' v3</t>
        </is>
      </c>
      <c r="Q34" s="40" t="inlineStr">
        <is>
          <t>cell|nucleus</t>
        </is>
      </c>
      <c r="R34" s="41" t="n">
        <v>60668</v>
      </c>
      <c r="S34" s="40" t="inlineStr">
        <is>
          <t>neuron</t>
        </is>
      </c>
      <c r="T34" s="40" t="n"/>
      <c r="U34" s="40" t="inlineStr">
        <is>
          <t>general peripheral neurobiology</t>
        </is>
      </c>
      <c r="V34" s="40" t="inlineStr">
        <is>
          <t>https://datasets.cellxgene.cziscience.com/85f6cdae-10c2-4c97-8a95-cf03f87ecd2e.h5ad</t>
        </is>
      </c>
      <c r="W34" s="40" t="inlineStr">
        <is>
          <t>https://cellxgene.cziscience.com/collections/43b45a20-a969-49ac-a8e8-8c84b211bd01</t>
        </is>
      </c>
      <c r="X34" s="40" t="n">
        <v>1</v>
      </c>
      <c r="Y34" s="42" t="inlineStr">
        <is>
          <t>A</t>
        </is>
      </c>
      <c r="Z34" s="42" t="inlineStr">
        <is>
          <t>A</t>
        </is>
      </c>
    </row>
    <row r="35">
      <c r="A35" s="40" t="inlineStr">
        <is>
          <t>人 Human</t>
        </is>
      </c>
      <c r="B35" s="40" t="inlineStr">
        <is>
          <t>心血管</t>
        </is>
      </c>
      <c r="C35" s="40" t="inlineStr">
        <is>
          <t>apical region of left ventricle</t>
        </is>
      </c>
      <c r="D35" s="40" t="inlineStr">
        <is>
          <t>Homo sapiens</t>
        </is>
      </c>
      <c r="E35" s="40" t="inlineStr">
        <is>
          <t>待定(泛神经)</t>
        </is>
      </c>
      <c r="F35" s="40" t="inlineStr">
        <is>
          <t>—</t>
        </is>
      </c>
      <c r="G35" s="40" t="inlineStr">
        <is>
          <t>含泛neuron(器官图谱→疑中枢/噪声,待裁定)</t>
        </is>
      </c>
      <c r="H35" s="40" t="inlineStr">
        <is>
          <t>68e7e5b7-4dc9-4609-832e-7656aa6182ba</t>
        </is>
      </c>
      <c r="I35" s="40" t="inlineStr">
        <is>
          <t>CELLxGENE:99e317c0-1fab-4f73-b511-859e752fd1c3</t>
        </is>
      </c>
      <c r="J35" s="40" t="inlineStr">
        <is>
          <t>Sex-Specific Control of Human Heart Maturation by the Progesterone Receptor</t>
        </is>
      </c>
      <c r="K35" s="40" t="inlineStr">
        <is>
          <t>孕激素受体对人类心脏成熟的性别特异性调控</t>
        </is>
      </c>
      <c r="L35" s="40" t="inlineStr">
        <is>
          <t>2024</t>
        </is>
      </c>
      <c r="M35" s="40" t="inlineStr">
        <is>
          <t>10.1161/CIRCULATIONAHA.120.051921</t>
        </is>
      </c>
      <c r="N35" s="40" t="inlineStr">
        <is>
          <t>apical region of left ventricle</t>
        </is>
      </c>
      <c r="O35" s="40" t="inlineStr">
        <is>
          <t>normal</t>
        </is>
      </c>
      <c r="P35" s="40" t="inlineStr">
        <is>
          <t>10x 3' v3</t>
        </is>
      </c>
      <c r="Q35" s="40" t="inlineStr">
        <is>
          <t>nucleus</t>
        </is>
      </c>
      <c r="R35" s="41" t="n">
        <v>51176</v>
      </c>
      <c r="S35" s="40" t="inlineStr">
        <is>
          <t>neuron</t>
        </is>
      </c>
      <c r="T35" s="40" t="n"/>
      <c r="U35" s="40" t="inlineStr">
        <is>
          <t>general peripheral neurobiology</t>
        </is>
      </c>
      <c r="V35" s="40" t="inlineStr">
        <is>
          <t>https://datasets.cellxgene.cziscience.com/59c9aa5c-ee73-4252-b149-5cb011f924b1.h5ad</t>
        </is>
      </c>
      <c r="W35" s="40" t="inlineStr">
        <is>
          <t>https://cellxgene.cziscience.com/collections/68e7e5b7-4dc9-4609-832e-7656aa6182ba</t>
        </is>
      </c>
      <c r="X35" s="40" t="n">
        <v>1</v>
      </c>
      <c r="Y35" s="42" t="inlineStr">
        <is>
          <t>A</t>
        </is>
      </c>
      <c r="Z35" s="42" t="inlineStr">
        <is>
          <t>A</t>
        </is>
      </c>
    </row>
    <row r="36">
      <c r="A36" s="40" t="inlineStr">
        <is>
          <t>人 Human</t>
        </is>
      </c>
      <c r="B36" s="40" t="inlineStr">
        <is>
          <t>心血管</t>
        </is>
      </c>
      <c r="C36" s="40" t="inlineStr">
        <is>
          <t>heart</t>
        </is>
      </c>
      <c r="D36" s="40" t="inlineStr">
        <is>
          <t>Homo sapiens</t>
        </is>
      </c>
      <c r="E36" s="40" t="inlineStr">
        <is>
          <t>待定(泛神经)</t>
        </is>
      </c>
      <c r="F36" s="40" t="inlineStr">
        <is>
          <t>—</t>
        </is>
      </c>
      <c r="G36" s="40" t="inlineStr">
        <is>
          <t>含泛neuron(器官图谱→疑中枢/噪声,待裁定)</t>
        </is>
      </c>
      <c r="H36" s="40" t="inlineStr">
        <is>
          <t>9c9ce98a-6b02-4262-9407-1ebb2de31f63</t>
        </is>
      </c>
      <c r="I36" s="40" t="inlineStr">
        <is>
          <t>CELLxGENE:9928ad5f-6afd-4fb0-89b0-6690e2a2ce25</t>
        </is>
      </c>
      <c r="J36" s="40" t="inlineStr">
        <is>
          <t>Integrated multi-omic characterization of congenital heart disease</t>
        </is>
      </c>
      <c r="K36" s="40" t="inlineStr">
        <is>
          <t>先天性心脏病的整合多组学特征分析</t>
        </is>
      </c>
      <c r="L36" s="40" t="inlineStr">
        <is>
          <t>2026</t>
        </is>
      </c>
      <c r="M36" s="40" t="inlineStr">
        <is>
          <t>10.1038/s41586-022-04989-3</t>
        </is>
      </c>
      <c r="N36" s="40" t="inlineStr">
        <is>
          <t>heart</t>
        </is>
      </c>
      <c r="O36" s="40" t="inlineStr">
        <is>
          <t>congenital heart disease|dilated cardiomyopathy|hypertrophic cardiomyopathy|hypoplastic left heart syndrome|tetralogy of fallot</t>
        </is>
      </c>
      <c r="P36" s="40" t="inlineStr">
        <is>
          <t>10x 3' v3</t>
        </is>
      </c>
      <c r="Q36" s="40" t="inlineStr">
        <is>
          <t>nucleus</t>
        </is>
      </c>
      <c r="R36" s="41" t="n">
        <v>157293</v>
      </c>
      <c r="S36" s="40" t="inlineStr">
        <is>
          <t>neuron</t>
        </is>
      </c>
      <c r="T36" s="40" t="n"/>
      <c r="U36" s="40" t="inlineStr">
        <is>
          <t>general peripheral neurobiology</t>
        </is>
      </c>
      <c r="V36" s="40" t="inlineStr">
        <is>
          <t>https://datasets.cellxgene.cziscience.com/beb6ae0c-c47b-4a8d-9f8d-39a43f5853bd.h5ad</t>
        </is>
      </c>
      <c r="W36" s="40" t="inlineStr">
        <is>
          <t>https://cellxgene.cziscience.com/collections/9c9ce98a-6b02-4262-9407-1ebb2de31f63</t>
        </is>
      </c>
      <c r="X36" s="40" t="n">
        <v>1</v>
      </c>
      <c r="Y36" s="42" t="inlineStr">
        <is>
          <t>A</t>
        </is>
      </c>
      <c r="Z36" s="42" t="inlineStr">
        <is>
          <t>A</t>
        </is>
      </c>
    </row>
    <row r="37">
      <c r="A37" s="40" t="inlineStr">
        <is>
          <t>人 Human</t>
        </is>
      </c>
      <c r="B37" s="40" t="inlineStr">
        <is>
          <t>心血管</t>
        </is>
      </c>
      <c r="C37" s="40" t="inlineStr">
        <is>
          <t>heart left ventricle</t>
        </is>
      </c>
      <c r="D37" s="40" t="inlineStr">
        <is>
          <t>Homo sapiens</t>
        </is>
      </c>
      <c r="E37" s="40" t="inlineStr">
        <is>
          <t>L1</t>
        </is>
      </c>
      <c r="F37" s="40" t="inlineStr">
        <is>
          <t>L1:Neuronal receptor cell</t>
        </is>
      </c>
      <c r="G37" s="40" t="inlineStr"/>
      <c r="H37" s="40" t="inlineStr">
        <is>
          <t>8191c283-0816-424b-9b61-c3e1d6258a77</t>
        </is>
      </c>
      <c r="I37" s="40" t="inlineStr">
        <is>
          <t>CELLxGENE:1c739a3e-c3f5-49d5-98e0-73975e751201</t>
        </is>
      </c>
      <c r="J37" s="40" t="inlineStr">
        <is>
          <t>Spatial multi-omic map of human myocardial infarction</t>
        </is>
      </c>
      <c r="K37" s="40" t="inlineStr">
        <is>
          <t>人类心肌梗死的空间多组学图谱</t>
        </is>
      </c>
      <c r="L37" s="40" t="inlineStr">
        <is>
          <t>2022</t>
        </is>
      </c>
      <c r="M37" s="40" t="inlineStr">
        <is>
          <t>10.1038/s41586-022-05060-x</t>
        </is>
      </c>
      <c r="N37" s="40" t="inlineStr">
        <is>
          <t>heart left ventricle</t>
        </is>
      </c>
      <c r="O37" s="40" t="inlineStr">
        <is>
          <t>myocardial infarction|normal</t>
        </is>
      </c>
      <c r="P37" s="40" t="inlineStr">
        <is>
          <t>10x 3' v3</t>
        </is>
      </c>
      <c r="Q37" s="40" t="inlineStr">
        <is>
          <t>nucleus</t>
        </is>
      </c>
      <c r="R37" s="41" t="n">
        <v>191795</v>
      </c>
      <c r="S37" s="40" t="inlineStr">
        <is>
          <t>neuronal receptor cell</t>
        </is>
      </c>
      <c r="T37" s="40" t="n"/>
      <c r="U37" s="40" t="inlineStr">
        <is>
          <t>针灸作用相关</t>
        </is>
      </c>
      <c r="V37" s="40" t="inlineStr">
        <is>
          <t>https://datasets.cellxgene.cziscience.com/4780eb7d-4c7c-4630-8705-471f0de8e27a.h5ad</t>
        </is>
      </c>
      <c r="W37" s="40" t="inlineStr">
        <is>
          <t>https://cellxgene.cziscience.com/collections/8191c283-0816-424b-9b61-c3e1d6258a77</t>
        </is>
      </c>
      <c r="X37" s="40" t="n">
        <v>3</v>
      </c>
      <c r="Y37" s="42" t="inlineStr">
        <is>
          <t>A</t>
        </is>
      </c>
      <c r="Z37" s="42" t="inlineStr">
        <is>
          <t>A</t>
        </is>
      </c>
    </row>
    <row r="38">
      <c r="A38" s="40" t="inlineStr">
        <is>
          <t>人 Human</t>
        </is>
      </c>
      <c r="B38" s="40" t="inlineStr">
        <is>
          <t>心血管</t>
        </is>
      </c>
      <c r="C38" s="40" t="inlineStr">
        <is>
          <t>right atrium auricular region</t>
        </is>
      </c>
      <c r="D38" s="40" t="inlineStr">
        <is>
          <t>Homo sapiens</t>
        </is>
      </c>
      <c r="E38" s="40" t="inlineStr">
        <is>
          <t>L2</t>
        </is>
      </c>
      <c r="F38" s="40" t="inlineStr">
        <is>
          <t>L2:Schwann cell</t>
        </is>
      </c>
      <c r="G38" s="40" t="inlineStr">
        <is>
          <t>含泛neuron(器官图谱→疑中枢/噪声,待裁定)</t>
        </is>
      </c>
      <c r="H38" s="40" t="inlineStr">
        <is>
          <t>8c782494-01ed-491b-97b9-6f0d3b76c676</t>
        </is>
      </c>
      <c r="I38" s="40" t="inlineStr">
        <is>
          <t>CELLxGENE:8f4f8502-9170-4ac2-9707-3b6985ebfe5f</t>
        </is>
      </c>
      <c r="J38" s="40" t="inlineStr">
        <is>
          <t>Transcriptomic and spatial dissection of human ex vivo right atrial tissue reveals proinflammatory microvascular changes in ischemic heart disease</t>
        </is>
      </c>
      <c r="K38" s="40" t="inlineStr">
        <is>
          <t>人类离体右心房组织的转录组与空间解析揭示缺血性心脏病中的促炎性微血管变化</t>
        </is>
      </c>
      <c r="L38" s="40" t="inlineStr">
        <is>
          <t>2024</t>
        </is>
      </c>
      <c r="M38" s="40" t="inlineStr">
        <is>
          <t>10.1016/j.xcrm.2024.101556</t>
        </is>
      </c>
      <c r="N38" s="40" t="inlineStr">
        <is>
          <t>right atrium auricular region</t>
        </is>
      </c>
      <c r="O38" s="40" t="inlineStr">
        <is>
          <t>heart failure|heart valve disorder|myocardial ischemia|normal</t>
        </is>
      </c>
      <c r="P38" s="40" t="inlineStr">
        <is>
          <t>10x 3' v3</t>
        </is>
      </c>
      <c r="Q38" s="40" t="inlineStr">
        <is>
          <t>nucleus</t>
        </is>
      </c>
      <c r="R38" s="41" t="n">
        <v>221756</v>
      </c>
      <c r="S38" s="40" t="inlineStr">
        <is>
          <t>Schwann cell|neuron</t>
        </is>
      </c>
      <c r="T38" s="40" t="n"/>
      <c r="U38" s="40" t="inlineStr">
        <is>
          <t>针灸作用相关;神经-免疫通讯;外周神经再生;炎症</t>
        </is>
      </c>
      <c r="V38" s="40" t="inlineStr">
        <is>
          <t>https://datasets.cellxgene.cziscience.com/86094298-00c2-4d09-b11d-342c5aa1f951.h5ad</t>
        </is>
      </c>
      <c r="W38" s="40" t="inlineStr">
        <is>
          <t>https://cellxgene.cziscience.com/collections/8c782494-01ed-491b-97b9-6f0d3b76c676</t>
        </is>
      </c>
      <c r="X38" s="40" t="n">
        <v>2</v>
      </c>
      <c r="Y38" s="42" t="inlineStr">
        <is>
          <t>A</t>
        </is>
      </c>
      <c r="Z38" s="42" t="inlineStr">
        <is>
          <t>A</t>
        </is>
      </c>
    </row>
    <row r="39">
      <c r="A39" s="23" t="inlineStr">
        <is>
          <t>人 Human</t>
        </is>
      </c>
      <c r="B39" s="23" t="inlineStr">
        <is>
          <t>呼吸系统</t>
        </is>
      </c>
      <c r="C39" s="23" t="inlineStr">
        <is>
          <t>blood</t>
        </is>
      </c>
      <c r="D39" s="23" t="inlineStr">
        <is>
          <t>Homo sapiens</t>
        </is>
      </c>
      <c r="E39" s="23" t="inlineStr">
        <is>
          <t>L4</t>
        </is>
      </c>
      <c r="F39" s="23" t="inlineStr">
        <is>
          <t>L4:Pulmonary neuroendocrine cell</t>
        </is>
      </c>
      <c r="G39" s="23" t="inlineStr"/>
      <c r="H39" s="23" t="inlineStr">
        <is>
          <t>5d445965-6f1a-4b68-ba3a-b8f765155d3a</t>
        </is>
      </c>
      <c r="I39" s="23" t="inlineStr">
        <is>
          <t>CELLxGENE:8c42cfd0-0b0a-46d5-910c-fc833d83c45e</t>
        </is>
      </c>
      <c r="J39" s="23" t="inlineStr">
        <is>
          <t>A molecular cell atlas of the human lung from single cell RNA sequencing</t>
        </is>
      </c>
      <c r="K39" s="23" t="inlineStr">
        <is>
          <t>单细胞RNA测序揭示的人类肺分子细胞图谱</t>
        </is>
      </c>
      <c r="L39" s="23" t="inlineStr">
        <is>
          <t>2020</t>
        </is>
      </c>
      <c r="M39" s="23" t="inlineStr">
        <is>
          <t>10.1038/s41586-020-2922-4</t>
        </is>
      </c>
      <c r="N39" s="23" t="inlineStr">
        <is>
          <t>blood|lung</t>
        </is>
      </c>
      <c r="O39" s="23" t="inlineStr">
        <is>
          <t>normal</t>
        </is>
      </c>
      <c r="P39" s="23" t="inlineStr">
        <is>
          <t>10x 3' v2</t>
        </is>
      </c>
      <c r="Q39" s="23" t="inlineStr">
        <is>
          <t>cell</t>
        </is>
      </c>
      <c r="R39" s="25" t="n">
        <v>65662</v>
      </c>
      <c r="S39" s="23" t="inlineStr">
        <is>
          <t>pulmonary neuroendocrine cell</t>
        </is>
      </c>
      <c r="T39" s="23" t="n"/>
      <c r="U39" s="23" t="inlineStr">
        <is>
          <t>general peripheral neurobiology</t>
        </is>
      </c>
      <c r="V39" s="23" t="inlineStr">
        <is>
          <t>https://datasets.cellxgene.cziscience.com/f5568ea3-c249-4e4e-91f8-46abc30a5612.h5ad</t>
        </is>
      </c>
      <c r="W39" s="23" t="inlineStr">
        <is>
          <t>https://cellxgene.cziscience.com/collections/5d445965-6f1a-4b68-ba3a-b8f765155d3a</t>
        </is>
      </c>
      <c r="X39" s="23" t="n">
        <v>2</v>
      </c>
      <c r="Y39" t="inlineStr">
        <is>
          <t>B</t>
        </is>
      </c>
      <c r="Z39" t="inlineStr">
        <is>
          <t>B</t>
        </is>
      </c>
    </row>
    <row r="40">
      <c r="A40" s="23" t="inlineStr">
        <is>
          <t>人 Human</t>
        </is>
      </c>
      <c r="B40" s="23" t="inlineStr">
        <is>
          <t>呼吸系统</t>
        </is>
      </c>
      <c r="C40" s="23" t="inlineStr">
        <is>
          <t>bronchus</t>
        </is>
      </c>
      <c r="D40" s="23" t="inlineStr">
        <is>
          <t>Homo sapiens</t>
        </is>
      </c>
      <c r="E40" s="23" t="inlineStr">
        <is>
          <t>L2;L4</t>
        </is>
      </c>
      <c r="F40" s="23" t="inlineStr">
        <is>
          <t>L2:Myelinating Schwann cell/Non-myelinating Schwann cell | L4:Neuroendocrine cell</t>
        </is>
      </c>
      <c r="G40" s="23" t="inlineStr"/>
      <c r="H40" s="23" t="inlineStr">
        <is>
          <t>c1241244-b22d-483d-875b-75699efb9f3c</t>
        </is>
      </c>
      <c r="I40" s="23" t="inlineStr">
        <is>
          <t>CELLxGENE:093d3bfe-6f0f-4ac0-a7a1-829f94d0a49f</t>
        </is>
      </c>
      <c r="J40" s="23" t="inlineStr">
        <is>
          <t>A spatially resolved atlas of the human lung characterizes a gland-associated immune niche</t>
        </is>
      </c>
      <c r="K40" s="23" t="inlineStr">
        <is>
          <t>人类肺部的空间分辨图谱刻画了一个腺体相关的免疫微环境</t>
        </is>
      </c>
      <c r="L40" s="23" t="inlineStr">
        <is>
          <t>2024</t>
        </is>
      </c>
      <c r="M40" s="23" t="inlineStr">
        <is>
          <t>10.1038/s41588-022-01243-4</t>
        </is>
      </c>
      <c r="N40" s="23" t="inlineStr">
        <is>
          <t>bronchus|lower lobe of left lung|lung|trachea|upper lobe of left lung</t>
        </is>
      </c>
      <c r="O40" s="23" t="inlineStr">
        <is>
          <t>normal</t>
        </is>
      </c>
      <c r="P40" s="23" t="inlineStr">
        <is>
          <t>10x 3' v2|10x 3' v3|10x 5' transcription profiling</t>
        </is>
      </c>
      <c r="Q40" s="23" t="inlineStr">
        <is>
          <t>cell|nucleus</t>
        </is>
      </c>
      <c r="R40" s="25" t="n">
        <v>193108</v>
      </c>
      <c r="S40" s="23" t="inlineStr">
        <is>
          <t>myelinating Schwann cell|neuroendocrine cell|non-myelinating Schwann cell</t>
        </is>
      </c>
      <c r="T40" s="23" t="n"/>
      <c r="U40" s="23" t="inlineStr">
        <is>
          <t>神经-免疫通讯;外周神经再生</t>
        </is>
      </c>
      <c r="V40" s="23" t="inlineStr">
        <is>
          <t>https://datasets.cellxgene.cziscience.com/dea9f35e-1be6-4240-919d-7eb2f471cbe9.h5ad</t>
        </is>
      </c>
      <c r="W40" s="23" t="inlineStr">
        <is>
          <t>https://cellxgene.cziscience.com/collections/c1241244-b22d-483d-875b-75699efb9f3c</t>
        </is>
      </c>
      <c r="X40" s="23" t="n">
        <v>3</v>
      </c>
      <c r="Y40" t="inlineStr">
        <is>
          <t>B</t>
        </is>
      </c>
      <c r="Z40" t="inlineStr">
        <is>
          <t>B</t>
        </is>
      </c>
    </row>
    <row r="41">
      <c r="A41" s="23" t="inlineStr">
        <is>
          <t>人 Human</t>
        </is>
      </c>
      <c r="B41" s="23" t="inlineStr">
        <is>
          <t>呼吸系统</t>
        </is>
      </c>
      <c r="C41" s="23" t="inlineStr">
        <is>
          <t>bronchus</t>
        </is>
      </c>
      <c r="D41" s="23" t="inlineStr">
        <is>
          <t>Homo sapiens</t>
        </is>
      </c>
      <c r="E41" s="23" t="inlineStr">
        <is>
          <t>L2;L4</t>
        </is>
      </c>
      <c r="F41" s="23" t="inlineStr">
        <is>
          <t>L2:Schwann cell | L4:Pulmonary neuroendocrine cell</t>
        </is>
      </c>
      <c r="G41" s="23" t="inlineStr"/>
      <c r="H41" s="23" t="inlineStr">
        <is>
          <t>4f30b962-d49b-4624-a233-64f048cf8632</t>
        </is>
      </c>
      <c r="I41" s="23" t="inlineStr">
        <is>
          <t>CELLxGENE:b61a921b-7fa3-4b42-b455-aaaf32447920</t>
        </is>
      </c>
      <c r="J41" s="23" t="inlineStr">
        <is>
          <t>A Unique Cellular Organization of Human Distal Airways and Its Disarray in Chronic Obstructive Pulmonary Disease</t>
        </is>
      </c>
      <c r="K41" s="23" t="inlineStr">
        <is>
          <t>人类远端气道的独特细胞组织及其在慢性阻塞性肺疾病中的紊乱</t>
        </is>
      </c>
      <c r="L41" s="23" t="inlineStr">
        <is>
          <t>2025</t>
        </is>
      </c>
      <c r="M41" s="23" t="inlineStr">
        <is>
          <t>10.1164/rccm.202207-1384OC</t>
        </is>
      </c>
      <c r="N41" s="23" t="inlineStr">
        <is>
          <t>bronchus|segmental bronchus|terminal bronchus</t>
        </is>
      </c>
      <c r="O41" s="23" t="inlineStr">
        <is>
          <t>chronic obstructive pulmonary disease|normal</t>
        </is>
      </c>
      <c r="P41" s="23" t="inlineStr">
        <is>
          <t>10x 3' v2|10x 3' v3</t>
        </is>
      </c>
      <c r="Q41" s="23" t="inlineStr">
        <is>
          <t>cell</t>
        </is>
      </c>
      <c r="R41" s="25" t="n">
        <v>115788</v>
      </c>
      <c r="S41" s="23" t="inlineStr">
        <is>
          <t>Schwann cell|pulmonary neuroendocrine cell</t>
        </is>
      </c>
      <c r="T41" s="23" t="n"/>
      <c r="U41" s="23" t="inlineStr">
        <is>
          <t>外周神经再生</t>
        </is>
      </c>
      <c r="V41" s="23" t="inlineStr">
        <is>
          <t>https://datasets.cellxgene.cziscience.com/a8e4f394-d141-4755-9a35-790c734d1dab.h5ad</t>
        </is>
      </c>
      <c r="W41" s="23" t="inlineStr">
        <is>
          <t>https://cellxgene.cziscience.com/collections/4f30b962-d49b-4624-a233-64f048cf8632</t>
        </is>
      </c>
      <c r="X41" s="23" t="n">
        <v>1</v>
      </c>
      <c r="Y41" t="inlineStr">
        <is>
          <t>B</t>
        </is>
      </c>
      <c r="Z41" t="inlineStr">
        <is>
          <t>B</t>
        </is>
      </c>
    </row>
    <row r="42">
      <c r="A42" s="23" t="inlineStr">
        <is>
          <t>人 Human</t>
        </is>
      </c>
      <c r="B42" s="23" t="inlineStr">
        <is>
          <t>呼吸系统</t>
        </is>
      </c>
      <c r="C42" s="23" t="inlineStr">
        <is>
          <t>bronchus</t>
        </is>
      </c>
      <c r="D42" s="23" t="inlineStr">
        <is>
          <t>Homo sapiens</t>
        </is>
      </c>
      <c r="E42" s="23" t="inlineStr">
        <is>
          <t>L4</t>
        </is>
      </c>
      <c r="F42" s="23" t="inlineStr">
        <is>
          <t>L4:Neuroendocrine cell</t>
        </is>
      </c>
      <c r="G42" s="23" t="inlineStr"/>
      <c r="H42" s="23" t="inlineStr">
        <is>
          <t>03f821b4-87be-4ff4-b65a-b5fc00061da7</t>
        </is>
      </c>
      <c r="I42" s="23" t="inlineStr">
        <is>
          <t>CELLxGENE:edc8d3fe-153c-4e3d-8be0-2108d30f8d70</t>
        </is>
      </c>
      <c r="J42" s="23" t="inlineStr">
        <is>
          <t>Local and systemic responses to SARS-CoV-2 infection in children and adults</t>
        </is>
      </c>
      <c r="K42" s="23" t="inlineStr">
        <is>
          <t>儿童和成人对SARS-CoV-2感染的局部及全身反应</t>
        </is>
      </c>
      <c r="L42" s="23" t="inlineStr">
        <is>
          <t>2022</t>
        </is>
      </c>
      <c r="M42" s="23" t="inlineStr">
        <is>
          <t>10.1038/s41586-021-04345-x</t>
        </is>
      </c>
      <c r="N42" s="23" t="inlineStr">
        <is>
          <t>bronchus|nasal cavity|trachea</t>
        </is>
      </c>
      <c r="O42" s="23" t="inlineStr">
        <is>
          <t>COVID-19|normal</t>
        </is>
      </c>
      <c r="P42" s="23" t="inlineStr">
        <is>
          <t>10x 5' v1|10x 5' v2</t>
        </is>
      </c>
      <c r="Q42" s="23" t="inlineStr">
        <is>
          <t>cell</t>
        </is>
      </c>
      <c r="R42" s="25" t="n">
        <v>236977</v>
      </c>
      <c r="S42" s="23" t="inlineStr">
        <is>
          <t>neuroendocrine cell</t>
        </is>
      </c>
      <c r="T42" s="23" t="n"/>
      <c r="U42" s="23" t="inlineStr">
        <is>
          <t>神经-免疫通讯;炎症</t>
        </is>
      </c>
      <c r="V42" s="23" t="inlineStr">
        <is>
          <t>https://datasets.cellxgene.cziscience.com/f9efb73e-f116-46b5-a775-d4233e758024.h5ad</t>
        </is>
      </c>
      <c r="W42" s="23" t="inlineStr">
        <is>
          <t>https://cellxgene.cziscience.com/collections/03f821b4-87be-4ff4-b65a-b5fc00061da7</t>
        </is>
      </c>
      <c r="X42" s="23" t="n">
        <v>1</v>
      </c>
      <c r="Y42" t="inlineStr">
        <is>
          <t>B</t>
        </is>
      </c>
      <c r="Z42" t="inlineStr">
        <is>
          <t>B</t>
        </is>
      </c>
    </row>
    <row r="43">
      <c r="A43" s="23" t="inlineStr">
        <is>
          <t>人 Human</t>
        </is>
      </c>
      <c r="B43" s="23" t="inlineStr">
        <is>
          <t>呼吸系统</t>
        </is>
      </c>
      <c r="C43" s="23" t="inlineStr">
        <is>
          <t>carina of trachea</t>
        </is>
      </c>
      <c r="D43" s="23" t="inlineStr">
        <is>
          <t>Homo sapiens</t>
        </is>
      </c>
      <c r="E43" s="23" t="inlineStr">
        <is>
          <t>L4</t>
        </is>
      </c>
      <c r="F43" s="23" t="inlineStr">
        <is>
          <t>L4:Pulmonary neuroendocrine cell</t>
        </is>
      </c>
      <c r="G43" s="23" t="inlineStr"/>
      <c r="H43" s="23" t="inlineStr">
        <is>
          <t>54004c5c-af08-4693-a606-73871b6ef989</t>
        </is>
      </c>
      <c r="I43" s="23" t="inlineStr">
        <is>
          <t>CELLxGENE:1ab4ebbc-18d6-4838-89c2-cdc5b10accfb</t>
        </is>
      </c>
      <c r="J43" s="23" t="inlineStr">
        <is>
          <t>Cystic Fibrosis and healthy control biopsy</t>
        </is>
      </c>
      <c r="K43" s="23" t="inlineStr">
        <is>
          <t>囊性纤维化与健康对照活检</t>
        </is>
      </c>
      <c r="L43" s="23" t="inlineStr">
        <is>
          <t>2025</t>
        </is>
      </c>
      <c r="M43" s="23" t="inlineStr">
        <is>
          <t>10.1016/j.jcf.2025.01.016</t>
        </is>
      </c>
      <c r="N43" s="23" t="inlineStr">
        <is>
          <t>carina of trachea|respiratory tube</t>
        </is>
      </c>
      <c r="O43" s="23" t="inlineStr">
        <is>
          <t>cystic fibrosis|normal</t>
        </is>
      </c>
      <c r="P43" s="23" t="inlineStr">
        <is>
          <t>10x 3' v2|10x 3' v3</t>
        </is>
      </c>
      <c r="Q43" s="23" t="inlineStr">
        <is>
          <t>cell</t>
        </is>
      </c>
      <c r="R43" s="25" t="n">
        <v>96479</v>
      </c>
      <c r="S43" s="23" t="inlineStr">
        <is>
          <t>pulmonary neuroendocrine cell</t>
        </is>
      </c>
      <c r="T43" s="23" t="n"/>
      <c r="U43" s="23" t="inlineStr">
        <is>
          <t>纤维化</t>
        </is>
      </c>
      <c r="V43" s="23" t="inlineStr">
        <is>
          <t>https://datasets.cellxgene.cziscience.com/08530c67-a192-4d76-bfe5-b7834e8da231.h5ad</t>
        </is>
      </c>
      <c r="W43" s="23" t="inlineStr">
        <is>
          <t>https://cellxgene.cziscience.com/collections/54004c5c-af08-4693-a606-73871b6ef989</t>
        </is>
      </c>
      <c r="X43" s="23" t="n">
        <v>1</v>
      </c>
      <c r="Y43" t="inlineStr">
        <is>
          <t>B</t>
        </is>
      </c>
      <c r="Z43" t="inlineStr">
        <is>
          <t>B</t>
        </is>
      </c>
    </row>
    <row r="44">
      <c r="A44" s="23" t="inlineStr">
        <is>
          <t>人 Human</t>
        </is>
      </c>
      <c r="B44" s="23" t="inlineStr">
        <is>
          <t>呼吸系统</t>
        </is>
      </c>
      <c r="C44" s="23" t="inlineStr">
        <is>
          <t>lung</t>
        </is>
      </c>
      <c r="D44" s="23" t="inlineStr">
        <is>
          <t>Homo sapiens</t>
        </is>
      </c>
      <c r="E44" s="23" t="inlineStr">
        <is>
          <t>L2;L4</t>
        </is>
      </c>
      <c r="F44" s="23" t="inlineStr">
        <is>
          <t>L2:Schwann cell/Schwann cell precursor/Immature Schwann cell | L4:Pulmonary neuroendocrine cell</t>
        </is>
      </c>
      <c r="G44" s="23" t="inlineStr">
        <is>
          <t>含泛neuron(器官图谱→疑中枢/噪声,待裁定)</t>
        </is>
      </c>
      <c r="H44" s="23" t="inlineStr">
        <is>
          <t>2d2e2acd-dade-489f-a2da-6c11aa654028</t>
        </is>
      </c>
      <c r="I44" s="23" t="inlineStr">
        <is>
          <t>CELLxGENE:3dc61ca1-ce40-46b6-8337-f27260fd9a03</t>
        </is>
      </c>
      <c r="J44" s="23" t="inlineStr">
        <is>
          <t>A human fetal lung cell atlas uncovers proximal-distal gradients of differentiation and key regulators of epithelial fates</t>
        </is>
      </c>
      <c r="K44" s="23" t="inlineStr">
        <is>
          <t>人类胎儿肺细胞图谱揭示分化的近端-远端梯度及上皮命运的关键调控因子</t>
        </is>
      </c>
      <c r="L44" s="23" t="inlineStr">
        <is>
          <t>2022</t>
        </is>
      </c>
      <c r="M44" s="23" t="inlineStr">
        <is>
          <t>10.1016/j.cell.2022.11.005</t>
        </is>
      </c>
      <c r="N44" s="23" t="inlineStr">
        <is>
          <t>lung</t>
        </is>
      </c>
      <c r="O44" s="23" t="inlineStr">
        <is>
          <t>normal</t>
        </is>
      </c>
      <c r="P44" s="23" t="inlineStr">
        <is>
          <t>10x 5' v1</t>
        </is>
      </c>
      <c r="Q44" s="23" t="inlineStr">
        <is>
          <t>cell</t>
        </is>
      </c>
      <c r="R44" s="25" t="n">
        <v>71752</v>
      </c>
      <c r="S44" s="23" t="inlineStr">
        <is>
          <t>Schwann cell|Schwann cell precursor|immature Schwann cell|neuron|pulmonary neuroendocrine cell</t>
        </is>
      </c>
      <c r="T44" s="23" t="n"/>
      <c r="U44" s="23" t="inlineStr">
        <is>
          <t>外周神经再生</t>
        </is>
      </c>
      <c r="V44" s="23" t="inlineStr">
        <is>
          <t>https://datasets.cellxgene.cziscience.com/c961f0d3-15cd-481a-b167-d356ccf6659a.h5ad</t>
        </is>
      </c>
      <c r="W44" s="23" t="inlineStr">
        <is>
          <t>https://cellxgene.cziscience.com/collections/2d2e2acd-dade-489f-a2da-6c11aa654028</t>
        </is>
      </c>
      <c r="X44" s="23" t="n">
        <v>4</v>
      </c>
      <c r="Y44" t="inlineStr">
        <is>
          <t>B</t>
        </is>
      </c>
      <c r="Z44" t="inlineStr">
        <is>
          <t>B</t>
        </is>
      </c>
    </row>
    <row r="45">
      <c r="A45" s="23" t="inlineStr">
        <is>
          <t>人 Human</t>
        </is>
      </c>
      <c r="B45" s="23" t="inlineStr">
        <is>
          <t>呼吸系统</t>
        </is>
      </c>
      <c r="C45" s="23" t="inlineStr">
        <is>
          <t>lung</t>
        </is>
      </c>
      <c r="D45" s="23" t="inlineStr">
        <is>
          <t>Homo sapiens</t>
        </is>
      </c>
      <c r="E45" s="23" t="inlineStr">
        <is>
          <t>L4</t>
        </is>
      </c>
      <c r="F45" s="23" t="inlineStr">
        <is>
          <t>L4:Neuroendocrine cell</t>
        </is>
      </c>
      <c r="G45" s="23" t="inlineStr"/>
      <c r="H45" s="23" t="inlineStr">
        <is>
          <t>e276e3e2-197a-4524-abd1-a753a48dc33a</t>
        </is>
      </c>
      <c r="I45" s="23" t="inlineStr">
        <is>
          <t>CELLxGENE:10c0c666-bd99-4a5c-b697-f1be835f5427</t>
        </is>
      </c>
      <c r="J45" s="23" t="inlineStr">
        <is>
          <t>Human Lung Allografts Experience Persistent Fibrogenic Shift Following Acute Cellular Rejection</t>
        </is>
      </c>
      <c r="K45" s="23" t="inlineStr">
        <is>
          <t>人肺同种异体移植物在急性细胞排斥后经历持续性纤维化转变</t>
        </is>
      </c>
      <c r="L45" s="23" t="inlineStr">
        <is>
          <t>2026</t>
        </is>
      </c>
      <c r="M45" s="23" t="inlineStr">
        <is>
          <t>10.1016/j.healun.2026.02.1666</t>
        </is>
      </c>
      <c r="N45" s="23" t="inlineStr">
        <is>
          <t>lung</t>
        </is>
      </c>
      <c r="O45" s="23" t="inlineStr">
        <is>
          <t>acute graft versus host disease|normal</t>
        </is>
      </c>
      <c r="P45" s="23" t="inlineStr">
        <is>
          <t>10x 3' v3|10x 5' v1|10x 5' v2</t>
        </is>
      </c>
      <c r="Q45" s="23" t="inlineStr">
        <is>
          <t>cell</t>
        </is>
      </c>
      <c r="R45" s="25" t="n">
        <v>56676</v>
      </c>
      <c r="S45" s="23" t="inlineStr">
        <is>
          <t>neuroendocrine cell</t>
        </is>
      </c>
      <c r="T45" s="23" t="n"/>
      <c r="U45" s="23" t="inlineStr">
        <is>
          <t>general peripheral neurobiology</t>
        </is>
      </c>
      <c r="V45" s="23" t="inlineStr">
        <is>
          <t>https://datasets.cellxgene.cziscience.com/af6e81be-e65c-4821-987e-e0eb6c8acd59.h5ad</t>
        </is>
      </c>
      <c r="W45" s="23" t="inlineStr">
        <is>
          <t>https://cellxgene.cziscience.com/collections/e276e3e2-197a-4524-abd1-a753a48dc33a</t>
        </is>
      </c>
      <c r="X45" s="23" t="n">
        <v>1</v>
      </c>
      <c r="Y45" t="inlineStr">
        <is>
          <t>B</t>
        </is>
      </c>
      <c r="Z45" t="inlineStr">
        <is>
          <t>B</t>
        </is>
      </c>
    </row>
    <row r="46">
      <c r="A46" s="23" t="inlineStr">
        <is>
          <t>人 Human</t>
        </is>
      </c>
      <c r="B46" s="23" t="inlineStr">
        <is>
          <t>呼吸系统</t>
        </is>
      </c>
      <c r="C46" s="23" t="inlineStr">
        <is>
          <t>lung</t>
        </is>
      </c>
      <c r="D46" s="23" t="inlineStr">
        <is>
          <t>Homo sapiens</t>
        </is>
      </c>
      <c r="E46" s="23" t="inlineStr">
        <is>
          <t>L4</t>
        </is>
      </c>
      <c r="F46" s="23" t="inlineStr">
        <is>
          <t>L4:Pulmonary neuroendocrine cell</t>
        </is>
      </c>
      <c r="G46" s="23" t="inlineStr"/>
      <c r="H46" s="23" t="inlineStr">
        <is>
          <t>625f6bf4-2f33-4942-962e-35243d284837</t>
        </is>
      </c>
      <c r="I46" s="23" t="inlineStr">
        <is>
          <t>CELLxGENE:3de0ad6d-4378-4f62-b37b-ec0b75a50d94</t>
        </is>
      </c>
      <c r="J46" s="23" t="inlineStr">
        <is>
          <t>LungMAP — Human data from a broad age healthy donor group</t>
        </is>
      </c>
      <c r="K46" s="23" t="inlineStr">
        <is>
          <t>LungMAP — 来自广泛年龄健康捐赠者群体的人类数据</t>
        </is>
      </c>
      <c r="L46" s="23" t="inlineStr">
        <is>
          <t>2021</t>
        </is>
      </c>
      <c r="M46" s="23" t="inlineStr">
        <is>
          <t>10.7554/eLife.62522</t>
        </is>
      </c>
      <c r="N46" s="23" t="inlineStr">
        <is>
          <t>lung</t>
        </is>
      </c>
      <c r="O46" s="23" t="inlineStr">
        <is>
          <t>normal</t>
        </is>
      </c>
      <c r="P46" s="23" t="inlineStr">
        <is>
          <t>10x 3' v3</t>
        </is>
      </c>
      <c r="Q46" s="23" t="inlineStr">
        <is>
          <t>nucleus</t>
        </is>
      </c>
      <c r="R46" s="25" t="n">
        <v>46500</v>
      </c>
      <c r="S46" s="23" t="inlineStr">
        <is>
          <t>pulmonary neuroendocrine cell</t>
        </is>
      </c>
      <c r="T46" s="23" t="n"/>
      <c r="U46" s="23" t="inlineStr">
        <is>
          <t>general peripheral neurobiology</t>
        </is>
      </c>
      <c r="V46" s="23" t="inlineStr">
        <is>
          <t>https://datasets.cellxgene.cziscience.com/92167705-4b81-4c4b-a0b5-abe08910415e.h5ad</t>
        </is>
      </c>
      <c r="W46" s="23" t="inlineStr">
        <is>
          <t>https://cellxgene.cziscience.com/collections/625f6bf4-2f33-4942-962e-35243d284837</t>
        </is>
      </c>
      <c r="X46" s="23" t="n">
        <v>1</v>
      </c>
      <c r="Y46" t="inlineStr">
        <is>
          <t>B</t>
        </is>
      </c>
      <c r="Z46" t="inlineStr">
        <is>
          <t>B</t>
        </is>
      </c>
    </row>
    <row r="47">
      <c r="A47" s="23" t="inlineStr">
        <is>
          <t>人 Human</t>
        </is>
      </c>
      <c r="B47" s="23" t="inlineStr">
        <is>
          <t>呼吸系统</t>
        </is>
      </c>
      <c r="C47" s="23" t="inlineStr">
        <is>
          <t>lung</t>
        </is>
      </c>
      <c r="D47" s="23" t="inlineStr">
        <is>
          <t>Homo sapiens</t>
        </is>
      </c>
      <c r="E47" s="23" t="inlineStr">
        <is>
          <t>L4</t>
        </is>
      </c>
      <c r="F47" s="23" t="inlineStr">
        <is>
          <t>L4:Pulmonary neuroendocrine cell</t>
        </is>
      </c>
      <c r="G47" s="23" t="inlineStr"/>
      <c r="H47" s="23" t="inlineStr">
        <is>
          <t>92db8a7e-8761-4317-873f-15606c016ce5</t>
        </is>
      </c>
      <c r="I47" s="23" t="inlineStr">
        <is>
          <t>CELLxGENE:781cc817-3fd0-487c-a55a-b47b2786a05d</t>
        </is>
      </c>
      <c r="J47" s="23" t="inlineStr">
        <is>
          <t>A novel human fetal lung-derived alveolar organoid model reveals mechanisms of surfactant protein C maturation relevant to interstitial lung disease</t>
        </is>
      </c>
      <c r="K47" s="23" t="inlineStr">
        <is>
          <t>一种新型人胎肺来源肺泡类器官模型揭示与间质性肺病相关的表面活性蛋白C成熟机制</t>
        </is>
      </c>
      <c r="L47" s="23" t="inlineStr">
        <is>
          <t>2025</t>
        </is>
      </c>
      <c r="M47" s="23" t="inlineStr">
        <is>
          <t>10.1038/s44318-024-00328-6</t>
        </is>
      </c>
      <c r="N47" s="23" t="inlineStr">
        <is>
          <t>lung</t>
        </is>
      </c>
      <c r="O47" s="23" t="inlineStr">
        <is>
          <t>normal</t>
        </is>
      </c>
      <c r="P47" s="23" t="inlineStr">
        <is>
          <t>10x 5' v1</t>
        </is>
      </c>
      <c r="Q47" s="23" t="inlineStr">
        <is>
          <t>cell</t>
        </is>
      </c>
      <c r="R47" s="25" t="n">
        <v>9619</v>
      </c>
      <c r="S47" s="23" t="inlineStr">
        <is>
          <t>pulmonary neuroendocrine cell</t>
        </is>
      </c>
      <c r="T47" s="23" t="n"/>
      <c r="U47" s="23" t="inlineStr">
        <is>
          <t>general peripheral neurobiology</t>
        </is>
      </c>
      <c r="V47" s="23" t="inlineStr">
        <is>
          <t>https://datasets.cellxgene.cziscience.com/89a17e6a-bbb0-4a9a-b2b4-3bafd89277a8.h5ad</t>
        </is>
      </c>
      <c r="W47" s="23" t="inlineStr">
        <is>
          <t>https://cellxgene.cziscience.com/collections/92db8a7e-8761-4317-873f-15606c016ce5</t>
        </is>
      </c>
      <c r="X47" s="23" t="n">
        <v>1</v>
      </c>
      <c r="Y47" t="inlineStr">
        <is>
          <t>B</t>
        </is>
      </c>
      <c r="Z47" t="inlineStr">
        <is>
          <t>B</t>
        </is>
      </c>
    </row>
    <row r="48">
      <c r="A48" s="23" t="inlineStr">
        <is>
          <t>人 Human</t>
        </is>
      </c>
      <c r="B48" s="23" t="inlineStr">
        <is>
          <t>呼吸系统</t>
        </is>
      </c>
      <c r="C48" s="23" t="inlineStr">
        <is>
          <t>lung</t>
        </is>
      </c>
      <c r="D48" s="23" t="inlineStr">
        <is>
          <t>Homo sapiens</t>
        </is>
      </c>
      <c r="E48" s="23" t="inlineStr">
        <is>
          <t>L4</t>
        </is>
      </c>
      <c r="F48" s="23" t="inlineStr">
        <is>
          <t>L4:Pulmonary neuroendocrine cell</t>
        </is>
      </c>
      <c r="G48" s="23" t="inlineStr"/>
      <c r="H48" s="23" t="inlineStr">
        <is>
          <t>ec329aed-22bc-4d6e-8935-8282dcb1acac</t>
        </is>
      </c>
      <c r="I48" s="23" t="inlineStr">
        <is>
          <t>CELLxGENE:8dc858b0-b076-4326-94bb-7c2d1cd721a3</t>
        </is>
      </c>
      <c r="J48" s="23" t="inlineStr">
        <is>
          <t>Early human lung immune cell development and its role in epithelial cell fate</t>
        </is>
      </c>
      <c r="K48" s="23" t="inlineStr">
        <is>
          <t>早期人类肺免疫细胞发育及其在上皮细胞命运中的作用</t>
        </is>
      </c>
      <c r="L48" s="23" t="inlineStr">
        <is>
          <t>2024</t>
        </is>
      </c>
      <c r="M48" s="23" t="inlineStr">
        <is>
          <t>10.1126/sciimmunol.adf9988</t>
        </is>
      </c>
      <c r="N48" s="23" t="inlineStr">
        <is>
          <t>lung</t>
        </is>
      </c>
      <c r="O48" s="23" t="inlineStr">
        <is>
          <t>normal</t>
        </is>
      </c>
      <c r="P48" s="23" t="inlineStr">
        <is>
          <t>10x 5' transcription profiling</t>
        </is>
      </c>
      <c r="Q48" s="23" t="inlineStr">
        <is>
          <t>cell</t>
        </is>
      </c>
      <c r="R48" s="25" t="n">
        <v>8556</v>
      </c>
      <c r="S48" s="23" t="inlineStr">
        <is>
          <t>pulmonary neuroendocrine cell</t>
        </is>
      </c>
      <c r="T48" s="23" t="n"/>
      <c r="U48" s="23" t="inlineStr">
        <is>
          <t>神经-免疫通讯</t>
        </is>
      </c>
      <c r="V48" s="23" t="inlineStr">
        <is>
          <t>https://datasets.cellxgene.cziscience.com/2ebaaba9-0401-46a8-a242-f44f333ddb0d.h5ad</t>
        </is>
      </c>
      <c r="W48" s="23" t="inlineStr">
        <is>
          <t>https://cellxgene.cziscience.com/collections/ec329aed-22bc-4d6e-8935-8282dcb1acac</t>
        </is>
      </c>
      <c r="X48" s="23" t="n">
        <v>1</v>
      </c>
      <c r="Y48" t="inlineStr">
        <is>
          <t>B</t>
        </is>
      </c>
      <c r="Z48" t="inlineStr">
        <is>
          <t>B</t>
        </is>
      </c>
    </row>
    <row r="49">
      <c r="A49" s="23" t="inlineStr">
        <is>
          <t>人 Human</t>
        </is>
      </c>
      <c r="B49" s="23" t="inlineStr">
        <is>
          <t>呼吸系统</t>
        </is>
      </c>
      <c r="C49" s="23" t="inlineStr">
        <is>
          <t>lung</t>
        </is>
      </c>
      <c r="D49" s="23" t="inlineStr">
        <is>
          <t>Homo sapiens</t>
        </is>
      </c>
      <c r="E49" s="23" t="inlineStr">
        <is>
          <t>L4</t>
        </is>
      </c>
      <c r="F49" s="23" t="inlineStr">
        <is>
          <t>L4:Pulmonary neuroendocrine cell</t>
        </is>
      </c>
      <c r="G49" s="23" t="inlineStr"/>
      <c r="H49" s="23" t="inlineStr">
        <is>
          <t>6f6d381a-7701-4781-935c-db10d30de293</t>
        </is>
      </c>
      <c r="I49" s="23" t="inlineStr">
        <is>
          <t>CELLxGENE:9f222629-9e39-47d0-b83f-e08d610c7479</t>
        </is>
      </c>
      <c r="J49" s="23" t="inlineStr">
        <is>
          <t>The integrated Human Lung Cell Atlas</t>
        </is>
      </c>
      <c r="K49" s="23" t="inlineStr">
        <is>
          <t>整合性人类肺细胞图谱</t>
        </is>
      </c>
      <c r="L49" s="23" t="inlineStr">
        <is>
          <t>2022</t>
        </is>
      </c>
      <c r="M49" s="23" t="inlineStr">
        <is>
          <t>10.1038/s41591-023-02327-2</t>
        </is>
      </c>
      <c r="N49" s="23" t="inlineStr">
        <is>
          <t>lung|lung parenchyma|nose|respiratory airway</t>
        </is>
      </c>
      <c r="O49" s="23" t="inlineStr">
        <is>
          <t>COVID-19|chronic obstructive pulmonary disease|chronic rhinitis|cystic fibrosis|hypersensitivity pneumonitis|interstitial lung disease|lung adenocarcinoma|lung large cell carcinoma|lymphangioleiomyomatosis|non-specific interstitial pneumonia|normal|pleomorphic carcinoma|pneumonia|pulmonary fibrosis|pulmonary sarcoidosis|squamous cell lung carcinoma</t>
        </is>
      </c>
      <c r="P49" s="23" t="inlineStr">
        <is>
          <t>10x 3' v1|10x 3' v2|10x 3' v3|10x 5' transcription profiling|10x 5' v1|10x 5' v2|Drop-seq|Seq-Well</t>
        </is>
      </c>
      <c r="Q49" s="23" t="inlineStr">
        <is>
          <t>cell|nucleus</t>
        </is>
      </c>
      <c r="R49" s="25" t="n">
        <v>2282447</v>
      </c>
      <c r="S49" s="23" t="inlineStr">
        <is>
          <t>pulmonary neuroendocrine cell</t>
        </is>
      </c>
      <c r="T49" s="23" t="n"/>
      <c r="U49" s="23" t="inlineStr">
        <is>
          <t>神经-免疫通讯;炎症;纤维化</t>
        </is>
      </c>
      <c r="V49" s="23" t="inlineStr">
        <is>
          <t>https://datasets.cellxgene.cziscience.com/5f863718-02a6-46cb-83e7-52be988b915b.h5ad</t>
        </is>
      </c>
      <c r="W49" s="23" t="inlineStr">
        <is>
          <t>https://cellxgene.cziscience.com/collections/6f6d381a-7701-4781-935c-db10d30de293</t>
        </is>
      </c>
      <c r="X49" s="23" t="n">
        <v>2</v>
      </c>
      <c r="Y49" t="inlineStr">
        <is>
          <t>B</t>
        </is>
      </c>
      <c r="Z49" t="inlineStr">
        <is>
          <t>B</t>
        </is>
      </c>
    </row>
    <row r="50">
      <c r="A50" s="23" t="inlineStr">
        <is>
          <t>人 Human</t>
        </is>
      </c>
      <c r="B50" s="23" t="inlineStr">
        <is>
          <t>呼吸系统</t>
        </is>
      </c>
      <c r="C50" s="23" t="inlineStr">
        <is>
          <t>lung</t>
        </is>
      </c>
      <c r="D50" s="23" t="inlineStr">
        <is>
          <t>Homo sapiens</t>
        </is>
      </c>
      <c r="E50" s="23" t="inlineStr">
        <is>
          <t>L4</t>
        </is>
      </c>
      <c r="F50" s="23" t="inlineStr">
        <is>
          <t>L4:Pulmonary neuroendocrine cell</t>
        </is>
      </c>
      <c r="G50" s="23" t="inlineStr"/>
      <c r="H50" s="23" t="inlineStr">
        <is>
          <t>f86d6317-7215-409e-bfda-3f4ded3dadaa</t>
        </is>
      </c>
      <c r="I50" s="23" t="inlineStr">
        <is>
          <t>CELLxGENE:eb499fd8-7000-419f-8854-926b9b61b11f</t>
        </is>
      </c>
      <c r="J50" s="23" t="inlineStr">
        <is>
          <t>Human CellCards Multi-Study CellRef 1.0 Atlas</t>
        </is>
      </c>
      <c r="K50" s="23" t="inlineStr">
        <is>
          <t>Human CellCards 多研究 CellRef 1.0 图谱</t>
        </is>
      </c>
      <c r="L50" s="23" t="inlineStr">
        <is>
          <t>2024</t>
        </is>
      </c>
      <c r="M50" s="23" t="inlineStr">
        <is>
          <t>10.1038/s41467-023-40173-5</t>
        </is>
      </c>
      <c r="N50" s="23" t="inlineStr">
        <is>
          <t>lung</t>
        </is>
      </c>
      <c r="O50" s="23" t="inlineStr">
        <is>
          <t>normal</t>
        </is>
      </c>
      <c r="P50" s="23" t="inlineStr">
        <is>
          <t>10x 3' v2|10x 3' v3|10x 5' v1</t>
        </is>
      </c>
      <c r="Q50" s="23" t="inlineStr">
        <is>
          <t>cell</t>
        </is>
      </c>
      <c r="R50" s="25" t="n">
        <v>347970</v>
      </c>
      <c r="S50" s="23" t="inlineStr">
        <is>
          <t>pulmonary neuroendocrine cell</t>
        </is>
      </c>
      <c r="T50" s="23" t="n"/>
      <c r="U50" s="23" t="inlineStr">
        <is>
          <t>general peripheral neurobiology</t>
        </is>
      </c>
      <c r="V50" s="23" t="inlineStr">
        <is>
          <t>https://datasets.cellxgene.cziscience.com/d6184057-2178-4946-b9b1-dc56543a77aa.h5ad</t>
        </is>
      </c>
      <c r="W50" s="23" t="inlineStr">
        <is>
          <t>https://cellxgene.cziscience.com/collections/f86d6317-7215-409e-bfda-3f4ded3dadaa</t>
        </is>
      </c>
      <c r="X50" s="23" t="n">
        <v>1</v>
      </c>
      <c r="Y50" t="inlineStr">
        <is>
          <t>B</t>
        </is>
      </c>
      <c r="Z50" t="inlineStr">
        <is>
          <t>B</t>
        </is>
      </c>
    </row>
    <row r="51">
      <c r="A51" s="23" t="inlineStr">
        <is>
          <t>人 Human</t>
        </is>
      </c>
      <c r="B51" s="23" t="inlineStr">
        <is>
          <t>呼吸系统</t>
        </is>
      </c>
      <c r="C51" s="23" t="inlineStr">
        <is>
          <t>lung</t>
        </is>
      </c>
      <c r="D51" s="23" t="inlineStr">
        <is>
          <t>Homo sapiens</t>
        </is>
      </c>
      <c r="E51" s="23" t="inlineStr">
        <is>
          <t>L4</t>
        </is>
      </c>
      <c r="F51" s="23" t="inlineStr">
        <is>
          <t>L4:Pulmonary neuroendocrine cell</t>
        </is>
      </c>
      <c r="G51" s="23" t="inlineStr"/>
      <c r="H51" s="23" t="inlineStr">
        <is>
          <t>07e12576-b41b-4350-adfc-059bfc4328ea</t>
        </is>
      </c>
      <c r="I51" s="23" t="inlineStr">
        <is>
          <t>CELLxGENE:f14bc322-1322-4184-8d16-409557525ea5</t>
        </is>
      </c>
      <c r="J51" s="23" t="inlineStr">
        <is>
          <t>Single-cell RNA-seq analysis of Interstitial Lung Disease (ILD) subtypes</t>
        </is>
      </c>
      <c r="K51" s="23" t="inlineStr">
        <is>
          <t>间质性肺病(ILD)亚型的单细胞RNA-seq分析</t>
        </is>
      </c>
      <c r="L51" s="23" t="inlineStr">
        <is>
          <t>2025</t>
        </is>
      </c>
      <c r="M51" s="23" t="inlineStr">
        <is>
          <t>10.1038/s41588-024-01702-0</t>
        </is>
      </c>
      <c r="N51" s="23" t="inlineStr">
        <is>
          <t>lung</t>
        </is>
      </c>
      <c r="O51" s="23" t="inlineStr">
        <is>
          <t>anthracosis|hypersensitivity pneumonitis|interstitial lung disease|lymphoid interstitial pneumonia|non-specific interstitial pneumonia|normal|pulmonary sarcoidosis</t>
        </is>
      </c>
      <c r="P51" s="23" t="inlineStr">
        <is>
          <t>10x 5' v1|10x 5' v2</t>
        </is>
      </c>
      <c r="Q51" s="23" t="inlineStr">
        <is>
          <t>cell</t>
        </is>
      </c>
      <c r="R51" s="25" t="n">
        <v>471905</v>
      </c>
      <c r="S51" s="23" t="inlineStr">
        <is>
          <t>pulmonary neuroendocrine cell</t>
        </is>
      </c>
      <c r="T51" s="23" t="n"/>
      <c r="U51" s="23" t="inlineStr">
        <is>
          <t>general peripheral neurobiology</t>
        </is>
      </c>
      <c r="V51" s="23" t="inlineStr">
        <is>
          <t>https://datasets.cellxgene.cziscience.com/c3d9262e-0dc5-4eca-bf20-56e6d96d0306.h5ad</t>
        </is>
      </c>
      <c r="W51" s="23" t="inlineStr">
        <is>
          <t>https://cellxgene.cziscience.com/collections/07e12576-b41b-4350-adfc-059bfc4328ea</t>
        </is>
      </c>
      <c r="X51" s="23" t="n">
        <v>1</v>
      </c>
      <c r="Y51" t="inlineStr">
        <is>
          <t>B</t>
        </is>
      </c>
      <c r="Z51" t="inlineStr">
        <is>
          <t>B</t>
        </is>
      </c>
    </row>
    <row r="52">
      <c r="A52" s="23" t="inlineStr">
        <is>
          <t>人 Human</t>
        </is>
      </c>
      <c r="B52" s="23" t="inlineStr">
        <is>
          <t>呼吸系统</t>
        </is>
      </c>
      <c r="C52" s="23" t="inlineStr">
        <is>
          <t>lung</t>
        </is>
      </c>
      <c r="D52" s="23" t="inlineStr">
        <is>
          <t>Homo sapiens</t>
        </is>
      </c>
      <c r="E52" s="23" t="inlineStr">
        <is>
          <t>待定(泛神经)</t>
        </is>
      </c>
      <c r="F52" s="23" t="inlineStr">
        <is>
          <t>—</t>
        </is>
      </c>
      <c r="G52" s="23" t="inlineStr">
        <is>
          <t>含泛neuron(器官图谱→疑中枢/噪声,待裁定)</t>
        </is>
      </c>
      <c r="H52" s="23" t="inlineStr">
        <is>
          <t>e4c9ed14-e560-4900-a3bf-b0f8d2ce6a10</t>
        </is>
      </c>
      <c r="I52" s="23" t="inlineStr">
        <is>
          <t>CELLxGENE:d8da613f-e681-4c69-b463-e94f5e66847f</t>
        </is>
      </c>
      <c r="J52" s="23" t="inlineStr">
        <is>
          <t>A molecular single-cell lung atlas of lethal COVID-19</t>
        </is>
      </c>
      <c r="K52" s="23" t="inlineStr">
        <is>
          <t>致死性COVID-19的分子单细胞肺图谱</t>
        </is>
      </c>
      <c r="L52" s="23" t="inlineStr">
        <is>
          <t>2023</t>
        </is>
      </c>
      <c r="M52" s="23" t="inlineStr">
        <is>
          <t>10.1038/s41586-021-03569-1</t>
        </is>
      </c>
      <c r="N52" s="23" t="inlineStr">
        <is>
          <t>lung</t>
        </is>
      </c>
      <c r="O52" s="23" t="inlineStr">
        <is>
          <t>COVID-19|normal</t>
        </is>
      </c>
      <c r="P52" s="23" t="inlineStr">
        <is>
          <t>10x 3' v3</t>
        </is>
      </c>
      <c r="Q52" s="23" t="inlineStr">
        <is>
          <t>nucleus</t>
        </is>
      </c>
      <c r="R52" s="25" t="n">
        <v>116313</v>
      </c>
      <c r="S52" s="23" t="inlineStr">
        <is>
          <t>neuron</t>
        </is>
      </c>
      <c r="T52" s="23" t="n"/>
      <c r="U52" s="23" t="inlineStr">
        <is>
          <t>神经-免疫通讯;炎症</t>
        </is>
      </c>
      <c r="V52" s="23" t="inlineStr">
        <is>
          <t>https://datasets.cellxgene.cziscience.com/1792df55-7cfe-4564-afcf-4bb3ffb73bc0.h5ad</t>
        </is>
      </c>
      <c r="W52" s="23" t="inlineStr">
        <is>
          <t>https://cellxgene.cziscience.com/collections/e4c9ed14-e560-4900-a3bf-b0f8d2ce6a10</t>
        </is>
      </c>
      <c r="X52" s="23" t="n">
        <v>1</v>
      </c>
      <c r="Y52" t="inlineStr">
        <is>
          <t>B</t>
        </is>
      </c>
      <c r="Z52" t="inlineStr">
        <is>
          <t>B</t>
        </is>
      </c>
    </row>
    <row r="53">
      <c r="A53" s="23" t="inlineStr">
        <is>
          <t>人 Human</t>
        </is>
      </c>
      <c r="B53" s="23" t="inlineStr">
        <is>
          <t>呼吸系统</t>
        </is>
      </c>
      <c r="C53" s="23" t="inlineStr">
        <is>
          <t>lung epithelium</t>
        </is>
      </c>
      <c r="D53" s="23" t="inlineStr">
        <is>
          <t>Homo sapiens</t>
        </is>
      </c>
      <c r="E53" s="23" t="inlineStr">
        <is>
          <t>L4</t>
        </is>
      </c>
      <c r="F53" s="23" t="inlineStr">
        <is>
          <t>L4:Pulmonary neuroendocrine cell</t>
        </is>
      </c>
      <c r="G53" s="23" t="inlineStr"/>
      <c r="H53" s="23" t="inlineStr">
        <is>
          <t>2d42fb2f-e635-466e-a2f4-9ea34f2e0feb</t>
        </is>
      </c>
      <c r="I53" s="23" t="inlineStr">
        <is>
          <t>CELLxGENE:43a1506b-aa9e-46a3-b288-d210f4595ddf</t>
        </is>
      </c>
      <c r="J53" s="23" t="inlineStr">
        <is>
          <t>Organoid modeling of human fetal lung alveolar development reveals mechanisms of cell fate patterning and neonatal respiratory disease</t>
        </is>
      </c>
      <c r="K53" s="23" t="inlineStr">
        <is>
          <t>人胎肺肺泡发育的类器官模型揭示细胞命运模式化及新生儿呼吸疾病的机制</t>
        </is>
      </c>
      <c r="L53" s="23" t="inlineStr">
        <is>
          <t>2025</t>
        </is>
      </c>
      <c r="M53" s="23" t="inlineStr">
        <is>
          <t>10.1016/j.stem.2022.11.013</t>
        </is>
      </c>
      <c r="N53" s="23" t="inlineStr">
        <is>
          <t>lung epithelium</t>
        </is>
      </c>
      <c r="O53" s="23" t="inlineStr">
        <is>
          <t>normal</t>
        </is>
      </c>
      <c r="P53" s="23" t="inlineStr">
        <is>
          <t>10x 5' v1</t>
        </is>
      </c>
      <c r="Q53" s="23" t="inlineStr">
        <is>
          <t>cell</t>
        </is>
      </c>
      <c r="R53" s="25" t="n">
        <v>20475</v>
      </c>
      <c r="S53" s="23" t="inlineStr">
        <is>
          <t>neuroendocrine cell of epithelium of lobar bronchus|pulmonary neuroendocrine cell</t>
        </is>
      </c>
      <c r="T53" s="23" t="n"/>
      <c r="U53" s="23" t="inlineStr">
        <is>
          <t>general peripheral neurobiology</t>
        </is>
      </c>
      <c r="V53" s="23" t="inlineStr">
        <is>
          <t>https://datasets.cellxgene.cziscience.com/8dfa9273-352e-4b67-aea0-67a108f39a0f.h5ad</t>
        </is>
      </c>
      <c r="W53" s="23" t="inlineStr">
        <is>
          <t>https://cellxgene.cziscience.com/collections/2d42fb2f-e635-466e-a2f4-9ea34f2e0feb</t>
        </is>
      </c>
      <c r="X53" s="23" t="n">
        <v>1</v>
      </c>
      <c r="Y53" t="inlineStr">
        <is>
          <t>B</t>
        </is>
      </c>
      <c r="Z53" t="inlineStr">
        <is>
          <t>B</t>
        </is>
      </c>
    </row>
    <row r="54">
      <c r="A54" s="23" t="inlineStr">
        <is>
          <t>人 Human</t>
        </is>
      </c>
      <c r="B54" s="23" t="inlineStr">
        <is>
          <t>呼吸系统</t>
        </is>
      </c>
      <c r="C54" s="23" t="inlineStr">
        <is>
          <t>middle lobe of right lung</t>
        </is>
      </c>
      <c r="D54" s="23" t="inlineStr">
        <is>
          <t>Homo sapiens</t>
        </is>
      </c>
      <c r="E54" s="23" t="inlineStr">
        <is>
          <t>L4</t>
        </is>
      </c>
      <c r="F54" s="23" t="inlineStr">
        <is>
          <t>L4:Pulmonary neuroendocrine cell</t>
        </is>
      </c>
      <c r="G54" s="23" t="inlineStr"/>
      <c r="H54" s="23" t="inlineStr">
        <is>
          <t>3a5dbf8a-9b3e-4309-b4c5-d8a024f83734</t>
        </is>
      </c>
      <c r="I54" s="23" t="inlineStr">
        <is>
          <t>CELLxGENE:d68a8b48-abf0-4bd5-8834-155d34ec448a</t>
        </is>
      </c>
      <c r="J54" s="23" t="inlineStr">
        <is>
          <t>Bronchopulmonary Dysplasia</t>
        </is>
      </c>
      <c r="K54" s="23" t="inlineStr">
        <is>
          <t>支气管肺发育不良</t>
        </is>
      </c>
      <c r="L54" s="23" t="inlineStr">
        <is>
          <t>2025</t>
        </is>
      </c>
      <c r="M54" s="23" t="inlineStr">
        <is>
          <t>not reported in repository metadata</t>
        </is>
      </c>
      <c r="N54" s="23" t="inlineStr">
        <is>
          <t>middle lobe of right lung</t>
        </is>
      </c>
      <c r="O54" s="23" t="inlineStr">
        <is>
          <t>bronchopulmonary dysplasia|normal</t>
        </is>
      </c>
      <c r="P54" s="23" t="inlineStr">
        <is>
          <t>10x 3' v3</t>
        </is>
      </c>
      <c r="Q54" s="23" t="inlineStr">
        <is>
          <t>nucleus</t>
        </is>
      </c>
      <c r="R54" s="25" t="n">
        <v>271381</v>
      </c>
      <c r="S54" s="23" t="inlineStr">
        <is>
          <t>pulmonary neuroendocrine cell</t>
        </is>
      </c>
      <c r="T54" s="23" t="n"/>
      <c r="U54" s="23" t="inlineStr">
        <is>
          <t>general peripheral neurobiology</t>
        </is>
      </c>
      <c r="V54" s="23" t="inlineStr">
        <is>
          <t>https://datasets.cellxgene.cziscience.com/83bbeaaf-f5e0-42ac-be8a-dbc4e0c0d433.h5ad</t>
        </is>
      </c>
      <c r="W54" s="23" t="inlineStr">
        <is>
          <t>https://cellxgene.cziscience.com/collections/3a5dbf8a-9b3e-4309-b4c5-d8a024f83734</t>
        </is>
      </c>
      <c r="X54" s="23" t="n">
        <v>1</v>
      </c>
      <c r="Y54" t="inlineStr">
        <is>
          <t>B</t>
        </is>
      </c>
      <c r="Z54" t="inlineStr">
        <is>
          <t>B</t>
        </is>
      </c>
    </row>
    <row r="55">
      <c r="A55" s="23" t="inlineStr">
        <is>
          <t>人 Human</t>
        </is>
      </c>
      <c r="B55" s="23" t="inlineStr">
        <is>
          <t>呼吸系统</t>
        </is>
      </c>
      <c r="C55" s="23" t="inlineStr">
        <is>
          <t>nasopharynx</t>
        </is>
      </c>
      <c r="D55" s="23" t="inlineStr">
        <is>
          <t>Homo sapiens</t>
        </is>
      </c>
      <c r="E55" s="23" t="inlineStr">
        <is>
          <t>L4</t>
        </is>
      </c>
      <c r="F55" s="23" t="inlineStr">
        <is>
          <t>L4:Enteroendocrine cell</t>
        </is>
      </c>
      <c r="G55" s="23" t="inlineStr"/>
      <c r="H55" s="23" t="inlineStr">
        <is>
          <t>35d0b748-3eed-43a5-a1c4-1dade5ec5ca0</t>
        </is>
      </c>
      <c r="I55" s="23" t="inlineStr">
        <is>
          <t>CELLxGENE:13b61a7d-5605-4948-ba48-02c588960143</t>
        </is>
      </c>
      <c r="J55" s="23" t="inlineStr">
        <is>
          <t>Impaired local intrinsic immunity to SARS-CoV-2 infection in severe COVID-19</t>
        </is>
      </c>
      <c r="K55" s="23" t="inlineStr">
        <is>
          <t>重症COVID-19中SARS-CoV-2感染时局部固有免疫受损</t>
        </is>
      </c>
      <c r="L55" s="23" t="inlineStr">
        <is>
          <t>2022</t>
        </is>
      </c>
      <c r="M55" s="23" t="inlineStr">
        <is>
          <t>10.1016/j.cell.2021.07.023</t>
        </is>
      </c>
      <c r="N55" s="23" t="inlineStr">
        <is>
          <t>nasopharynx</t>
        </is>
      </c>
      <c r="O55" s="23" t="inlineStr">
        <is>
          <t>COVID-19|long COVID-19|normal|respiratory failure</t>
        </is>
      </c>
      <c r="P55" s="23" t="inlineStr">
        <is>
          <t>Seq-Well S3</t>
        </is>
      </c>
      <c r="Q55" s="23" t="inlineStr">
        <is>
          <t>cell</t>
        </is>
      </c>
      <c r="R55" s="25" t="n">
        <v>32588</v>
      </c>
      <c r="S55" s="23" t="inlineStr">
        <is>
          <t>enteroendocrine cell</t>
        </is>
      </c>
      <c r="T55" s="23" t="n"/>
      <c r="U55" s="23" t="inlineStr">
        <is>
          <t>神经-免疫通讯;炎症</t>
        </is>
      </c>
      <c r="V55" s="23" t="inlineStr">
        <is>
          <t>https://datasets.cellxgene.cziscience.com/6a6db93e-901f-4054-90e0-14af5207978a.h5ad</t>
        </is>
      </c>
      <c r="W55" s="23" t="inlineStr">
        <is>
          <t>https://cellxgene.cziscience.com/collections/35d0b748-3eed-43a5-a1c4-1dade5ec5ca0</t>
        </is>
      </c>
      <c r="X55" s="23" t="n">
        <v>1</v>
      </c>
      <c r="Y55" t="inlineStr">
        <is>
          <t>B</t>
        </is>
      </c>
      <c r="Z55" t="inlineStr">
        <is>
          <t>B</t>
        </is>
      </c>
    </row>
    <row r="56">
      <c r="A56" s="23" t="inlineStr">
        <is>
          <t>人 Human</t>
        </is>
      </c>
      <c r="B56" s="23" t="inlineStr">
        <is>
          <t>泌尿系统</t>
        </is>
      </c>
      <c r="C56" s="23" t="inlineStr">
        <is>
          <t>dome of urinary bladder</t>
        </is>
      </c>
      <c r="D56" s="23" t="inlineStr">
        <is>
          <t>Homo sapiens</t>
        </is>
      </c>
      <c r="E56" s="23" t="inlineStr">
        <is>
          <t>L2</t>
        </is>
      </c>
      <c r="F56" s="23" t="inlineStr">
        <is>
          <t>L2:Schwann cell</t>
        </is>
      </c>
      <c r="G56" s="23" t="inlineStr"/>
      <c r="H56" s="23" t="inlineStr">
        <is>
          <t>afd343f4-bb60-4632-9902-73a4a1ff1557</t>
        </is>
      </c>
      <c r="I56" s="23" t="inlineStr">
        <is>
          <t>CELLxGENE:fb5eeccf-3c2a-473c-b6e3-7a1dda18d42d</t>
        </is>
      </c>
      <c r="J56" s="23" t="inlineStr">
        <is>
          <t>A poly(A) isoform–aware single-cell and spatial atlas defines fibroblast niches in the human bladder</t>
        </is>
      </c>
      <c r="K56" s="23" t="inlineStr">
        <is>
          <t>一种多聚腺苷酸异构体感知的单细胞与空间图谱定义了人类膀胱中的成纤维细胞微环境</t>
        </is>
      </c>
      <c r="L56" s="23" t="inlineStr">
        <is>
          <t>2026</t>
        </is>
      </c>
      <c r="M56" s="23" t="inlineStr">
        <is>
          <t>10.64898/2025.12.18.695268</t>
        </is>
      </c>
      <c r="N56" s="23" t="inlineStr">
        <is>
          <t>dome of urinary bladder|neck of urinary bladder|ureteral orifice|ureterovesical junction</t>
        </is>
      </c>
      <c r="O56" s="23" t="inlineStr">
        <is>
          <t>normal</t>
        </is>
      </c>
      <c r="P56" s="23" t="inlineStr">
        <is>
          <t>10x 3' v3</t>
        </is>
      </c>
      <c r="Q56" s="23" t="inlineStr">
        <is>
          <t>nucleus</t>
        </is>
      </c>
      <c r="R56" s="25" t="n">
        <v>74694</v>
      </c>
      <c r="S56" s="23" t="inlineStr">
        <is>
          <t>Schwann cell</t>
        </is>
      </c>
      <c r="T56" s="23" t="n"/>
      <c r="U56" s="23" t="inlineStr">
        <is>
          <t>外周神经再生</t>
        </is>
      </c>
      <c r="V56" s="23" t="inlineStr">
        <is>
          <t>https://datasets.cellxgene.cziscience.com/1352a8d5-e392-4e1d-8acd-c47f3c93f22e.h5ad</t>
        </is>
      </c>
      <c r="W56" s="23" t="inlineStr">
        <is>
          <t>https://cellxgene.cziscience.com/collections/afd343f4-bb60-4632-9902-73a4a1ff1557</t>
        </is>
      </c>
      <c r="X56" s="23" t="n">
        <v>1</v>
      </c>
      <c r="Y56" t="inlineStr">
        <is>
          <t>B</t>
        </is>
      </c>
      <c r="Z56" t="inlineStr">
        <is>
          <t>B</t>
        </is>
      </c>
    </row>
    <row r="57">
      <c r="A57" s="23" t="inlineStr">
        <is>
          <t>人 Human</t>
        </is>
      </c>
      <c r="B57" s="23" t="inlineStr">
        <is>
          <t>泌尿系统</t>
        </is>
      </c>
      <c r="C57" s="23" t="inlineStr">
        <is>
          <t>kidney</t>
        </is>
      </c>
      <c r="D57" s="23" t="inlineStr">
        <is>
          <t>Homo sapiens</t>
        </is>
      </c>
      <c r="E57" s="23" t="inlineStr">
        <is>
          <t>待定(泛神经)</t>
        </is>
      </c>
      <c r="F57" s="23" t="inlineStr">
        <is>
          <t>—</t>
        </is>
      </c>
      <c r="G57" s="23" t="inlineStr">
        <is>
          <t>含泛neuron(器官图谱→疑中枢/噪声,待裁定)</t>
        </is>
      </c>
      <c r="H57" s="23" t="inlineStr">
        <is>
          <t>120e86b4-1195-48c5-845b-b98054105eec</t>
        </is>
      </c>
      <c r="I57" s="23" t="inlineStr">
        <is>
          <t>CELLxGENE:d7dcfd8f-2ee7-4385-b9ac-e074c23ed190</t>
        </is>
      </c>
      <c r="J57" s="23" t="inlineStr">
        <is>
          <t>Spatiotemporal immune zonation of the human kidney</t>
        </is>
      </c>
      <c r="K57" s="23" t="inlineStr">
        <is>
          <t>人肾脏的时空免疫分区</t>
        </is>
      </c>
      <c r="L57" s="23" t="inlineStr">
        <is>
          <t>2022</t>
        </is>
      </c>
      <c r="M57" s="23" t="inlineStr">
        <is>
          <t>10.1126/science.aat5031</t>
        </is>
      </c>
      <c r="N57" s="23" t="inlineStr">
        <is>
          <t>kidney</t>
        </is>
      </c>
      <c r="O57" s="23" t="inlineStr">
        <is>
          <t>normal</t>
        </is>
      </c>
      <c r="P57" s="23" t="inlineStr">
        <is>
          <t>10x 3' v2</t>
        </is>
      </c>
      <c r="Q57" s="23" t="inlineStr">
        <is>
          <t>cell</t>
        </is>
      </c>
      <c r="R57" s="25" t="n">
        <v>27197</v>
      </c>
      <c r="S57" s="23" t="inlineStr">
        <is>
          <t>neuron</t>
        </is>
      </c>
      <c r="T57" s="23" t="n"/>
      <c r="U57" s="23" t="inlineStr">
        <is>
          <t>神经-免疫通讯</t>
        </is>
      </c>
      <c r="V57" s="23" t="inlineStr">
        <is>
          <t>https://datasets.cellxgene.cziscience.com/4ae88372-a0dc-4f9e-b93a-18ade11be813.h5ad</t>
        </is>
      </c>
      <c r="W57" s="23" t="inlineStr">
        <is>
          <t>https://cellxgene.cziscience.com/collections/120e86b4-1195-48c5-845b-b98054105eec</t>
        </is>
      </c>
      <c r="X57" s="23" t="n">
        <v>2</v>
      </c>
      <c r="Y57" t="inlineStr">
        <is>
          <t>B</t>
        </is>
      </c>
      <c r="Z57" t="inlineStr">
        <is>
          <t>B</t>
        </is>
      </c>
    </row>
    <row r="58">
      <c r="A58" s="23" t="inlineStr">
        <is>
          <t>人 Human</t>
        </is>
      </c>
      <c r="B58" s="23" t="inlineStr">
        <is>
          <t>泌尿系统</t>
        </is>
      </c>
      <c r="C58" s="23" t="inlineStr">
        <is>
          <t>urinary bladder</t>
        </is>
      </c>
      <c r="D58" s="23" t="inlineStr">
        <is>
          <t>Homo sapiens</t>
        </is>
      </c>
      <c r="E58" s="23" t="inlineStr">
        <is>
          <t>L2</t>
        </is>
      </c>
      <c r="F58" s="23" t="inlineStr">
        <is>
          <t>L2:Schwann cell</t>
        </is>
      </c>
      <c r="G58" s="23" t="inlineStr"/>
      <c r="H58" s="23" t="inlineStr">
        <is>
          <t>0e54d4de-44f0-4d50-8649-b5c2bbe8f5d1</t>
        </is>
      </c>
      <c r="I58" s="23" t="inlineStr">
        <is>
          <t>CELLxGENE:2dd9d7a2-4bee-4c3f-a1f5-89bc3271c4f0</t>
        </is>
      </c>
      <c r="J58" s="23" t="inlineStr">
        <is>
          <t>Exploring the Utility of snRNA-seq in Profiling Human Bladder Tissue: A Comprehensive Comparison with scRNA-seq</t>
        </is>
      </c>
      <c r="K58" s="23" t="inlineStr">
        <is>
          <t>探索snRNA-seq在人类膀胱组织分析中的效用：与scRNA-seq的全面比较</t>
        </is>
      </c>
      <c r="L58" s="23" t="inlineStr">
        <is>
          <t>2024</t>
        </is>
      </c>
      <c r="M58" s="23" t="inlineStr">
        <is>
          <t>10.1016/j.isci.2024.111628</t>
        </is>
      </c>
      <c r="N58" s="23" t="inlineStr">
        <is>
          <t>urinary bladder</t>
        </is>
      </c>
      <c r="O58" s="23" t="inlineStr">
        <is>
          <t>normal</t>
        </is>
      </c>
      <c r="P58" s="23" t="inlineStr">
        <is>
          <t>10x 3' v3</t>
        </is>
      </c>
      <c r="Q58" s="23" t="inlineStr">
        <is>
          <t>cell|nucleus</t>
        </is>
      </c>
      <c r="R58" s="25" t="n">
        <v>12964</v>
      </c>
      <c r="S58" s="23" t="inlineStr">
        <is>
          <t>Schwann cell</t>
        </is>
      </c>
      <c r="T58" s="23" t="n"/>
      <c r="U58" s="23" t="inlineStr">
        <is>
          <t>外周神经再生</t>
        </is>
      </c>
      <c r="V58" s="23" t="inlineStr">
        <is>
          <t>https://datasets.cellxgene.cziscience.com/ac25d153-eb19-4e0e-ba4f-dd5be7295994.h5ad</t>
        </is>
      </c>
      <c r="W58" s="23" t="inlineStr">
        <is>
          <t>https://cellxgene.cziscience.com/collections/0e54d4de-44f0-4d50-8649-b5c2bbe8f5d1</t>
        </is>
      </c>
      <c r="X58" s="23" t="n">
        <v>1</v>
      </c>
      <c r="Y58" t="inlineStr">
        <is>
          <t>B</t>
        </is>
      </c>
      <c r="Z58" t="inlineStr">
        <is>
          <t>B</t>
        </is>
      </c>
    </row>
    <row r="59">
      <c r="A59" s="23" t="inlineStr">
        <is>
          <t>人 Human</t>
        </is>
      </c>
      <c r="B59" s="23" t="inlineStr">
        <is>
          <t>生殖/乳腺</t>
        </is>
      </c>
      <c r="C59" s="23" t="inlineStr">
        <is>
          <t>peripheral zone of prostate</t>
        </is>
      </c>
      <c r="D59" s="23" t="inlineStr">
        <is>
          <t>Homo sapiens</t>
        </is>
      </c>
      <c r="E59" s="23" t="inlineStr">
        <is>
          <t>L4</t>
        </is>
      </c>
      <c r="F59" s="23" t="inlineStr">
        <is>
          <t>L4:Neuroendocrine cell</t>
        </is>
      </c>
      <c r="G59" s="23" t="inlineStr"/>
      <c r="H59" s="23" t="inlineStr">
        <is>
          <t>fbc5881f-1ee3-4ffe-8095-35e15e1a08fc</t>
        </is>
      </c>
      <c r="I59" s="23" t="inlineStr">
        <is>
          <t>CELLxGENE:8b2e5453-faf7-46ea-9073-aea69b283cb7</t>
        </is>
      </c>
      <c r="J59" s="23" t="inlineStr">
        <is>
          <t>Urethral luminal epithelia are castration-insensitive cells of the proximal prostate</t>
        </is>
      </c>
      <c r="K59" s="23" t="inlineStr">
        <is>
          <t>尿道腔上皮是前列腺近端的不受去势影响的细胞</t>
        </is>
      </c>
      <c r="L59" s="23" t="inlineStr">
        <is>
          <t>2021</t>
        </is>
      </c>
      <c r="M59" s="23" t="inlineStr">
        <is>
          <t>10.1002/pros.24020</t>
        </is>
      </c>
      <c r="N59" s="23" t="inlineStr">
        <is>
          <t>peripheral zone of prostate|transition zone of prostate</t>
        </is>
      </c>
      <c r="O59" s="23" t="inlineStr">
        <is>
          <t>benign prostatic hyperplasia|normal</t>
        </is>
      </c>
      <c r="P59" s="23" t="inlineStr">
        <is>
          <t>10x 3' v2</t>
        </is>
      </c>
      <c r="Q59" s="23" t="inlineStr">
        <is>
          <t>cell</t>
        </is>
      </c>
      <c r="R59" s="25" t="n">
        <v>28847</v>
      </c>
      <c r="S59" s="23" t="inlineStr">
        <is>
          <t>neuroendocrine cell</t>
        </is>
      </c>
      <c r="T59" s="23" t="n"/>
      <c r="U59" s="23" t="inlineStr">
        <is>
          <t>general peripheral neurobiology</t>
        </is>
      </c>
      <c r="V59" s="23" t="inlineStr">
        <is>
          <t>https://datasets.cellxgene.cziscience.com/b11b78b1-af0f-45d2-986c-bfaaa96d1291.h5ad</t>
        </is>
      </c>
      <c r="W59" s="23" t="inlineStr">
        <is>
          <t>https://cellxgene.cziscience.com/collections/fbc5881f-1ee3-4ffe-8095-35e15e1a08fc</t>
        </is>
      </c>
      <c r="X59" s="23" t="n">
        <v>2</v>
      </c>
      <c r="Y59" t="inlineStr">
        <is>
          <t>?</t>
        </is>
      </c>
      <c r="Z59" t="inlineStr">
        <is>
          <t>B</t>
        </is>
      </c>
    </row>
    <row r="60">
      <c r="A60" s="23" t="inlineStr">
        <is>
          <t>人 Human</t>
        </is>
      </c>
      <c r="B60" s="23" t="inlineStr">
        <is>
          <t>生殖/乳腺</t>
        </is>
      </c>
      <c r="C60" s="23" t="inlineStr">
        <is>
          <t>peripheral zone of prostate</t>
        </is>
      </c>
      <c r="D60" s="23" t="inlineStr">
        <is>
          <t>Homo sapiens</t>
        </is>
      </c>
      <c r="E60" s="23" t="inlineStr">
        <is>
          <t>L4</t>
        </is>
      </c>
      <c r="F60" s="23" t="inlineStr">
        <is>
          <t>L4:Neuroendocrine cell</t>
        </is>
      </c>
      <c r="G60" s="23" t="inlineStr"/>
      <c r="H60" s="23" t="inlineStr">
        <is>
          <t>e2a4a67f-6a18-431a-ab9c-6e77dd31cc80</t>
        </is>
      </c>
      <c r="I60" s="23" t="inlineStr">
        <is>
          <t>CELLxGENE:c3fe3c1e-5bf8-4678-b74a-79899243ad41</t>
        </is>
      </c>
      <c r="J60" s="23" t="inlineStr">
        <is>
          <t>A Cellular Anatomy of the Normal Adult Human Prostate and Prostatic Urethra</t>
        </is>
      </c>
      <c r="K60" s="23" t="inlineStr">
        <is>
          <t>正常成人前列腺和前列腺尿道的细胞解剖学</t>
        </is>
      </c>
      <c r="L60" s="23" t="inlineStr">
        <is>
          <t>2021</t>
        </is>
      </c>
      <c r="M60" s="23" t="inlineStr">
        <is>
          <t>10.1016/j.celrep.2018.11.086</t>
        </is>
      </c>
      <c r="N60" s="23" t="inlineStr">
        <is>
          <t>peripheral zone of prostate|transition zone of prostate</t>
        </is>
      </c>
      <c r="O60" s="23" t="inlineStr">
        <is>
          <t>normal</t>
        </is>
      </c>
      <c r="P60" s="23" t="inlineStr">
        <is>
          <t>10x 3' v2</t>
        </is>
      </c>
      <c r="Q60" s="23" t="inlineStr">
        <is>
          <t>cell</t>
        </is>
      </c>
      <c r="R60" s="25" t="n">
        <v>28702</v>
      </c>
      <c r="S60" s="23" t="inlineStr">
        <is>
          <t>neuroendocrine cell</t>
        </is>
      </c>
      <c r="T60" s="23" t="n"/>
      <c r="U60" s="23" t="inlineStr">
        <is>
          <t>general peripheral neurobiology</t>
        </is>
      </c>
      <c r="V60" s="23" t="inlineStr">
        <is>
          <t>https://datasets.cellxgene.cziscience.com/13907b46-3c3c-4092-bb6d-7b3cdb0cf7a6.h5ad</t>
        </is>
      </c>
      <c r="W60" s="23" t="inlineStr">
        <is>
          <t>https://cellxgene.cziscience.com/collections/e2a4a67f-6a18-431a-ab9c-6e77dd31cc80</t>
        </is>
      </c>
      <c r="X60" s="23" t="n">
        <v>2</v>
      </c>
      <c r="Y60" t="inlineStr">
        <is>
          <t>?</t>
        </is>
      </c>
      <c r="Z60" t="inlineStr">
        <is>
          <t>B</t>
        </is>
      </c>
    </row>
    <row r="61">
      <c r="A61" s="23" t="inlineStr">
        <is>
          <t>人 Human</t>
        </is>
      </c>
      <c r="B61" s="23" t="inlineStr">
        <is>
          <t>生殖/乳腺</t>
        </is>
      </c>
      <c r="C61" s="23" t="inlineStr">
        <is>
          <t>prostate gland</t>
        </is>
      </c>
      <c r="D61" s="23" t="inlineStr">
        <is>
          <t>Homo sapiens</t>
        </is>
      </c>
      <c r="E61" s="23" t="inlineStr">
        <is>
          <t>L2</t>
        </is>
      </c>
      <c r="F61" s="23" t="inlineStr">
        <is>
          <t>L2:Myelinating Schwann cell</t>
        </is>
      </c>
      <c r="G61" s="23" t="inlineStr">
        <is>
          <t>含泛glial(疑中枢胶质,慎收)</t>
        </is>
      </c>
      <c r="H61" s="23" t="inlineStr">
        <is>
          <t>bdac7a53-fe34-4f04-8c46-f9bd5297c099</t>
        </is>
      </c>
      <c r="I61" s="23" t="inlineStr">
        <is>
          <t>CELLxGENE:881e0e6b-a185-45f1-9b56-81606e91e7ff</t>
        </is>
      </c>
      <c r="J61" s="23" t="inlineStr">
        <is>
          <t>Profiling of epithelial functional states and fibroblast phenotypes in hormone therapy-naïve localised prostate cancer</t>
        </is>
      </c>
      <c r="K61" s="23" t="inlineStr">
        <is>
          <t>激素治疗初治局限性前列腺癌中上皮功能状态与成纤维细胞表型的分析</t>
        </is>
      </c>
      <c r="L61" s="23" t="inlineStr">
        <is>
          <t>2025</t>
        </is>
      </c>
      <c r="M61" s="23" t="inlineStr">
        <is>
          <t>10.1101/2024.10.23.619925</t>
        </is>
      </c>
      <c r="N61" s="23" t="inlineStr">
        <is>
          <t>prostate gland</t>
        </is>
      </c>
      <c r="O61" s="23" t="inlineStr">
        <is>
          <t>prostatic acinar adenocarcinoma</t>
        </is>
      </c>
      <c r="P61" s="23" t="inlineStr">
        <is>
          <t>10x 3' v3</t>
        </is>
      </c>
      <c r="Q61" s="23" t="inlineStr">
        <is>
          <t>cell</t>
        </is>
      </c>
      <c r="R61" s="25" t="n">
        <v>68322</v>
      </c>
      <c r="S61" s="23" t="inlineStr">
        <is>
          <t>glial cell|myelinating Schwann cell|prostate neuroendocrine cell</t>
        </is>
      </c>
      <c r="T61" s="23" t="n"/>
      <c r="U61" s="23" t="inlineStr">
        <is>
          <t>神经-免疫通讯;外周神经再生</t>
        </is>
      </c>
      <c r="V61" s="23" t="inlineStr">
        <is>
          <t>https://datasets.cellxgene.cziscience.com/68b23fda-7191-46a5-8870-819feca3e66e.h5ad</t>
        </is>
      </c>
      <c r="W61" s="23" t="inlineStr">
        <is>
          <t>https://cellxgene.cziscience.com/collections/bdac7a53-fe34-4f04-8c46-f9bd5297c099</t>
        </is>
      </c>
      <c r="X61" s="23" t="n">
        <v>2</v>
      </c>
      <c r="Y61" t="inlineStr">
        <is>
          <t>?</t>
        </is>
      </c>
      <c r="Z61" t="inlineStr">
        <is>
          <t>B</t>
        </is>
      </c>
    </row>
    <row r="62">
      <c r="A62" s="23" t="inlineStr">
        <is>
          <t>人 Human</t>
        </is>
      </c>
      <c r="B62" s="23" t="inlineStr">
        <is>
          <t>内分泌/胰岛</t>
        </is>
      </c>
      <c r="C62" s="23" t="inlineStr">
        <is>
          <t>islet of Langerhans</t>
        </is>
      </c>
      <c r="D62" s="23" t="inlineStr">
        <is>
          <t>Homo sapiens</t>
        </is>
      </c>
      <c r="E62" s="23" t="inlineStr">
        <is>
          <t>L2</t>
        </is>
      </c>
      <c r="F62" s="23" t="inlineStr">
        <is>
          <t>L2:Schwann cell</t>
        </is>
      </c>
      <c r="G62" s="23" t="inlineStr"/>
      <c r="H62" s="23" t="inlineStr">
        <is>
          <t>58e85c2f-d52e-4c19-8393-b854b84d516e</t>
        </is>
      </c>
      <c r="I62" s="23" t="inlineStr">
        <is>
          <t>CELLxGENE:e51bae9a-c747-4b64-904a-4da7cda218ab</t>
        </is>
      </c>
      <c r="J62" s="23" t="inlineStr">
        <is>
          <t>A pancreatic islet scRNA-seq atlas from 48 non-diabetic, prediabetic and type 2 diabetic individuals of matched demographic and ethnic backgrounds</t>
        </is>
      </c>
      <c r="K62" s="23" t="inlineStr">
        <is>
          <t>来自48名非糖尿病、前驱糖尿病和2型糖尿病个体（具有匹配的人口统计学和种族背景）的胰岛scRNA-seq图谱</t>
        </is>
      </c>
      <c r="L62" s="23" t="inlineStr">
        <is>
          <t>2025</t>
        </is>
      </c>
      <c r="M62" s="23" t="inlineStr">
        <is>
          <t>10.1101/2025.01.17.633590</t>
        </is>
      </c>
      <c r="N62" s="23" t="inlineStr">
        <is>
          <t>islet of Langerhans</t>
        </is>
      </c>
      <c r="O62" s="23" t="inlineStr">
        <is>
          <t>normal|prediabetes syndrome|type 2 diabetes mellitus</t>
        </is>
      </c>
      <c r="P62" s="23" t="inlineStr">
        <is>
          <t>10x 3' v2|10x 3' v3</t>
        </is>
      </c>
      <c r="Q62" s="23" t="inlineStr">
        <is>
          <t>cell</t>
        </is>
      </c>
      <c r="R62" s="25" t="n">
        <v>245878</v>
      </c>
      <c r="S62" s="23" t="inlineStr">
        <is>
          <t>Schwann cell</t>
        </is>
      </c>
      <c r="T62" s="23" t="n"/>
      <c r="U62" s="23" t="inlineStr">
        <is>
          <t>外周神经再生</t>
        </is>
      </c>
      <c r="V62" s="23" t="inlineStr">
        <is>
          <t>https://datasets.cellxgene.cziscience.com/3a4e48e2-9e80-4ea8-ac63-87fdf70f1a97.h5ad</t>
        </is>
      </c>
      <c r="W62" s="23" t="inlineStr">
        <is>
          <t>https://cellxgene.cziscience.com/collections/58e85c2f-d52e-4c19-8393-b854b84d516e</t>
        </is>
      </c>
      <c r="X62" s="23" t="n">
        <v>1</v>
      </c>
      <c r="Y62" t="inlineStr">
        <is>
          <t>B</t>
        </is>
      </c>
      <c r="Z62" t="inlineStr">
        <is>
          <t>B</t>
        </is>
      </c>
    </row>
    <row r="63">
      <c r="A63" s="23" t="inlineStr">
        <is>
          <t>人 Human</t>
        </is>
      </c>
      <c r="B63" s="23" t="inlineStr">
        <is>
          <t>内分泌/胰岛</t>
        </is>
      </c>
      <c r="C63" s="23" t="inlineStr">
        <is>
          <t>islet of Langerhans</t>
        </is>
      </c>
      <c r="D63" s="23" t="inlineStr">
        <is>
          <t>Homo sapiens</t>
        </is>
      </c>
      <c r="E63" s="23" t="inlineStr">
        <is>
          <t>L4</t>
        </is>
      </c>
      <c r="F63" s="23" t="inlineStr">
        <is>
          <t>L4:Type D enteroendocrine cell</t>
        </is>
      </c>
      <c r="G63" s="23" t="inlineStr"/>
      <c r="H63" s="23" t="inlineStr">
        <is>
          <t>a238e9fa-2bdf-41df-8522-69046f99baff</t>
        </is>
      </c>
      <c r="I63" s="23" t="inlineStr">
        <is>
          <t>CELLxGENE:66d15835-5dc8-4e96-b0eb-f48971cb65e8</t>
        </is>
      </c>
      <c r="J63" s="23" t="inlineStr">
        <is>
          <t>Single-Cell Analysis of Human Pancreas Reveals Transcriptional Signatures of Aging and Somatic Mutation Patterns</t>
        </is>
      </c>
      <c r="K63" s="23" t="inlineStr">
        <is>
          <t>人类胰腺单细胞分析揭示衰老的转录特征与体细胞突变模式</t>
        </is>
      </c>
      <c r="L63" s="23" t="inlineStr">
        <is>
          <t>2021</t>
        </is>
      </c>
      <c r="M63" s="23" t="inlineStr">
        <is>
          <t>10.1016/j.cell.2017.09.004</t>
        </is>
      </c>
      <c r="N63" s="23" t="inlineStr">
        <is>
          <t>islet of Langerhans</t>
        </is>
      </c>
      <c r="O63" s="23" t="inlineStr">
        <is>
          <t>normal</t>
        </is>
      </c>
      <c r="P63" s="23" t="inlineStr">
        <is>
          <t>Smart-seq2</t>
        </is>
      </c>
      <c r="Q63" s="23" t="inlineStr">
        <is>
          <t>cell</t>
        </is>
      </c>
      <c r="R63" s="25" t="n">
        <v>2544</v>
      </c>
      <c r="S63" s="23" t="inlineStr">
        <is>
          <t>type A enteroendocrine cell|type D enteroendocrine cell</t>
        </is>
      </c>
      <c r="T63" s="23" t="n"/>
      <c r="U63" s="23" t="inlineStr">
        <is>
          <t>general peripheral neurobiology</t>
        </is>
      </c>
      <c r="V63" s="23" t="inlineStr">
        <is>
          <t>https://datasets.cellxgene.cziscience.com/08d4b9cf-3425-4413-a30f-8f97fe87b1e1.h5ad</t>
        </is>
      </c>
      <c r="W63" s="23" t="inlineStr">
        <is>
          <t>https://cellxgene.cziscience.com/collections/a238e9fa-2bdf-41df-8522-69046f99baff</t>
        </is>
      </c>
      <c r="X63" s="23" t="n">
        <v>1</v>
      </c>
      <c r="Y63" t="inlineStr">
        <is>
          <t>B</t>
        </is>
      </c>
      <c r="Z63" t="inlineStr">
        <is>
          <t>B</t>
        </is>
      </c>
    </row>
    <row r="64">
      <c r="A64" s="40" t="inlineStr">
        <is>
          <t>人 Human</t>
        </is>
      </c>
      <c r="B64" s="40" t="inlineStr">
        <is>
          <t>肌肉骨骼</t>
        </is>
      </c>
      <c r="C64" s="40" t="inlineStr">
        <is>
          <t>intercostal muscle</t>
        </is>
      </c>
      <c r="D64" s="40" t="inlineStr">
        <is>
          <t>Homo sapiens</t>
        </is>
      </c>
      <c r="E64" s="40" t="inlineStr">
        <is>
          <t>L2;L3</t>
        </is>
      </c>
      <c r="F64" s="40" t="inlineStr">
        <is>
          <t>L2:Myelinating Schwann cell/Non-myelinating Schwann cell | L3:Perineurial cell</t>
        </is>
      </c>
      <c r="G64" s="40" t="inlineStr"/>
      <c r="H64" s="40" t="inlineStr">
        <is>
          <t>2d40e6a7-f2fd-49ba-9db9-6b97e4c6dad5</t>
        </is>
      </c>
      <c r="I64" s="40" t="inlineStr">
        <is>
          <t>CELLxGENE:b3c9904b-2ffd-4038-8620-ee1c5b072e9c</t>
        </is>
      </c>
      <c r="J64" s="40" t="inlineStr">
        <is>
          <t>Human skeletal muscle ageing atlas</t>
        </is>
      </c>
      <c r="K64" s="40" t="inlineStr">
        <is>
          <t>人类骨骼肌衰老图谱</t>
        </is>
      </c>
      <c r="L64" s="40" t="inlineStr">
        <is>
          <t>2024</t>
        </is>
      </c>
      <c r="M64" s="40" t="inlineStr">
        <is>
          <t>10.1038/s43587-024-00613-3</t>
        </is>
      </c>
      <c r="N64" s="40" t="inlineStr">
        <is>
          <t>intercostal muscle</t>
        </is>
      </c>
      <c r="O64" s="40" t="inlineStr">
        <is>
          <t>normal</t>
        </is>
      </c>
      <c r="P64" s="40" t="inlineStr">
        <is>
          <t>10x 3' v2|10x 3' v3</t>
        </is>
      </c>
      <c r="Q64" s="40" t="inlineStr">
        <is>
          <t>cell|nucleus</t>
        </is>
      </c>
      <c r="R64" s="41" t="n">
        <v>183161</v>
      </c>
      <c r="S64" s="40" t="inlineStr">
        <is>
          <t>myelinating Schwann cell|non-myelinating Schwann cell|perineurial cell</t>
        </is>
      </c>
      <c r="T64" s="40" t="n"/>
      <c r="U64" s="40" t="inlineStr">
        <is>
          <t>外周神经再生</t>
        </is>
      </c>
      <c r="V64" s="40" t="inlineStr">
        <is>
          <t>https://datasets.cellxgene.cziscience.com/5fd93c55-8047-48fb-905c-6ef2f7767483.h5ad</t>
        </is>
      </c>
      <c r="W64" s="40" t="inlineStr">
        <is>
          <t>https://cellxgene.cziscience.com/collections/2d40e6a7-f2fd-49ba-9db9-6b97e4c6dad5</t>
        </is>
      </c>
      <c r="X64" s="40" t="n">
        <v>3</v>
      </c>
      <c r="Y64" s="42" t="inlineStr">
        <is>
          <t>?</t>
        </is>
      </c>
      <c r="Z64" s="42" t="inlineStr">
        <is>
          <t>A</t>
        </is>
      </c>
    </row>
    <row r="65">
      <c r="A65" s="40" t="inlineStr">
        <is>
          <t>人 Human</t>
        </is>
      </c>
      <c r="B65" s="40" t="inlineStr">
        <is>
          <t>口腔牙齿</t>
        </is>
      </c>
      <c r="C65" s="40" t="inlineStr">
        <is>
          <t>dental pulp</t>
        </is>
      </c>
      <c r="D65" s="40" t="inlineStr">
        <is>
          <t>Homo sapiens</t>
        </is>
      </c>
      <c r="E65" s="40" t="inlineStr">
        <is>
          <t>L2</t>
        </is>
      </c>
      <c r="F65" s="40" t="inlineStr">
        <is>
          <t>L2:Schwann cell</t>
        </is>
      </c>
      <c r="G65" s="40" t="inlineStr">
        <is>
          <t>含泛glial(疑中枢胶质,慎收)</t>
        </is>
      </c>
      <c r="H65" s="40" t="inlineStr">
        <is>
          <t>bd3f7d45-43a0-4944-8327-62d6c89e2ae1</t>
        </is>
      </c>
      <c r="I65" s="40" t="inlineStr">
        <is>
          <t>CELLxGENE:bdd109f1-ca27-45dc-bb9f-473008449428</t>
        </is>
      </c>
      <c r="J65" s="40" t="inlineStr">
        <is>
          <t>Single-Cell Transcriptomic Profiling of Human Dental Pulp in Sound and Carious Teeth: A Pilot Study</t>
        </is>
      </c>
      <c r="K65" s="40" t="inlineStr">
        <is>
          <t>单细胞转录组学分析健康与龋齿人牙髓：一项初步研究</t>
        </is>
      </c>
      <c r="L65" s="40" t="inlineStr">
        <is>
          <t>2024</t>
        </is>
      </c>
      <c r="M65" s="40" t="inlineStr">
        <is>
          <t>10.3389/fdmed.2021.806294</t>
        </is>
      </c>
      <c r="N65" s="40" t="inlineStr">
        <is>
          <t>dental pulp</t>
        </is>
      </c>
      <c r="O65" s="40" t="inlineStr">
        <is>
          <t>enamel caries|normal|pulpitis</t>
        </is>
      </c>
      <c r="P65" s="40" t="inlineStr">
        <is>
          <t>10x 3' v2</t>
        </is>
      </c>
      <c r="Q65" s="40" t="inlineStr">
        <is>
          <t>cell</t>
        </is>
      </c>
      <c r="R65" s="41" t="n">
        <v>6560</v>
      </c>
      <c r="S65" s="40" t="inlineStr">
        <is>
          <t>Schwann cell|glial cell</t>
        </is>
      </c>
      <c r="T65" s="40" t="n"/>
      <c r="U65" s="40" t="inlineStr">
        <is>
          <t>外周神经再生</t>
        </is>
      </c>
      <c r="V65" s="40" t="inlineStr">
        <is>
          <t>https://datasets.cellxgene.cziscience.com/c184cf5a-2c44-4908-96d9-165dd5e07f07.h5ad</t>
        </is>
      </c>
      <c r="W65" s="40" t="inlineStr">
        <is>
          <t>https://cellxgene.cziscience.com/collections/bd3f7d45-43a0-4944-8327-62d6c89e2ae1</t>
        </is>
      </c>
      <c r="X65" s="40" t="n">
        <v>1</v>
      </c>
      <c r="Y65" s="42" t="inlineStr">
        <is>
          <t>?</t>
        </is>
      </c>
      <c r="Z65" s="42" t="inlineStr">
        <is>
          <t>A</t>
        </is>
      </c>
    </row>
    <row r="66">
      <c r="A66" s="23" t="inlineStr">
        <is>
          <t>人 Human</t>
        </is>
      </c>
      <c r="B66" s="23" t="inlineStr">
        <is>
          <t>肝胆</t>
        </is>
      </c>
      <c r="C66" s="23" t="inlineStr">
        <is>
          <t>liver</t>
        </is>
      </c>
      <c r="D66" s="23" t="inlineStr">
        <is>
          <t>Homo sapiens</t>
        </is>
      </c>
      <c r="E66" s="23" t="inlineStr">
        <is>
          <t>待定(泛神经)</t>
        </is>
      </c>
      <c r="F66" s="23" t="inlineStr">
        <is>
          <t>—</t>
        </is>
      </c>
      <c r="G66" s="23" t="inlineStr">
        <is>
          <t>含泛neuron(器官图谱→疑中枢/噪声,待裁定)</t>
        </is>
      </c>
      <c r="H66" s="23" t="inlineStr">
        <is>
          <t>a96133de-e951-4e2d-ace6-59db8b3bfb1d</t>
        </is>
      </c>
      <c r="I66" s="23" t="inlineStr">
        <is>
          <t>CELLxGENE:71513028-e4a0-4c62-a435-16598791690a</t>
        </is>
      </c>
      <c r="J66" s="23" t="inlineStr">
        <is>
          <t>HTAN/HTAPP Broad - Spatio-molecular dissection of the breast cancer metastatic microenvironment</t>
        </is>
      </c>
      <c r="K66" s="23" t="inlineStr">
        <is>
          <t>HTAN/HTAPP Broad - 乳腺癌转移微环境的时空分子解析</t>
        </is>
      </c>
      <c r="L66" s="23" t="inlineStr">
        <is>
          <t>2024</t>
        </is>
      </c>
      <c r="M66" s="23" t="inlineStr">
        <is>
          <t>10.1038/s41591-024-03215-z</t>
        </is>
      </c>
      <c r="N66" s="23" t="inlineStr">
        <is>
          <t>liver</t>
        </is>
      </c>
      <c r="O66" s="23" t="inlineStr">
        <is>
          <t>breast cancer</t>
        </is>
      </c>
      <c r="P66" s="23" t="inlineStr">
        <is>
          <t>10x 3' v3</t>
        </is>
      </c>
      <c r="Q66" s="23" t="inlineStr">
        <is>
          <t>nucleus</t>
        </is>
      </c>
      <c r="R66" s="25" t="n">
        <v>12258</v>
      </c>
      <c r="S66" s="23" t="inlineStr">
        <is>
          <t>neuron</t>
        </is>
      </c>
      <c r="T66" s="23" t="n"/>
      <c r="U66" s="23" t="inlineStr">
        <is>
          <t>神经-免疫通讯</t>
        </is>
      </c>
      <c r="V66" s="23" t="inlineStr">
        <is>
          <t>https://datasets.cellxgene.cziscience.com/79a15872-c7b9-402b-8e0c-a9dd669c366b.h5ad</t>
        </is>
      </c>
      <c r="W66" s="23" t="inlineStr">
        <is>
          <t>https://cellxgene.cziscience.com/collections/a96133de-e951-4e2d-ace6-59db8b3bfb1d</t>
        </is>
      </c>
      <c r="X66" s="23" t="n">
        <v>1</v>
      </c>
      <c r="Y66" t="inlineStr">
        <is>
          <t>B</t>
        </is>
      </c>
      <c r="Z66" t="inlineStr">
        <is>
          <t>B</t>
        </is>
      </c>
    </row>
    <row r="67">
      <c r="A67" s="23" t="inlineStr">
        <is>
          <t>人 Human</t>
        </is>
      </c>
      <c r="B67" s="23" t="inlineStr">
        <is>
          <t>肝胆</t>
        </is>
      </c>
      <c r="C67" s="23" t="inlineStr">
        <is>
          <t>liver</t>
        </is>
      </c>
      <c r="D67" s="23" t="inlineStr">
        <is>
          <t>Homo sapiens</t>
        </is>
      </c>
      <c r="E67" s="23" t="inlineStr">
        <is>
          <t>待定(泛神经)</t>
        </is>
      </c>
      <c r="F67" s="23" t="inlineStr">
        <is>
          <t>—</t>
        </is>
      </c>
      <c r="G67" s="23" t="inlineStr">
        <is>
          <t>含泛neuron(器官图谱→疑中枢/噪声,待裁定)</t>
        </is>
      </c>
      <c r="H67" s="23" t="inlineStr">
        <is>
          <t>a261413d-835b-4f1e-ab0c-dada55ea6afd</t>
        </is>
      </c>
      <c r="I67" s="23" t="inlineStr">
        <is>
          <t>CELLxGENE:ec6ceff8-c8bc-488d-b6bf-30df2fa92169</t>
        </is>
      </c>
      <c r="J67" s="23" t="inlineStr">
        <is>
          <t>Identification of distinct tumor cell populations and key genetic mechanisms through single cell sequencing in hepatoblastoma</t>
        </is>
      </c>
      <c r="K67" s="23" t="inlineStr">
        <is>
          <t>通过单细胞测序鉴定肝母细胞瘤中不同的肿瘤细胞群体及关键遗传机制</t>
        </is>
      </c>
      <c r="L67" s="23" t="inlineStr">
        <is>
          <t>2022</t>
        </is>
      </c>
      <c r="M67" s="23" t="inlineStr">
        <is>
          <t>10.1038/s42003-021-02562-8</t>
        </is>
      </c>
      <c r="N67" s="23" t="inlineStr">
        <is>
          <t>liver</t>
        </is>
      </c>
      <c r="O67" s="23" t="inlineStr">
        <is>
          <t>blastoma|normal</t>
        </is>
      </c>
      <c r="P67" s="23" t="inlineStr">
        <is>
          <t>10x 3' v3</t>
        </is>
      </c>
      <c r="Q67" s="23" t="inlineStr">
        <is>
          <t>nucleus</t>
        </is>
      </c>
      <c r="R67" s="25" t="n">
        <v>67110</v>
      </c>
      <c r="S67" s="23" t="inlineStr">
        <is>
          <t>neuron</t>
        </is>
      </c>
      <c r="T67" s="23" t="n"/>
      <c r="U67" s="23" t="inlineStr">
        <is>
          <t>神经-免疫通讯</t>
        </is>
      </c>
      <c r="V67" s="23" t="inlineStr">
        <is>
          <t>https://datasets.cellxgene.cziscience.com/d66d154b-5ff6-4b1a-b25e-376cf4784bb7.h5ad</t>
        </is>
      </c>
      <c r="W67" s="23" t="inlineStr">
        <is>
          <t>https://cellxgene.cziscience.com/collections/a261413d-835b-4f1e-ab0c-dada55ea6afd</t>
        </is>
      </c>
      <c r="X67" s="23" t="n">
        <v>1</v>
      </c>
      <c r="Y67" t="inlineStr">
        <is>
          <t>B</t>
        </is>
      </c>
      <c r="Z67" t="inlineStr">
        <is>
          <t>B</t>
        </is>
      </c>
    </row>
    <row r="68">
      <c r="A68" s="23" t="inlineStr">
        <is>
          <t>人 Human</t>
        </is>
      </c>
      <c r="B68" s="23" t="inlineStr">
        <is>
          <t>淋巴/免疫/血液</t>
        </is>
      </c>
      <c r="C68" s="23" t="inlineStr">
        <is>
          <t>abdomen</t>
        </is>
      </c>
      <c r="D68" s="23" t="inlineStr">
        <is>
          <t>Homo sapiens</t>
        </is>
      </c>
      <c r="E68" s="23" t="inlineStr">
        <is>
          <t>L2</t>
        </is>
      </c>
      <c r="F68" s="23" t="inlineStr">
        <is>
          <t>L2:Schwann cell</t>
        </is>
      </c>
      <c r="G68" s="23" t="inlineStr"/>
      <c r="H68" s="23" t="inlineStr">
        <is>
          <t>cee845e3-ec04-4781-9e2a-28734bb4f7ba</t>
        </is>
      </c>
      <c r="I68" s="23" t="inlineStr">
        <is>
          <t>CELLxGENE:afae4675-434d-4e89-b5ce-2854c9dc38a3</t>
        </is>
      </c>
      <c r="J68" s="23" t="inlineStr">
        <is>
          <t>HTAN CHOP - Longitudinal single-cell multiomic atlas of high-risk neuroblastoma reveals chemotherapy-induced tumor microenvironment rewiring</t>
        </is>
      </c>
      <c r="K68" s="23" t="inlineStr">
        <is>
          <t>HTAN CHOP - 高风险神经母细胞瘤的纵向单细胞多组学图谱揭示化疗诱导的肿瘤微环境重塑</t>
        </is>
      </c>
      <c r="L68" s="23" t="inlineStr">
        <is>
          <t>2025</t>
        </is>
      </c>
      <c r="M68" s="23" t="inlineStr">
        <is>
          <t>10.1038/s41588-025-02158-6</t>
        </is>
      </c>
      <c r="N68" s="23" t="inlineStr">
        <is>
          <t>abdomen|adrenal gland|cervical lymph node|chest|liver|lymph node|neck</t>
        </is>
      </c>
      <c r="O68" s="23" t="inlineStr">
        <is>
          <t>neuroblastoma</t>
        </is>
      </c>
      <c r="P68" s="23" t="inlineStr">
        <is>
          <t>10x 3' v3</t>
        </is>
      </c>
      <c r="Q68" s="23" t="inlineStr">
        <is>
          <t>nucleus</t>
        </is>
      </c>
      <c r="R68" s="25" t="n">
        <v>372619</v>
      </c>
      <c r="S68" s="23" t="inlineStr">
        <is>
          <t>Schwann cell</t>
        </is>
      </c>
      <c r="T68" s="23" t="n"/>
      <c r="U68" s="23" t="inlineStr">
        <is>
          <t>神经-免疫通讯;外周神经再生</t>
        </is>
      </c>
      <c r="V68" s="23" t="inlineStr">
        <is>
          <t>https://datasets.cellxgene.cziscience.com/c477b5ea-3848-49f2-96a3-bbbcc95a3e14.h5ad</t>
        </is>
      </c>
      <c r="W68" s="23" t="inlineStr">
        <is>
          <t>https://cellxgene.cziscience.com/collections/cee845e3-ec04-4781-9e2a-28734bb4f7ba</t>
        </is>
      </c>
      <c r="X68" s="23" t="n">
        <v>2</v>
      </c>
      <c r="Y68" t="inlineStr">
        <is>
          <t>B</t>
        </is>
      </c>
      <c r="Z68" t="inlineStr">
        <is>
          <t>B</t>
        </is>
      </c>
    </row>
    <row r="69">
      <c r="A69" s="23" t="inlineStr">
        <is>
          <t>人 Human</t>
        </is>
      </c>
      <c r="B69" s="23" t="inlineStr">
        <is>
          <t>淋巴/免疫/血液</t>
        </is>
      </c>
      <c r="C69" s="23" t="inlineStr">
        <is>
          <t>bone marrow</t>
        </is>
      </c>
      <c r="D69" s="23" t="inlineStr">
        <is>
          <t>Homo sapiens</t>
        </is>
      </c>
      <c r="E69" s="23" t="inlineStr">
        <is>
          <t>L2</t>
        </is>
      </c>
      <c r="F69" s="23" t="inlineStr">
        <is>
          <t>L2:Schwann cell</t>
        </is>
      </c>
      <c r="G69" s="23" t="inlineStr"/>
      <c r="H69" s="23" t="inlineStr">
        <is>
          <t>793fdaec-5067-428a-a9db-ecefe135c945</t>
        </is>
      </c>
      <c r="I69" s="23" t="inlineStr">
        <is>
          <t>CELLxGENE:1a2e3350-28a8-4f49-b33c-5b67ceb001f6</t>
        </is>
      </c>
      <c r="J69" s="23" t="inlineStr">
        <is>
          <t>Blood and immune development in human fetal bone marrow and Down syndrome</t>
        </is>
      </c>
      <c r="K69" s="23" t="inlineStr">
        <is>
          <t>人类胎儿骨髓及唐氏综合征中的血液与免疫发育</t>
        </is>
      </c>
      <c r="L69" s="23" t="inlineStr">
        <is>
          <t>2022</t>
        </is>
      </c>
      <c r="M69" s="23" t="inlineStr">
        <is>
          <t>10.1038/s41586-021-03929-x</t>
        </is>
      </c>
      <c r="N69" s="23" t="inlineStr">
        <is>
          <t>bone marrow</t>
        </is>
      </c>
      <c r="O69" s="23" t="inlineStr">
        <is>
          <t>normal</t>
        </is>
      </c>
      <c r="P69" s="23" t="inlineStr">
        <is>
          <t>10x 3' v2|10x 5' v1</t>
        </is>
      </c>
      <c r="Q69" s="23" t="inlineStr">
        <is>
          <t>cell</t>
        </is>
      </c>
      <c r="R69" s="25" t="n">
        <v>103228</v>
      </c>
      <c r="S69" s="23" t="inlineStr">
        <is>
          <t>Schwann cell</t>
        </is>
      </c>
      <c r="T69" s="23" t="n"/>
      <c r="U69" s="23" t="inlineStr">
        <is>
          <t>神经-免疫通讯;外周神经再生</t>
        </is>
      </c>
      <c r="V69" s="23" t="inlineStr">
        <is>
          <t>https://datasets.cellxgene.cziscience.com/47362a52-4a8c-48ae-8968-00d4e57d1dfc.h5ad</t>
        </is>
      </c>
      <c r="W69" s="23" t="inlineStr">
        <is>
          <t>https://cellxgene.cziscience.com/collections/793fdaec-5067-428a-a9db-ecefe135c945</t>
        </is>
      </c>
      <c r="X69" s="23" t="n">
        <v>1</v>
      </c>
      <c r="Y69" t="inlineStr">
        <is>
          <t>B</t>
        </is>
      </c>
      <c r="Z69" t="inlineStr">
        <is>
          <t>B</t>
        </is>
      </c>
    </row>
    <row r="70">
      <c r="A70" s="23" t="inlineStr">
        <is>
          <t>人 Human</t>
        </is>
      </c>
      <c r="B70" s="23" t="inlineStr">
        <is>
          <t>多器官图谱/全身</t>
        </is>
      </c>
      <c r="C70" s="23" t="inlineStr">
        <is>
          <t>alveolar sac</t>
        </is>
      </c>
      <c r="D70" s="23" t="inlineStr">
        <is>
          <t>Homo sapiens</t>
        </is>
      </c>
      <c r="E70" s="23" t="inlineStr">
        <is>
          <t>L2;L4</t>
        </is>
      </c>
      <c r="F70" s="23" t="inlineStr">
        <is>
          <t>L2:Schwann cell | L4:Enteroendocrine cell/Neuroendocrine cell</t>
        </is>
      </c>
      <c r="G70" s="23" t="inlineStr">
        <is>
          <t>含泛neuron(肠,待裁定)</t>
        </is>
      </c>
      <c r="H70" s="23" t="inlineStr">
        <is>
          <t>6282a908-f162-44a2-99a3-8a942e4271b2</t>
        </is>
      </c>
      <c r="I70" s="23" t="inlineStr">
        <is>
          <t>CELLxGENE:6725ee8e-ef5b-4e68-8901-61bd14a1fe73</t>
        </is>
      </c>
      <c r="J70" s="23" t="inlineStr">
        <is>
          <t>Integrated human endoderm-derived organoids cell atlas (HEOCA)</t>
        </is>
      </c>
      <c r="K70" s="23" t="inlineStr">
        <is>
          <t>整合人内胚层来源类器官细胞图谱（HEOCA）</t>
        </is>
      </c>
      <c r="L70" s="23" t="inlineStr">
        <is>
          <t>2024</t>
        </is>
      </c>
      <c r="M70" s="23" t="inlineStr">
        <is>
          <t>10.1038/s41588-025-02182-6</t>
        </is>
      </c>
      <c r="N70" s="23" t="inlineStr">
        <is>
          <t>alveolar sac|biliary system|bronchus|colon|common bile duct|corpus|duodenum|gallbladder|ileum|intestine|intrahepatic bile duct|liver|lung|lung epithelium|nasopharynx|pancreas|prostate gland|pyloric antrum|salivary gland epithelium|stomach|thyroid gland</t>
        </is>
      </c>
      <c r="O70" s="23" t="inlineStr">
        <is>
          <t>normal</t>
        </is>
      </c>
      <c r="P70" s="23" t="inlineStr">
        <is>
          <t>10x 3' v2|10x 3' v3|10x 5' v1|10x multiome|CEL-seq2|SORT-seq|Seq-Well S3|Smart-seq</t>
        </is>
      </c>
      <c r="Q70" s="23" t="inlineStr">
        <is>
          <t>cell|nucleus</t>
        </is>
      </c>
      <c r="R70" s="25" t="n">
        <v>806646</v>
      </c>
      <c r="S70" s="23" t="inlineStr">
        <is>
          <t>Schwann cell|enteroendocrine cell|neuroendocrine cell|neuron</t>
        </is>
      </c>
      <c r="T70" s="23" t="n"/>
      <c r="U70" s="23" t="inlineStr">
        <is>
          <t>外周神经再生</t>
        </is>
      </c>
      <c r="V70" s="23" t="inlineStr">
        <is>
          <t>https://datasets.cellxgene.cziscience.com/40f7635e-7fcd-4ede-82e9-0d32753a6b82.h5ad</t>
        </is>
      </c>
      <c r="W70" s="23" t="inlineStr">
        <is>
          <t>https://cellxgene.cziscience.com/collections/6282a908-f162-44a2-99a3-8a942e4271b2</t>
        </is>
      </c>
      <c r="X70" s="23" t="n">
        <v>3</v>
      </c>
      <c r="Y70" t="inlineStr">
        <is>
          <t>?</t>
        </is>
      </c>
      <c r="Z70" t="inlineStr">
        <is>
          <t>B</t>
        </is>
      </c>
    </row>
    <row r="71">
      <c r="A71" s="23" t="inlineStr">
        <is>
          <t>人 Human</t>
        </is>
      </c>
      <c r="B71" s="23" t="inlineStr">
        <is>
          <t>多器官图谱/全身</t>
        </is>
      </c>
      <c r="C71" s="23" t="inlineStr">
        <is>
          <t>anterior wall of left ventricle</t>
        </is>
      </c>
      <c r="D71" s="23" t="inlineStr">
        <is>
          <t>Homo sapiens</t>
        </is>
      </c>
      <c r="E71" s="23" t="inlineStr">
        <is>
          <t>L2;L4</t>
        </is>
      </c>
      <c r="F71" s="23" t="inlineStr">
        <is>
          <t>L2:Schwann cell | L4:Neuroendocrine cell</t>
        </is>
      </c>
      <c r="G71" s="23" t="inlineStr">
        <is>
          <t>含泛neuron(肠,待裁定)</t>
        </is>
      </c>
      <c r="H71" s="23" t="inlineStr">
        <is>
          <t>a3ffde6c-7ad2-498a-903c-d58e732f7470</t>
        </is>
      </c>
      <c r="I71" s="23" t="inlineStr">
        <is>
          <t>CELLxGENE:4ed927e9-c099-49af-b8ce-a2652d069333</t>
        </is>
      </c>
      <c r="J71" s="23" t="inlineStr">
        <is>
          <t>Single-nucleus cross-tissue molecular reference maps to decipher disease gene function</t>
        </is>
      </c>
      <c r="K71" s="23" t="inlineStr">
        <is>
          <t>单细胞核跨组织分子参考图谱解析疾病基因功能</t>
        </is>
      </c>
      <c r="L71" s="23" t="inlineStr">
        <is>
          <t>2022</t>
        </is>
      </c>
      <c r="M71" s="23" t="inlineStr">
        <is>
          <t>10.1126/science.abl4290</t>
        </is>
      </c>
      <c r="N71" s="23" t="inlineStr">
        <is>
          <t>anterior wall of left ventricle|breast|esophagus muscularis mucosa|gastrocnemius|lingula of left lung|mucosa|prostate gland|skin of leg</t>
        </is>
      </c>
      <c r="O71" s="23" t="inlineStr">
        <is>
          <t>normal</t>
        </is>
      </c>
      <c r="P71" s="23" t="inlineStr">
        <is>
          <t>10x 3' v2</t>
        </is>
      </c>
      <c r="Q71" s="23" t="inlineStr">
        <is>
          <t>nucleus</t>
        </is>
      </c>
      <c r="R71" s="25" t="n">
        <v>209126</v>
      </c>
      <c r="S71" s="23" t="inlineStr">
        <is>
          <t>Schwann cell|neuroendocrine cell|neuron</t>
        </is>
      </c>
      <c r="T71" s="23" t="n"/>
      <c r="U71" s="23" t="inlineStr">
        <is>
          <t>外周神经再生</t>
        </is>
      </c>
      <c r="V71" s="23" t="inlineStr">
        <is>
          <t>https://datasets.cellxgene.cziscience.com/9130af6d-b035-4c2c-868a-ef9a572270be.h5ad</t>
        </is>
      </c>
      <c r="W71" s="23" t="inlineStr">
        <is>
          <t>https://cellxgene.cziscience.com/collections/a3ffde6c-7ad2-498a-903c-d58e732f7470</t>
        </is>
      </c>
      <c r="X71" s="23" t="n">
        <v>1</v>
      </c>
      <c r="Y71" t="inlineStr">
        <is>
          <t>?</t>
        </is>
      </c>
      <c r="Z71" t="inlineStr">
        <is>
          <t>B</t>
        </is>
      </c>
    </row>
    <row r="72">
      <c r="A72" s="23" t="inlineStr">
        <is>
          <t>人 Human</t>
        </is>
      </c>
      <c r="B72" s="23" t="inlineStr">
        <is>
          <t>多器官图谱/全身</t>
        </is>
      </c>
      <c r="C72" s="23" t="inlineStr">
        <is>
          <t>bone marrow</t>
        </is>
      </c>
      <c r="D72" s="23" t="inlineStr">
        <is>
          <t>Homo sapiens</t>
        </is>
      </c>
      <c r="E72" s="23" t="inlineStr">
        <is>
          <t>L4</t>
        </is>
      </c>
      <c r="F72" s="23" t="inlineStr">
        <is>
          <t>L4:Enteroendocrine cell</t>
        </is>
      </c>
      <c r="G72" s="23" t="inlineStr">
        <is>
          <t>含泛neuron(肠,待裁定) ; 含泛glial(疑肠胶质,可能L2)</t>
        </is>
      </c>
      <c r="H72" s="23" t="inlineStr">
        <is>
          <t>b1a879f6-5638-48d3-8f64-f6592c1b1561</t>
        </is>
      </c>
      <c r="I72" s="23" t="inlineStr">
        <is>
          <t>CELLxGENE:fd072bc3-2dfb-46f8-b4e3-467cb3223182</t>
        </is>
      </c>
      <c r="J72" s="23" t="inlineStr">
        <is>
          <t>Mapping the developing human immune system across organs</t>
        </is>
      </c>
      <c r="K72" s="23" t="inlineStr">
        <is>
          <t>跨器官绘制发育中的人类免疫系统图谱</t>
        </is>
      </c>
      <c r="L72" s="23" t="inlineStr">
        <is>
          <t>2022</t>
        </is>
      </c>
      <c r="M72" s="23" t="inlineStr">
        <is>
          <t>10.1126/science.abo0510</t>
        </is>
      </c>
      <c r="N72" s="23" t="inlineStr">
        <is>
          <t>bone marrow|gut wall|kidney|liver|mesenteric lymph node|skin of body|spleen|thymus|yolk sac</t>
        </is>
      </c>
      <c r="O72" s="23" t="inlineStr">
        <is>
          <t>normal</t>
        </is>
      </c>
      <c r="P72" s="23" t="inlineStr">
        <is>
          <t>10x 3' v2|10x 5' v1</t>
        </is>
      </c>
      <c r="Q72" s="23" t="inlineStr">
        <is>
          <t>cell</t>
        </is>
      </c>
      <c r="R72" s="25" t="n">
        <v>908046</v>
      </c>
      <c r="S72" s="23" t="inlineStr">
        <is>
          <t>enteroendocrine cell|glial cell|neuron</t>
        </is>
      </c>
      <c r="T72" s="23" t="n"/>
      <c r="U72" s="23" t="inlineStr">
        <is>
          <t>神经-免疫通讯</t>
        </is>
      </c>
      <c r="V72" s="23" t="inlineStr">
        <is>
          <t>https://datasets.cellxgene.cziscience.com/df38503b-8dba-4800-957d-6613747924bb.h5ad</t>
        </is>
      </c>
      <c r="W72" s="23" t="inlineStr">
        <is>
          <t>https://cellxgene.cziscience.com/collections/b1a879f6-5638-48d3-8f64-f6592c1b1561</t>
        </is>
      </c>
      <c r="X72" s="23" t="n">
        <v>2</v>
      </c>
      <c r="Y72" t="inlineStr">
        <is>
          <t>?</t>
        </is>
      </c>
      <c r="Z72" t="inlineStr">
        <is>
          <t>B</t>
        </is>
      </c>
    </row>
    <row r="73">
      <c r="A73" s="23" t="inlineStr">
        <is>
          <t>鼠 Mouse</t>
        </is>
      </c>
      <c r="B73" s="23" t="inlineStr">
        <is>
          <t>周围神经节/神经干</t>
        </is>
      </c>
      <c r="C73" s="23" t="inlineStr">
        <is>
          <t>dorsal root ganglion</t>
        </is>
      </c>
      <c r="D73" s="23" t="inlineStr">
        <is>
          <t>Mus musculus</t>
        </is>
      </c>
      <c r="E73" s="23" t="inlineStr">
        <is>
          <t>L1</t>
        </is>
      </c>
      <c r="F73" s="23" t="inlineStr">
        <is>
          <t>L1:Sensory neuron (DRG)</t>
        </is>
      </c>
      <c r="G73" s="23" t="inlineStr">
        <is>
          <t>含泛glial(疑中枢胶质,慎收)</t>
        </is>
      </c>
      <c r="H73" s="23" t="inlineStr">
        <is>
          <t>03608e22-227a-4492-910b-3cb3f16f952e</t>
        </is>
      </c>
      <c r="I73" s="23" t="inlineStr">
        <is>
          <t>CELLxGENE:b6f472f1-a58d-43a7-a898-2d6822a0b2b2</t>
        </is>
      </c>
      <c r="J73" s="23" t="inlineStr">
        <is>
          <t>iPain atlas</t>
        </is>
      </c>
      <c r="K73" s="23" t="inlineStr">
        <is>
          <t>iPain图谱</t>
        </is>
      </c>
      <c r="L73" s="23" t="inlineStr">
        <is>
          <t>2024</t>
        </is>
      </c>
      <c r="M73" s="23" t="inlineStr">
        <is>
          <t>10.1038/s41467-024-52052-8</t>
        </is>
      </c>
      <c r="N73" s="23" t="inlineStr">
        <is>
          <t>dorsal root ganglion</t>
        </is>
      </c>
      <c r="O73" s="23" t="inlineStr">
        <is>
          <t>normal|peripheral neuropathy</t>
        </is>
      </c>
      <c r="P73" s="23" t="inlineStr">
        <is>
          <t>10x 3' v2|10x 3' v3|10x multiome|Smart-seq2|Smart-seq3|inDrop</t>
        </is>
      </c>
      <c r="Q73" s="23" t="inlineStr">
        <is>
          <t>nucleus|cell</t>
        </is>
      </c>
      <c r="R73" s="25" t="n">
        <v>191798</v>
      </c>
      <c r="S73" s="23" t="inlineStr">
        <is>
          <t>glial cell|sensory neuron of dorsal root ganglion</t>
        </is>
      </c>
      <c r="T73" s="23" t="n"/>
      <c r="U73" s="23" t="inlineStr">
        <is>
          <t>针灸作用相关</t>
        </is>
      </c>
      <c r="V73" s="23" t="inlineStr">
        <is>
          <t>https://datasets.cellxgene.cziscience.com/9e592a91-b992-4f54-9bbe-2f53dd3308da.h5ad</t>
        </is>
      </c>
      <c r="W73" s="23" t="inlineStr">
        <is>
          <t>https://cellxgene.cziscience.com/collections/03608e22-227a-4492-910b-3cb3f16f952e</t>
        </is>
      </c>
      <c r="X73" s="23" t="n">
        <v>6</v>
      </c>
      <c r="Y73" t="inlineStr">
        <is>
          <t>?</t>
        </is>
      </c>
      <c r="Z73" t="inlineStr">
        <is>
          <t>B</t>
        </is>
      </c>
    </row>
    <row r="74">
      <c r="A74" s="23" t="inlineStr">
        <is>
          <t>鼠 Mouse</t>
        </is>
      </c>
      <c r="B74" s="23" t="inlineStr">
        <is>
          <t>周围神经节/神经干</t>
        </is>
      </c>
      <c r="C74" s="23" t="inlineStr">
        <is>
          <t>lumbar dorsal root ganglia L3-L5</t>
        </is>
      </c>
      <c r="D74" s="23" t="inlineStr">
        <is>
          <t>Mus musculus</t>
        </is>
      </c>
      <c r="E74" s="23" t="inlineStr">
        <is>
          <t>L1</t>
        </is>
      </c>
      <c r="F74" s="23" t="inlineStr">
        <is>
          <t>GEO补充(未规范化)</t>
        </is>
      </c>
      <c r="G74" s="23" t="inlineStr"/>
      <c r="H74" s="23" t="inlineStr">
        <is>
          <t>NA</t>
        </is>
      </c>
      <c r="I74" s="23" t="inlineStr">
        <is>
          <t>GSE198485</t>
        </is>
      </c>
      <c r="J74" s="23" t="inlineStr">
        <is>
          <t>Single cell RNAseq Adult Mouse Lumbar Dorsal Root Ganglia (DRG)</t>
        </is>
      </c>
      <c r="K74" s="23" t="inlineStr">
        <is>
          <t>单细胞RNA测序成年小鼠腰椎背根神经节(DRG)</t>
        </is>
      </c>
      <c r="L74" s="23" t="inlineStr">
        <is>
          <t>2023</t>
        </is>
      </c>
      <c r="M74" s="23" t="inlineStr">
        <is>
          <t>PMID:37120427; PMID:37664243</t>
        </is>
      </c>
      <c r="N74" s="23" t="inlineStr">
        <is>
          <t>lumbar dorsal root ganglia L3-L5</t>
        </is>
      </c>
      <c r="O74" s="23" t="inlineStr">
        <is>
          <t>naive adult male mouse</t>
        </is>
      </c>
      <c r="P74" s="23" t="inlineStr">
        <is>
          <t>scRNA-seq</t>
        </is>
      </c>
      <c r="Q74" s="23" t="inlineStr">
        <is>
          <t>NA</t>
        </is>
      </c>
      <c r="R74" s="25" t="inlineStr">
        <is>
          <t>not reported in GEO summary; processed TAR 114.2 Mb</t>
        </is>
      </c>
      <c r="S74" s="23" t="inlineStr">
        <is>
          <t>sensory neuron; non-neuronal DRG cells</t>
        </is>
      </c>
      <c r="T74" s="23" t="n"/>
      <c r="U74" s="23" t="inlineStr">
        <is>
          <t>针灸作用相关</t>
        </is>
      </c>
      <c r="V74" s="23" t="inlineStr">
        <is>
          <t>NA</t>
        </is>
      </c>
      <c r="W74" s="23" t="inlineStr">
        <is>
          <t>https://www.ncbi.nlm.nih.gov/geo/query/acc.cgi?acc=GSE198485</t>
        </is>
      </c>
      <c r="X74" s="23" t="n">
        <v>1</v>
      </c>
      <c r="Y74" t="inlineStr">
        <is>
          <t>?</t>
        </is>
      </c>
      <c r="Z74" t="inlineStr">
        <is>
          <t>B</t>
        </is>
      </c>
    </row>
    <row r="75">
      <c r="A75" s="23" t="inlineStr">
        <is>
          <t>鼠 Mouse</t>
        </is>
      </c>
      <c r="B75" s="23" t="inlineStr">
        <is>
          <t>周围神经节/神经干</t>
        </is>
      </c>
      <c r="C75" s="23" t="inlineStr">
        <is>
          <t>sciatic nerve</t>
        </is>
      </c>
      <c r="D75" s="23" t="inlineStr">
        <is>
          <t>Mus musculus</t>
        </is>
      </c>
      <c r="E75" s="23" t="inlineStr">
        <is>
          <t>L2</t>
        </is>
      </c>
      <c r="F75" s="23" t="inlineStr">
        <is>
          <t>GEO补充(未规范化)</t>
        </is>
      </c>
      <c r="G75" s="23" t="inlineStr"/>
      <c r="H75" s="23" t="inlineStr">
        <is>
          <t>NA</t>
        </is>
      </c>
      <c r="I75" s="23" t="inlineStr">
        <is>
          <t>GSE182098</t>
        </is>
      </c>
      <c r="J75" s="23" t="inlineStr">
        <is>
          <t>Disentangling glial diversity in peripheral nerves at single-nuclei resolution</t>
        </is>
      </c>
      <c r="K75" s="23" t="inlineStr">
        <is>
          <t>单核分辨率下解析外周神经胶质细胞多样性</t>
        </is>
      </c>
      <c r="L75" s="23" t="inlineStr">
        <is>
          <t>2022</t>
        </is>
      </c>
      <c r="M75" s="23" t="inlineStr">
        <is>
          <t>PMID:35115729</t>
        </is>
      </c>
      <c r="N75" s="23" t="inlineStr">
        <is>
          <t>sciatic nerve; peroneal nerve; sural nerve; vagus nerve</t>
        </is>
      </c>
      <c r="O75" s="23" t="inlineStr">
        <is>
          <t>normal; ALS model comparison in associated study</t>
        </is>
      </c>
      <c r="P75" s="23" t="inlineStr">
        <is>
          <t>snRNA-seq; scRNA-seq</t>
        </is>
      </c>
      <c r="Q75" s="23" t="inlineStr">
        <is>
          <t>NA</t>
        </is>
      </c>
      <c r="R75" s="25" t="inlineStr">
        <is>
          <t>not reported in GEO summary; 12 sc/sn libraries</t>
        </is>
      </c>
      <c r="S75" s="23" t="inlineStr">
        <is>
          <t>Schwann cell; myelinating Schwann cell; non-myelinating Schwann cell; stromal/immune nerve cells</t>
        </is>
      </c>
      <c r="T75" s="23" t="n"/>
      <c r="U75" s="23" t="inlineStr">
        <is>
          <t>针灸作用相关;神经-免疫通讯;外周神经再生</t>
        </is>
      </c>
      <c r="V75" s="23" t="inlineStr">
        <is>
          <t>NA</t>
        </is>
      </c>
      <c r="W75" s="23" t="inlineStr">
        <is>
          <t>https://milbrandtlab.wustl.edu/glia-portal/</t>
        </is>
      </c>
      <c r="X75" s="23" t="n">
        <v>1</v>
      </c>
      <c r="Y75" t="inlineStr">
        <is>
          <t>?</t>
        </is>
      </c>
      <c r="Z75" t="inlineStr">
        <is>
          <t>B</t>
        </is>
      </c>
    </row>
    <row r="76">
      <c r="A76" s="40" t="inlineStr">
        <is>
          <t>鼠 Mouse</t>
        </is>
      </c>
      <c r="B76" s="40" t="inlineStr">
        <is>
          <t>肠神经/消化道</t>
        </is>
      </c>
      <c r="C76" s="40" t="inlineStr">
        <is>
          <t>small intestine</t>
        </is>
      </c>
      <c r="D76" s="40" t="inlineStr">
        <is>
          <t>Mus musculus</t>
        </is>
      </c>
      <c r="E76" s="40" t="inlineStr">
        <is>
          <t>L1;L2</t>
        </is>
      </c>
      <c r="F76" s="40" t="inlineStr">
        <is>
          <t>GEO补充(未规范化)</t>
        </is>
      </c>
      <c r="G76" s="40" t="inlineStr"/>
      <c r="H76" s="40" t="inlineStr">
        <is>
          <t>NA</t>
        </is>
      </c>
      <c r="I76" s="40" t="inlineStr">
        <is>
          <t>GSE149524</t>
        </is>
      </c>
      <c r="J76" s="40" t="inlineStr">
        <is>
          <t>Single Cell RNA-sequencing analysis of the juvenile and embryonic mouse enteric nervous system (ENS) of the small intestine</t>
        </is>
      </c>
      <c r="K76" s="40" t="inlineStr">
        <is>
          <t>幼年和胚胎小鼠小肠肠神经系统（ENS）的单细胞RNA测序分析</t>
        </is>
      </c>
      <c r="L76" s="40" t="inlineStr">
        <is>
          <t>2020</t>
        </is>
      </c>
      <c r="M76" s="40" t="inlineStr">
        <is>
          <t>PMID:33288908</t>
        </is>
      </c>
      <c r="N76" s="40" t="inlineStr">
        <is>
          <t>small intestine; enteric nervous system</t>
        </is>
      </c>
      <c r="O76" s="40" t="inlineStr">
        <is>
          <t>juvenile and embryonic development</t>
        </is>
      </c>
      <c r="P76" s="40" t="inlineStr">
        <is>
          <t>scRNA-seq</t>
        </is>
      </c>
      <c r="Q76" s="40" t="inlineStr">
        <is>
          <t>NA</t>
        </is>
      </c>
      <c r="R76" s="41" t="inlineStr">
        <is>
          <t>not reported in GEO summary; 4 samples</t>
        </is>
      </c>
      <c r="S76" s="40" t="inlineStr">
        <is>
          <t>enteric neuron; enteric glia; enteric progenitor</t>
        </is>
      </c>
      <c r="T76" s="40" t="n"/>
      <c r="U76" s="40" t="inlineStr">
        <is>
          <t>general peripheral neurobiology</t>
        </is>
      </c>
      <c r="V76" s="40" t="inlineStr">
        <is>
          <t>NA</t>
        </is>
      </c>
      <c r="W76" s="40" t="inlineStr">
        <is>
          <t>https://www.ncbi.nlm.nih.gov/geo/query/acc.cgi?acc=GSE149524</t>
        </is>
      </c>
      <c r="X76" s="40" t="n">
        <v>1</v>
      </c>
      <c r="Y76" s="42" t="inlineStr">
        <is>
          <t>?</t>
        </is>
      </c>
      <c r="Z76" s="42" t="inlineStr">
        <is>
          <t>A</t>
        </is>
      </c>
    </row>
    <row r="77">
      <c r="A77" s="40" t="inlineStr">
        <is>
          <t>鼠 Mouse</t>
        </is>
      </c>
      <c r="B77" s="40" t="inlineStr">
        <is>
          <t>肠神经/消化道</t>
        </is>
      </c>
      <c r="C77" s="40" t="inlineStr">
        <is>
          <t>small intestine</t>
        </is>
      </c>
      <c r="D77" s="40" t="inlineStr">
        <is>
          <t>Mus musculus</t>
        </is>
      </c>
      <c r="E77" s="40" t="inlineStr">
        <is>
          <t>L1;L2</t>
        </is>
      </c>
      <c r="F77" s="40" t="inlineStr">
        <is>
          <t>GEO补充(未规范化)</t>
        </is>
      </c>
      <c r="G77" s="40" t="inlineStr"/>
      <c r="H77" s="40" t="inlineStr">
        <is>
          <t>NA</t>
        </is>
      </c>
      <c r="I77" s="40" t="inlineStr">
        <is>
          <t>GSE156905</t>
        </is>
      </c>
      <c r="J77" s="40" t="inlineStr">
        <is>
          <t>scRNA-sequencing reveals new enteric nervous system roles for GDNF, NRTN, and TBX3</t>
        </is>
      </c>
      <c r="K77" s="40" t="inlineStr">
        <is>
          <t>scRNA-测序揭示GDNF、NRTN和TBX3在肠神经系统中的新作用</t>
        </is>
      </c>
      <c r="L77" s="40" t="inlineStr">
        <is>
          <t>2020</t>
        </is>
      </c>
      <c r="M77" s="40" t="inlineStr">
        <is>
          <t>not reported in repository metadata</t>
        </is>
      </c>
      <c r="N77" s="40" t="inlineStr">
        <is>
          <t>small intestine; enteric nervous system</t>
        </is>
      </c>
      <c r="O77" s="40" t="inlineStr">
        <is>
          <t>juvenile/adolescent ENS development</t>
        </is>
      </c>
      <c r="P77" s="40" t="inlineStr">
        <is>
          <t>scRNA-seq</t>
        </is>
      </c>
      <c r="Q77" s="40" t="inlineStr">
        <is>
          <t>NA</t>
        </is>
      </c>
      <c r="R77" s="41" t="inlineStr">
        <is>
          <t>not reported in repository metadata</t>
        </is>
      </c>
      <c r="S77" s="40" t="inlineStr">
        <is>
          <t>enteric neuron; enteric glia</t>
        </is>
      </c>
      <c r="T77" s="40" t="n"/>
      <c r="U77" s="40" t="inlineStr">
        <is>
          <t>general peripheral neurobiology</t>
        </is>
      </c>
      <c r="V77" s="40" t="inlineStr">
        <is>
          <t>NA</t>
        </is>
      </c>
      <c r="W77" s="40" t="inlineStr">
        <is>
          <t>https://www.omicsdi.org/dataset/geo/GSE156905</t>
        </is>
      </c>
      <c r="X77" s="40" t="n">
        <v>1</v>
      </c>
      <c r="Y77" s="42" t="inlineStr">
        <is>
          <t>?</t>
        </is>
      </c>
      <c r="Z77" s="42" t="inlineStr">
        <is>
          <t>A</t>
        </is>
      </c>
    </row>
    <row r="78">
      <c r="A78" s="40" t="inlineStr">
        <is>
          <t>鼠 Mouse</t>
        </is>
      </c>
      <c r="B78" s="40" t="inlineStr">
        <is>
          <t>肠神经/消化道</t>
        </is>
      </c>
      <c r="C78" s="40" t="inlineStr">
        <is>
          <t>small intestine</t>
        </is>
      </c>
      <c r="D78" s="40" t="inlineStr">
        <is>
          <t>Mus musculus</t>
        </is>
      </c>
      <c r="E78" s="40" t="inlineStr">
        <is>
          <t>L2</t>
        </is>
      </c>
      <c r="F78" s="40" t="inlineStr">
        <is>
          <t>GEO补充(未规范化)</t>
        </is>
      </c>
      <c r="G78" s="40" t="inlineStr"/>
      <c r="H78" s="40" t="inlineStr">
        <is>
          <t>NA</t>
        </is>
      </c>
      <c r="I78" s="40" t="inlineStr">
        <is>
          <t>GSE184981</t>
        </is>
      </c>
      <c r="J78" s="40" t="inlineStr">
        <is>
          <t>Single-cell transcriptomic and epigenetic profiling of mouse myenteric plexus glial cells</t>
        </is>
      </c>
      <c r="K78" s="40" t="inlineStr">
        <is>
          <t>小鼠肌间神经丛胶质细胞的单细胞转录组与表观遗传学分析</t>
        </is>
      </c>
      <c r="L78" s="40" t="inlineStr">
        <is>
          <t>2023</t>
        </is>
      </c>
      <c r="M78" s="40" t="inlineStr">
        <is>
          <t>not reported in repository metadata</t>
        </is>
      </c>
      <c r="N78" s="40" t="inlineStr">
        <is>
          <t>small intestine; myenteric plexus</t>
        </is>
      </c>
      <c r="O78" s="40" t="inlineStr">
        <is>
          <t>normal; glial neurogenesis / neurosphere culture</t>
        </is>
      </c>
      <c r="P78" s="40" t="inlineStr">
        <is>
          <t>scRNA-seq; snATAC-seq</t>
        </is>
      </c>
      <c r="Q78" s="40" t="inlineStr">
        <is>
          <t>NA</t>
        </is>
      </c>
      <c r="R78" s="41" t="inlineStr">
        <is>
          <t>not reported in repository metadata</t>
        </is>
      </c>
      <c r="S78" s="40" t="inlineStr">
        <is>
          <t>enteric glia; neurogenic glia</t>
        </is>
      </c>
      <c r="T78" s="40" t="n"/>
      <c r="U78" s="40" t="inlineStr">
        <is>
          <t>general peripheral neurobiology</t>
        </is>
      </c>
      <c r="V78" s="40" t="inlineStr">
        <is>
          <t>NA</t>
        </is>
      </c>
      <c r="W78" s="40" t="inlineStr">
        <is>
          <t>https://www.omicsdi.org/dataset/geo/GSE156905</t>
        </is>
      </c>
      <c r="X78" s="40" t="n">
        <v>1</v>
      </c>
      <c r="Y78" s="42" t="inlineStr">
        <is>
          <t>?</t>
        </is>
      </c>
      <c r="Z78" s="42" t="inlineStr">
        <is>
          <t>A</t>
        </is>
      </c>
    </row>
    <row r="79">
      <c r="A79" s="40" t="inlineStr">
        <is>
          <t>鼠 Mouse</t>
        </is>
      </c>
      <c r="B79" s="40" t="inlineStr">
        <is>
          <t>肠神经/消化道</t>
        </is>
      </c>
      <c r="C79" s="40" t="inlineStr">
        <is>
          <t>small intestine</t>
        </is>
      </c>
      <c r="D79" s="40" t="inlineStr">
        <is>
          <t>Mus musculus</t>
        </is>
      </c>
      <c r="E79" s="40" t="inlineStr">
        <is>
          <t>L4</t>
        </is>
      </c>
      <c r="F79" s="40" t="inlineStr">
        <is>
          <t>L4:Enteroendocrine cell of small intestine</t>
        </is>
      </c>
      <c r="G79" s="40" t="inlineStr"/>
      <c r="H79" s="40" t="inlineStr">
        <is>
          <t>3db5617e-9f12-4eb4-8416-94893a0d7c46</t>
        </is>
      </c>
      <c r="I79" s="40" t="inlineStr">
        <is>
          <t>CELLxGENE:a5ab6cde-46d4-4667-9b32-cfce54fa7a4e</t>
        </is>
      </c>
      <c r="J79" s="40" t="inlineStr">
        <is>
          <t>Epithelial zonation along the mammalian small intestine defines five discrete metabolic domains</t>
        </is>
      </c>
      <c r="K79" s="40" t="inlineStr">
        <is>
          <t>哺乳动物小肠沿线的上皮分区定义了五个离散的代谢区域</t>
        </is>
      </c>
      <c r="L79" s="40" t="inlineStr">
        <is>
          <t>2024</t>
        </is>
      </c>
      <c r="M79" s="40" t="inlineStr">
        <is>
          <t>10.1038/s41556-023-01337-z</t>
        </is>
      </c>
      <c r="N79" s="40" t="inlineStr">
        <is>
          <t>small intestine</t>
        </is>
      </c>
      <c r="O79" s="40" t="inlineStr">
        <is>
          <t>normal</t>
        </is>
      </c>
      <c r="P79" s="40" t="inlineStr">
        <is>
          <t>10x 3' v3</t>
        </is>
      </c>
      <c r="Q79" s="40" t="inlineStr">
        <is>
          <t>cell</t>
        </is>
      </c>
      <c r="R79" s="41" t="n">
        <v>19847</v>
      </c>
      <c r="S79" s="40" t="inlineStr">
        <is>
          <t>enteroendocrine cell of small intestine</t>
        </is>
      </c>
      <c r="T79" s="40" t="n"/>
      <c r="U79" s="40" t="inlineStr">
        <is>
          <t>general peripheral neurobiology</t>
        </is>
      </c>
      <c r="V79" s="40" t="inlineStr">
        <is>
          <t>https://datasets.cellxgene.cziscience.com/3dfc4a1f-5683-4f2a-8a19-bedf27daa3e5.h5ad</t>
        </is>
      </c>
      <c r="W79" s="40" t="inlineStr">
        <is>
          <t>https://cellxgene.cziscience.com/collections/3db5617e-9f12-4eb4-8416-94893a0d7c46</t>
        </is>
      </c>
      <c r="X79" s="40" t="n">
        <v>2</v>
      </c>
      <c r="Y79" s="42" t="inlineStr">
        <is>
          <t>?</t>
        </is>
      </c>
      <c r="Z79" s="42" t="inlineStr">
        <is>
          <t>A</t>
        </is>
      </c>
    </row>
    <row r="80">
      <c r="A80" s="40" t="inlineStr">
        <is>
          <t>鼠 Mouse</t>
        </is>
      </c>
      <c r="B80" s="40" t="inlineStr">
        <is>
          <t>皮肤</t>
        </is>
      </c>
      <c r="C80" s="40" t="inlineStr">
        <is>
          <t>autopod skin</t>
        </is>
      </c>
      <c r="D80" s="40" t="inlineStr">
        <is>
          <t>Mus musculus</t>
        </is>
      </c>
      <c r="E80" s="40" t="inlineStr">
        <is>
          <t>L2</t>
        </is>
      </c>
      <c r="F80" s="40" t="inlineStr">
        <is>
          <t>L2:Schwann cell</t>
        </is>
      </c>
      <c r="G80" s="40" t="inlineStr"/>
      <c r="H80" s="40" t="inlineStr">
        <is>
          <t>f5af7a2f-ab4c-4728-829e-48efb9562105</t>
        </is>
      </c>
      <c r="I80" s="40" t="inlineStr">
        <is>
          <t>CELLxGENE:7be2824e-d62a-42ef-9169-084555c6df87</t>
        </is>
      </c>
      <c r="J80" s="40" t="inlineStr">
        <is>
          <t>Single cell RNA sequencing of paw skin from healthy and Col7a1 knockout (RDEB) mice</t>
        </is>
      </c>
      <c r="K80" s="40" t="inlineStr">
        <is>
          <t>健康与Col7a1基因敲除（RDEB）小鼠爪垫皮肤的单细胞RNA测序</t>
        </is>
      </c>
      <c r="L80" s="40" t="inlineStr">
        <is>
          <t>2024</t>
        </is>
      </c>
      <c r="M80" s="40" t="inlineStr">
        <is>
          <t>10.3389/fimmu.2023.1211505</t>
        </is>
      </c>
      <c r="N80" s="40" t="inlineStr">
        <is>
          <t>autopod skin</t>
        </is>
      </c>
      <c r="O80" s="40" t="inlineStr">
        <is>
          <t>epidermolysis bullosa|normal</t>
        </is>
      </c>
      <c r="P80" s="40" t="inlineStr">
        <is>
          <t>10x 3' v3</t>
        </is>
      </c>
      <c r="Q80" s="40" t="inlineStr">
        <is>
          <t>cell</t>
        </is>
      </c>
      <c r="R80" s="41" t="n">
        <v>9816</v>
      </c>
      <c r="S80" s="40" t="inlineStr">
        <is>
          <t>Schwann cell</t>
        </is>
      </c>
      <c r="T80" s="40" t="n"/>
      <c r="U80" s="40" t="inlineStr">
        <is>
          <t>外周神经再生</t>
        </is>
      </c>
      <c r="V80" s="40" t="inlineStr">
        <is>
          <t>https://datasets.cellxgene.cziscience.com/2965d8bb-05c5-40a1-bb03-c0b568cb1919.h5ad</t>
        </is>
      </c>
      <c r="W80" s="40" t="inlineStr">
        <is>
          <t>https://cellxgene.cziscience.com/collections/f5af7a2f-ab4c-4728-829e-48efb9562105</t>
        </is>
      </c>
      <c r="X80" s="40" t="n">
        <v>2</v>
      </c>
      <c r="Y80" s="42" t="inlineStr">
        <is>
          <t>A</t>
        </is>
      </c>
      <c r="Z80" s="42" t="inlineStr">
        <is>
          <t>A</t>
        </is>
      </c>
    </row>
    <row r="81">
      <c r="A81" s="40" t="inlineStr">
        <is>
          <t>鼠 Mouse</t>
        </is>
      </c>
      <c r="B81" s="40" t="inlineStr">
        <is>
          <t>心血管</t>
        </is>
      </c>
      <c r="C81" s="40" t="inlineStr">
        <is>
          <t>heart</t>
        </is>
      </c>
      <c r="D81" s="40" t="inlineStr">
        <is>
          <t>Mus musculus</t>
        </is>
      </c>
      <c r="E81" s="40" t="inlineStr">
        <is>
          <t>L2</t>
        </is>
      </c>
      <c r="F81" s="40" t="inlineStr">
        <is>
          <t>L2:Schwann cell</t>
        </is>
      </c>
      <c r="G81" s="40" t="inlineStr">
        <is>
          <t>含泛neuron(器官图谱→疑中枢/噪声,待裁定)</t>
        </is>
      </c>
      <c r="H81" s="40" t="inlineStr">
        <is>
          <t>613f5480-4957-4f80-b804-0e2b85ac454c</t>
        </is>
      </c>
      <c r="I81" s="40" t="inlineStr">
        <is>
          <t>CELLxGENE:731e0ae7-e600-470f-a6dc-8c35c28d6c3d</t>
        </is>
      </c>
      <c r="J81" s="40" t="inlineStr">
        <is>
          <t>Mouse perinatal heart maturation scRNA-seq</t>
        </is>
      </c>
      <c r="K81" s="40" t="inlineStr">
        <is>
          <t>小鼠围产期心脏成熟scRNA-seq</t>
        </is>
      </c>
      <c r="L81" s="40" t="inlineStr">
        <is>
          <t>2024</t>
        </is>
      </c>
      <c r="M81" s="40" t="inlineStr">
        <is>
          <t>10.1101/2024.03.05.583423</t>
        </is>
      </c>
      <c r="N81" s="40" t="inlineStr">
        <is>
          <t>heart</t>
        </is>
      </c>
      <c r="O81" s="40" t="inlineStr">
        <is>
          <t>normal</t>
        </is>
      </c>
      <c r="P81" s="40" t="inlineStr">
        <is>
          <t>Drop-seq</t>
        </is>
      </c>
      <c r="Q81" s="40" t="inlineStr">
        <is>
          <t>cell</t>
        </is>
      </c>
      <c r="R81" s="41" t="n">
        <v>49769</v>
      </c>
      <c r="S81" s="40" t="inlineStr">
        <is>
          <t>Schwann cell|neuron</t>
        </is>
      </c>
      <c r="T81" s="40" t="n"/>
      <c r="U81" s="40" t="inlineStr">
        <is>
          <t>外周神经再生</t>
        </is>
      </c>
      <c r="V81" s="40" t="inlineStr">
        <is>
          <t>https://datasets.cellxgene.cziscience.com/287a43aa-a1bd-41bd-925e-0ac43fdb1228.h5ad</t>
        </is>
      </c>
      <c r="W81" s="40" t="inlineStr">
        <is>
          <t>https://cellxgene.cziscience.com/collections/613f5480-4957-4f80-b804-0e2b85ac454c</t>
        </is>
      </c>
      <c r="X81" s="40" t="n">
        <v>1</v>
      </c>
      <c r="Y81" s="42" t="inlineStr">
        <is>
          <t>A</t>
        </is>
      </c>
      <c r="Z81" s="42" t="inlineStr">
        <is>
          <t>A</t>
        </is>
      </c>
    </row>
    <row r="82">
      <c r="A82" s="23" t="inlineStr">
        <is>
          <t>鼠 Mouse</t>
        </is>
      </c>
      <c r="B82" s="23" t="inlineStr">
        <is>
          <t>泌尿系统</t>
        </is>
      </c>
      <c r="C82" s="23" t="inlineStr">
        <is>
          <t>kidney</t>
        </is>
      </c>
      <c r="D82" s="23" t="inlineStr">
        <is>
          <t>Mus musculus</t>
        </is>
      </c>
      <c r="E82" s="23" t="inlineStr">
        <is>
          <t>L2</t>
        </is>
      </c>
      <c r="F82" s="23" t="inlineStr">
        <is>
          <t>L2:Schwann cell</t>
        </is>
      </c>
      <c r="G82" s="23" t="inlineStr"/>
      <c r="H82" s="23" t="inlineStr">
        <is>
          <t>9c9d04c4-8899-417f-bb6f-6107dcadf14f</t>
        </is>
      </c>
      <c r="I82" s="23" t="inlineStr">
        <is>
          <t>CELLxGENE:9ac3d74d-1d94-4ff9-abf9-fe5abe4bd2a6</t>
        </is>
      </c>
      <c r="J82" s="23" t="inlineStr">
        <is>
          <t>Cellular and Spatial Drivers of Unresolved Injury and Functional Decline in the Human Kidney</t>
        </is>
      </c>
      <c r="K82" s="23" t="inlineStr">
        <is>
          <t>人类肾脏中未消退损伤与功能衰退的细胞及空间驱动因素</t>
        </is>
      </c>
      <c r="L82" s="23" t="inlineStr">
        <is>
          <t>2025</t>
        </is>
      </c>
      <c r="M82" s="23" t="inlineStr">
        <is>
          <t>10.1101/2025.09.26.678707</t>
        </is>
      </c>
      <c r="N82" s="23" t="inlineStr">
        <is>
          <t>kidney</t>
        </is>
      </c>
      <c r="O82" s="23" t="inlineStr">
        <is>
          <t>acute kidney injury|normal</t>
        </is>
      </c>
      <c r="P82" s="23" t="inlineStr">
        <is>
          <t>10x 3' v2|10x multiome</t>
        </is>
      </c>
      <c r="Q82" s="23" t="inlineStr">
        <is>
          <t>nucleus</t>
        </is>
      </c>
      <c r="R82" s="25" t="n">
        <v>315764</v>
      </c>
      <c r="S82" s="23" t="inlineStr">
        <is>
          <t>Schwann cell</t>
        </is>
      </c>
      <c r="T82" s="23" t="n"/>
      <c r="U82" s="23" t="inlineStr">
        <is>
          <t>外周神经再生;伤口修复</t>
        </is>
      </c>
      <c r="V82" s="23" t="inlineStr">
        <is>
          <t>https://datasets.cellxgene.cziscience.com/19aab2ef-654a-4047-8f60-3529c041851d.h5ad</t>
        </is>
      </c>
      <c r="W82" s="23" t="inlineStr">
        <is>
          <t>https://cellxgene.cziscience.com/collections/9c9d04c4-8899-417f-bb6f-6107dcadf14f</t>
        </is>
      </c>
      <c r="X82" s="23" t="n">
        <v>1</v>
      </c>
      <c r="Y82" t="inlineStr">
        <is>
          <t>B</t>
        </is>
      </c>
      <c r="Z82" t="inlineStr">
        <is>
          <t>B</t>
        </is>
      </c>
    </row>
    <row r="83">
      <c r="A83" s="23" t="inlineStr">
        <is>
          <t>鼠 Mouse</t>
        </is>
      </c>
      <c r="B83" s="23" t="inlineStr">
        <is>
          <t>生殖/乳腺</t>
        </is>
      </c>
      <c r="C83" s="23" t="inlineStr">
        <is>
          <t>mammary gland</t>
        </is>
      </c>
      <c r="D83" s="23" t="inlineStr">
        <is>
          <t>Mus musculus</t>
        </is>
      </c>
      <c r="E83" s="23" t="inlineStr">
        <is>
          <t>L2</t>
        </is>
      </c>
      <c r="F83" s="23" t="inlineStr">
        <is>
          <t>L2:Schwann cell</t>
        </is>
      </c>
      <c r="G83" s="23" t="inlineStr"/>
      <c r="H83" s="23" t="inlineStr">
        <is>
          <t>bae2ee8c-b49c-41d0-9097-960d18a39e20</t>
        </is>
      </c>
      <c r="I83" s="23" t="inlineStr">
        <is>
          <t>CELLxGENE:6c6b4c47-096d-4084-97e7-714ee10c556c</t>
        </is>
      </c>
      <c r="J83" s="23" t="inlineStr">
        <is>
          <t>Time-resolved single-cell analysis of Brca1 associated mammary tumourigenesis reveals aberrant differentiation of luminal progenitors</t>
        </is>
      </c>
      <c r="K83" s="23" t="inlineStr">
        <is>
          <t>时间分辨单细胞分析揭示Brca1相关乳腺肿瘤发生中腔祖细胞的异常分化</t>
        </is>
      </c>
      <c r="L83" s="23" t="inlineStr">
        <is>
          <t>2025</t>
        </is>
      </c>
      <c r="M83" s="23" t="inlineStr">
        <is>
          <t>10.1038/s41467-021-21783-3</t>
        </is>
      </c>
      <c r="N83" s="23" t="inlineStr">
        <is>
          <t>mammary gland</t>
        </is>
      </c>
      <c r="O83" s="23" t="inlineStr">
        <is>
          <t>neoplasm|normal</t>
        </is>
      </c>
      <c r="P83" s="23" t="inlineStr">
        <is>
          <t>10x 3' v2|10x 3' v3</t>
        </is>
      </c>
      <c r="Q83" s="23" t="inlineStr">
        <is>
          <t>cell</t>
        </is>
      </c>
      <c r="R83" s="25" t="n">
        <v>197896</v>
      </c>
      <c r="S83" s="23" t="inlineStr">
        <is>
          <t>Schwann cell</t>
        </is>
      </c>
      <c r="T83" s="23" t="n"/>
      <c r="U83" s="23" t="inlineStr">
        <is>
          <t>外周神经再生</t>
        </is>
      </c>
      <c r="V83" s="23" t="inlineStr">
        <is>
          <t>https://datasets.cellxgene.cziscience.com/e05a1540-f925-412d-919c-8e0116c1b4be.h5ad</t>
        </is>
      </c>
      <c r="W83" s="23" t="inlineStr">
        <is>
          <t>https://cellxgene.cziscience.com/collections/bae2ee8c-b49c-41d0-9097-960d18a39e20</t>
        </is>
      </c>
      <c r="X83" s="23" t="n">
        <v>1</v>
      </c>
      <c r="Y83" t="inlineStr">
        <is>
          <t>?</t>
        </is>
      </c>
      <c r="Z83" t="inlineStr">
        <is>
          <t>B</t>
        </is>
      </c>
    </row>
    <row r="84">
      <c r="A84" s="23" t="inlineStr">
        <is>
          <t>鼠 Mouse</t>
        </is>
      </c>
      <c r="B84" s="23" t="inlineStr">
        <is>
          <t>内分泌/胰岛</t>
        </is>
      </c>
      <c r="C84" s="23" t="inlineStr">
        <is>
          <t>islet of Langerhans</t>
        </is>
      </c>
      <c r="D84" s="23" t="inlineStr">
        <is>
          <t>Mus musculus</t>
        </is>
      </c>
      <c r="E84" s="23" t="inlineStr">
        <is>
          <t>L2</t>
        </is>
      </c>
      <c r="F84" s="23" t="inlineStr">
        <is>
          <t>L2:Schwann cell</t>
        </is>
      </c>
      <c r="G84" s="23" t="inlineStr"/>
      <c r="H84" s="23" t="inlineStr">
        <is>
          <t>296237e2-393d-4e31-b590-b03f74ac5070</t>
        </is>
      </c>
      <c r="I84" s="23" t="inlineStr">
        <is>
          <t>CELLxGENE:49e4ffcc-5444-406d-bdee-577127404ba8</t>
        </is>
      </c>
      <c r="J84" s="23" t="inlineStr">
        <is>
          <t>Mouse pancreatic islet scRNA-seq atlas across sexes, ages, and stress conditions including diabetes</t>
        </is>
      </c>
      <c r="K84" s="23" t="inlineStr">
        <is>
          <t>小鼠胰岛scRNA-seq图谱：涵盖性别、年龄及包括糖尿病在内的应激条件</t>
        </is>
      </c>
      <c r="L84" s="23" t="inlineStr">
        <is>
          <t>2023</t>
        </is>
      </c>
      <c r="M84" s="23" t="inlineStr">
        <is>
          <t>10.1038/s42255-023-00876-x</t>
        </is>
      </c>
      <c r="N84" s="23" t="inlineStr">
        <is>
          <t>islet of Langerhans|pancreas</t>
        </is>
      </c>
      <c r="O84" s="23" t="inlineStr">
        <is>
          <t>endocrine pancreas disorder|normal|type 1 diabetes mellitus|type 2 diabetes mellitus</t>
        </is>
      </c>
      <c r="P84" s="23" t="inlineStr">
        <is>
          <t>10x 3' v2|10x 3' v3</t>
        </is>
      </c>
      <c r="Q84" s="23" t="inlineStr">
        <is>
          <t>cell</t>
        </is>
      </c>
      <c r="R84" s="25" t="n">
        <v>301796</v>
      </c>
      <c r="S84" s="23" t="inlineStr">
        <is>
          <t>Schwann cell</t>
        </is>
      </c>
      <c r="T84" s="23" t="n"/>
      <c r="U84" s="23" t="inlineStr">
        <is>
          <t>外周神经再生</t>
        </is>
      </c>
      <c r="V84" s="23" t="inlineStr">
        <is>
          <t>https://datasets.cellxgene.cziscience.com/2cf0b367-e31b-4ab3-8557-8f2c4ac2a31a.h5ad</t>
        </is>
      </c>
      <c r="W84" s="23" t="inlineStr">
        <is>
          <t>https://cellxgene.cziscience.com/collections/296237e2-393d-4e31-b590-b03f74ac5070</t>
        </is>
      </c>
      <c r="X84" s="23" t="n">
        <v>1</v>
      </c>
      <c r="Y84" t="inlineStr">
        <is>
          <t>B</t>
        </is>
      </c>
      <c r="Z84" t="inlineStr">
        <is>
          <t>B</t>
        </is>
      </c>
    </row>
    <row r="85">
      <c r="A85" s="40" t="inlineStr">
        <is>
          <t>鼠 Mouse</t>
        </is>
      </c>
      <c r="B85" s="40" t="inlineStr">
        <is>
          <t>肌肉骨骼</t>
        </is>
      </c>
      <c r="C85" s="40" t="inlineStr">
        <is>
          <t>gastrocnemius</t>
        </is>
      </c>
      <c r="D85" s="40" t="inlineStr">
        <is>
          <t>Mus musculus</t>
        </is>
      </c>
      <c r="E85" s="40" t="inlineStr">
        <is>
          <t>L2;L3</t>
        </is>
      </c>
      <c r="F85" s="40" t="inlineStr">
        <is>
          <t>L2:Schwann cell | L3:Perineurial cell</t>
        </is>
      </c>
      <c r="G85" s="40" t="inlineStr"/>
      <c r="H85" s="40" t="inlineStr">
        <is>
          <t>ef9f0fae-c12c-4f1a-bb67-63346c2ae0f1</t>
        </is>
      </c>
      <c r="I85" s="40" t="inlineStr">
        <is>
          <t>CELLxGENE:a48343a2-7570-49d0-8849-9db6c21dffcb</t>
        </is>
      </c>
      <c r="J85" s="40" t="inlineStr">
        <is>
          <t>Single Nuclei Atlas of Innervated and Denervated Mouse Muscle</t>
        </is>
      </c>
      <c r="K85" s="40" t="inlineStr">
        <is>
          <t>小鼠肌肉神经支配与去神经支配的单细胞核图谱</t>
        </is>
      </c>
      <c r="L85" s="40" t="inlineStr">
        <is>
          <t>2025</t>
        </is>
      </c>
      <c r="M85" s="40" t="inlineStr">
        <is>
          <t>10.1038/s41467-025-57487-1</t>
        </is>
      </c>
      <c r="N85" s="40" t="inlineStr">
        <is>
          <t>gastrocnemius|skeletal muscle tissue of tibialis anterior</t>
        </is>
      </c>
      <c r="O85" s="40" t="inlineStr">
        <is>
          <t>lesion of sciatic nerve|neuromuscular junction disease|normal|toxin-mediated infectious botulism</t>
        </is>
      </c>
      <c r="P85" s="40" t="inlineStr">
        <is>
          <t>10x 3' v3</t>
        </is>
      </c>
      <c r="Q85" s="40" t="inlineStr">
        <is>
          <t>nucleus</t>
        </is>
      </c>
      <c r="R85" s="41" t="n">
        <v>102688</v>
      </c>
      <c r="S85" s="40" t="inlineStr">
        <is>
          <t>Schwann cell|perineurial cell</t>
        </is>
      </c>
      <c r="T85" s="40" t="n"/>
      <c r="U85" s="40" t="inlineStr">
        <is>
          <t>针灸作用相关;外周神经再生</t>
        </is>
      </c>
      <c r="V85" s="40" t="inlineStr">
        <is>
          <t>https://datasets.cellxgene.cziscience.com/f991c1a9-d2ff-488e-bd18-d75e0e1d2d7b.h5ad</t>
        </is>
      </c>
      <c r="W85" s="40" t="inlineStr">
        <is>
          <t>https://cellxgene.cziscience.com/collections/ef9f0fae-c12c-4f1a-bb67-63346c2ae0f1</t>
        </is>
      </c>
      <c r="X85" s="40" t="n">
        <v>3</v>
      </c>
      <c r="Y85" s="42" t="inlineStr">
        <is>
          <t>?</t>
        </is>
      </c>
      <c r="Z85" s="42" t="inlineStr">
        <is>
          <t>A</t>
        </is>
      </c>
    </row>
    <row r="86">
      <c r="A86" s="23" t="inlineStr">
        <is>
          <t>鼠 Mouse</t>
        </is>
      </c>
      <c r="B86" s="23" t="inlineStr">
        <is>
          <t>胚胎/发育</t>
        </is>
      </c>
      <c r="C86" s="23" t="inlineStr">
        <is>
          <t>embryo</t>
        </is>
      </c>
      <c r="D86" s="23" t="inlineStr">
        <is>
          <t>Mus musculus</t>
        </is>
      </c>
      <c r="E86" s="23" t="inlineStr">
        <is>
          <t>L1;L2;L4</t>
        </is>
      </c>
      <c r="F86" s="23" t="inlineStr">
        <is>
          <t>L1:Efferent neuron/Enteric neuron/Parasympathetic neuron/Peripheral nervous system neuron/Sensory neuron (DRG)/Sympathetic neuron | L2:Schwann cell precursor/Myelinating Schwann cell/Satellite glial cell | L4:Intestinal enteroendocrine cell</t>
        </is>
      </c>
      <c r="G86" s="23" t="inlineStr">
        <is>
          <t>含泛neuron(器官图谱→疑中枢/噪声,待裁定)</t>
        </is>
      </c>
      <c r="H86" s="23" t="inlineStr">
        <is>
          <t>45d5d2c3-bc28-4814-aed6-0bb6f0e11c82</t>
        </is>
      </c>
      <c r="I86" s="23" t="inlineStr">
        <is>
          <t>CELLxGENE:dcfd4feb-18a3-4b30-81d7-1b0c544a8ab3</t>
        </is>
      </c>
      <c r="J86" s="23" t="inlineStr">
        <is>
          <t>A single-cell transcriptional timelapse of mouse embryonic development, from gastrula to pup</t>
        </is>
      </c>
      <c r="K86" s="23" t="inlineStr">
        <is>
          <t>NA</t>
        </is>
      </c>
      <c r="L86" s="23" t="inlineStr">
        <is>
          <t>NA</t>
        </is>
      </c>
      <c r="M86" s="23" t="inlineStr">
        <is>
          <t>10.1038/s41586-024-07069-w</t>
        </is>
      </c>
      <c r="N86" s="23" t="inlineStr">
        <is>
          <t>embryo</t>
        </is>
      </c>
      <c r="O86" s="23" t="inlineStr">
        <is>
          <t>normal</t>
        </is>
      </c>
      <c r="P86" s="23" t="inlineStr">
        <is>
          <t>sci-RNA-seq3</t>
        </is>
      </c>
      <c r="Q86" s="23" t="inlineStr">
        <is>
          <t>nucleus</t>
        </is>
      </c>
      <c r="R86" s="25" t="n">
        <v>11441407</v>
      </c>
      <c r="S86" s="23" t="inlineStr">
        <is>
          <t>GABAergic neuron|Schwann cell precursor|cerebral cortex GABAergic interneuron|cranial motor neuron|efferent neuron|enteric neuron|glutamatergic neuron|intestinal enteroendocrine cell|microglial cell|myelinating Schwann cell|neuron|parasympathetic neuron|perineuronal satellite cell|peripheral nervous system neuron|retinal bipolar neuron|sensory neuron of dorsal root ganglion|spinal cord motor neuron|spiral ganglion neuron|sympathetic neuron|thalamic excitatory neuron</t>
        </is>
      </c>
      <c r="T86" s="23" t="n"/>
      <c r="U86" s="23" t="inlineStr">
        <is>
          <t>NA</t>
        </is>
      </c>
      <c r="V86" s="23" t="inlineStr">
        <is>
          <t>https://datasets.cellxgene.cziscience.com/1bc30289-9565-4099-abf9-3326328c11ac.h5ad</t>
        </is>
      </c>
      <c r="W86" s="23" t="inlineStr">
        <is>
          <t>https://cellxgene.cziscience.com/collections/45d5d2c3-bc28-4814-aed6-0bb6f0e11c82</t>
        </is>
      </c>
      <c r="X86" s="23" t="n">
        <v>11</v>
      </c>
      <c r="Y86" t="inlineStr">
        <is>
          <t>B</t>
        </is>
      </c>
      <c r="Z86" t="inlineStr">
        <is>
          <t>B</t>
        </is>
      </c>
    </row>
    <row r="87">
      <c r="A87" s="23" t="inlineStr">
        <is>
          <t>鼠 Mouse</t>
        </is>
      </c>
      <c r="B87" s="23" t="inlineStr">
        <is>
          <t>多器官图谱/全身</t>
        </is>
      </c>
      <c r="C87" s="23" t="inlineStr">
        <is>
          <t>adipose tissue</t>
        </is>
      </c>
      <c r="D87" s="23" t="inlineStr">
        <is>
          <t>Mus musculus</t>
        </is>
      </c>
      <c r="E87" s="23" t="inlineStr">
        <is>
          <t>L1;L2;L4</t>
        </is>
      </c>
      <c r="F87" s="23" t="inlineStr">
        <is>
          <t>L1:Cardiac neuron | L2:Schwann cell | L4:Neuroendocrine cell/Pulmonary neuroendocrine cell</t>
        </is>
      </c>
      <c r="G87" s="23" t="inlineStr"/>
      <c r="H87" s="23" t="inlineStr">
        <is>
          <t>0b9d8a04-bb9d-44da-aa27-705bb65b54eb</t>
        </is>
      </c>
      <c r="I87" s="23" t="inlineStr">
        <is>
          <t>CELLxGENE:48b37086-25f7-4ecd-be66-f5bb378e3aea</t>
        </is>
      </c>
      <c r="J87" s="23" t="inlineStr">
        <is>
          <t>Tabula Muris Senis</t>
        </is>
      </c>
      <c r="K87" s="23" t="inlineStr">
        <is>
          <t>Tabula Muris Senis</t>
        </is>
      </c>
      <c r="L87" s="23" t="inlineStr">
        <is>
          <t>2021</t>
        </is>
      </c>
      <c r="M87" s="23" t="inlineStr">
        <is>
          <t>10.1038/s41586-020-2496-1</t>
        </is>
      </c>
      <c r="N87" s="23" t="inlineStr">
        <is>
          <t>adipose tissue|bladder lumen|bone marrow|heart|kidney|large intestine|limb muscle|liver|lung|mammary gland|pancreas|skin of body|spleen|thymus|tongue|trachea</t>
        </is>
      </c>
      <c r="O87" s="23" t="inlineStr">
        <is>
          <t>normal</t>
        </is>
      </c>
      <c r="P87" s="23" t="inlineStr">
        <is>
          <t>10x 3' v2</t>
        </is>
      </c>
      <c r="Q87" s="23" t="inlineStr">
        <is>
          <t>cell</t>
        </is>
      </c>
      <c r="R87" s="25" t="n">
        <v>245389</v>
      </c>
      <c r="S87" s="23" t="inlineStr">
        <is>
          <t>Schwann cell|cardiac neuron|neuroendocrine cell|pulmonary neuroendocrine cell</t>
        </is>
      </c>
      <c r="T87" s="23" t="n"/>
      <c r="U87" s="23" t="inlineStr">
        <is>
          <t>外周神经再生</t>
        </is>
      </c>
      <c r="V87" s="23" t="inlineStr">
        <is>
          <t>https://datasets.cellxgene.cziscience.com/084058cc-4f17-43ce-b14e-1278df074013.h5ad</t>
        </is>
      </c>
      <c r="W87" s="23" t="inlineStr">
        <is>
          <t>https://cellxgene.cziscience.com/collections/0b9d8a04-bb9d-44da-aa27-705bb65b54eb</t>
        </is>
      </c>
      <c r="X87" s="23" t="n">
        <v>5</v>
      </c>
      <c r="Y87" t="inlineStr">
        <is>
          <t>?</t>
        </is>
      </c>
      <c r="Z87" t="inlineStr">
        <is>
          <t>B</t>
        </is>
      </c>
    </row>
    <row r="88">
      <c r="A88" s="23" t="inlineStr">
        <is>
          <t>鼠 Mouse</t>
        </is>
      </c>
      <c r="B88" s="23" t="inlineStr">
        <is>
          <t>多器官图谱/全身</t>
        </is>
      </c>
      <c r="C88" s="23" t="inlineStr">
        <is>
          <t>blood</t>
        </is>
      </c>
      <c r="D88" s="23" t="inlineStr">
        <is>
          <t>Mus musculus</t>
        </is>
      </c>
      <c r="E88" s="23" t="inlineStr">
        <is>
          <t>L2</t>
        </is>
      </c>
      <c r="F88" s="23" t="inlineStr">
        <is>
          <t>L2:Schwann cell</t>
        </is>
      </c>
      <c r="G88" s="23" t="inlineStr"/>
      <c r="H88" s="23" t="inlineStr">
        <is>
          <t>24e324a1-b42d-4438-9bb5-cf5233fa90b0</t>
        </is>
      </c>
      <c r="I88" s="23" t="inlineStr">
        <is>
          <t>CELLxGENE:7b6bab5a-f9c4-4a56-9ed4-3b9079b14867</t>
        </is>
      </c>
      <c r="J88" s="23" t="inlineStr">
        <is>
          <t>Single cell transcriptomic analyses of the dynamic local and systemic response to cardiac injury in mice and zebrafish.</t>
        </is>
      </c>
      <c r="K88" s="23" t="inlineStr">
        <is>
          <t>小鼠和斑马鱼心脏损伤后动态局部及全身反应的单细胞转录组分析</t>
        </is>
      </c>
      <c r="L88" s="23" t="inlineStr">
        <is>
          <t>2024</t>
        </is>
      </c>
      <c r="M88" s="23" t="inlineStr">
        <is>
          <t>10.1038/s42003-024-07315-x</t>
        </is>
      </c>
      <c r="N88" s="23" t="inlineStr">
        <is>
          <t>blood|heart|kidney|liver|pancreas</t>
        </is>
      </c>
      <c r="O88" s="23" t="inlineStr">
        <is>
          <t>myocardial infarction|normal</t>
        </is>
      </c>
      <c r="P88" s="23" t="inlineStr">
        <is>
          <t>10x 3' v3</t>
        </is>
      </c>
      <c r="Q88" s="23" t="inlineStr">
        <is>
          <t>cell</t>
        </is>
      </c>
      <c r="R88" s="25" t="n">
        <v>194315</v>
      </c>
      <c r="S88" s="23" t="inlineStr">
        <is>
          <t>Schwann cell</t>
        </is>
      </c>
      <c r="T88" s="23" t="n"/>
      <c r="U88" s="23" t="inlineStr">
        <is>
          <t>针灸作用相关;外周神经再生;伤口修复</t>
        </is>
      </c>
      <c r="V88" s="23" t="inlineStr">
        <is>
          <t>https://datasets.cellxgene.cziscience.com/3ae58a8e-a64e-44b5-94c6-af55c88e02d3.h5ad</t>
        </is>
      </c>
      <c r="W88" s="23" t="inlineStr">
        <is>
          <t>https://cellxgene.cziscience.com/collections/24e324a1-b42d-4438-9bb5-cf5233fa90b0</t>
        </is>
      </c>
      <c r="X88" s="23" t="n">
        <v>1</v>
      </c>
      <c r="Y88" t="inlineStr">
        <is>
          <t>?</t>
        </is>
      </c>
      <c r="Z88" t="inlineStr">
        <is>
          <t>B</t>
        </is>
      </c>
    </row>
    <row r="89">
      <c r="A89" s="40" t="inlineStr">
        <is>
          <t>人鼠 Human;Mouse</t>
        </is>
      </c>
      <c r="B89" s="40" t="inlineStr">
        <is>
          <t>肠神经/消化道</t>
        </is>
      </c>
      <c r="C89" s="40" t="inlineStr">
        <is>
          <t>colon</t>
        </is>
      </c>
      <c r="D89" s="40" t="inlineStr">
        <is>
          <t>Homo sapiens; Mus musculus</t>
        </is>
      </c>
      <c r="E89" s="40" t="inlineStr">
        <is>
          <t>L1;L2</t>
        </is>
      </c>
      <c r="F89" s="40" t="inlineStr">
        <is>
          <t>GEO补充(未规范化)</t>
        </is>
      </c>
      <c r="G89" s="40" t="inlineStr"/>
      <c r="H89" s="40" t="inlineStr">
        <is>
          <t>NA</t>
        </is>
      </c>
      <c r="I89" s="40" t="inlineStr">
        <is>
          <t>SCP1038</t>
        </is>
      </c>
      <c r="J89" s="40" t="inlineStr">
        <is>
          <t>The human and mouse enteric nervous system at single cell resolution</t>
        </is>
      </c>
      <c r="K89" s="40" t="inlineStr">
        <is>
          <t>单细胞分辨率下的人类和小鼠肠神经系统</t>
        </is>
      </c>
      <c r="L89" s="40" t="inlineStr">
        <is>
          <t>2020</t>
        </is>
      </c>
      <c r="M89" s="40" t="inlineStr">
        <is>
          <t>DOI:10.1016/j.cell.2020.08.003</t>
        </is>
      </c>
      <c r="N89" s="40" t="inlineStr">
        <is>
          <t>colon; ileum; enteric nervous system/myenteric plexus</t>
        </is>
      </c>
      <c r="O89" s="40" t="inlineStr">
        <is>
          <t>normal adult/fetal/reference ENS</t>
        </is>
      </c>
      <c r="P89" s="40" t="inlineStr">
        <is>
          <t>snRNA-seq; scRNA-seq</t>
        </is>
      </c>
      <c r="Q89" s="40" t="inlineStr">
        <is>
          <t>NA</t>
        </is>
      </c>
      <c r="R89" s="41" t="inlineStr">
        <is>
          <t>586460 total cells in portal; includes neuron/glia subsets</t>
        </is>
      </c>
      <c r="S89" s="40" t="inlineStr">
        <is>
          <t>enteric neuron; enteric glia</t>
        </is>
      </c>
      <c r="T89" s="40" t="n"/>
      <c r="U89" s="40" t="inlineStr">
        <is>
          <t>general peripheral neurobiology</t>
        </is>
      </c>
      <c r="V89" s="40" t="inlineStr">
        <is>
          <t>NA</t>
        </is>
      </c>
      <c r="W89" s="40" t="inlineStr">
        <is>
          <t>https://singlecell.broadinstitute.org/single_cell/study/SCP1038/the-human-and-mouse-enteric-nervous-system-at-single-cell-resolution</t>
        </is>
      </c>
      <c r="X89" s="40" t="n">
        <v>1</v>
      </c>
      <c r="Y89" s="42" t="inlineStr">
        <is>
          <t>?</t>
        </is>
      </c>
      <c r="Z89" s="42" t="inlineStr">
        <is>
          <t>A</t>
        </is>
      </c>
    </row>
  </sheetData>
  <autoFilter ref="A1:X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6" customWidth="1" min="2" max="2"/>
    <col width="22" customWidth="1" min="3" max="3"/>
    <col width="13" customWidth="1" min="4" max="4"/>
    <col width="10" customWidth="1" min="5" max="5"/>
    <col width="40" customWidth="1" min="6" max="6"/>
    <col width="14" customWidth="1" min="7" max="7"/>
    <col width="16" customWidth="1" min="8" max="8"/>
    <col width="24" customWidth="1" min="9" max="9"/>
    <col width="40" customWidth="1" min="10" max="10"/>
    <col width="30" customWidth="1" min="11" max="11"/>
    <col width="7" customWidth="1" min="12" max="12"/>
    <col width="22" customWidth="1" min="13" max="13"/>
    <col width="40" customWidth="1" min="14" max="14"/>
    <col width="30" customWidth="1" min="15" max="15"/>
    <col width="24" customWidth="1" min="16" max="16"/>
    <col width="9" customWidth="1" min="17" max="17"/>
    <col width="12" customWidth="1" min="18" max="18"/>
    <col width="34" customWidth="1" min="19" max="19"/>
    <col width="24" customWidth="1" min="20" max="20"/>
    <col width="22" customWidth="1" min="21" max="21"/>
    <col width="22" customWidth="1" min="22" max="22"/>
    <col width="22" customWidth="1" min="23" max="23"/>
    <col width="8" customWidth="1" min="24" max="24"/>
  </cols>
  <sheetData>
    <row r="1">
      <c r="A1" s="3" t="inlineStr">
        <is>
          <t>物种(中文)</t>
        </is>
      </c>
      <c r="B1" s="3" t="inlineStr">
        <is>
          <t>组织系统大类</t>
        </is>
      </c>
      <c r="C1" s="3" t="inlineStr">
        <is>
          <t>主组织</t>
        </is>
      </c>
      <c r="D1" s="3" t="inlineStr">
        <is>
          <t>Species</t>
        </is>
      </c>
      <c r="E1" s="3" t="inlineStr">
        <is>
          <t>细胞分层</t>
        </is>
      </c>
      <c r="F1" s="3" t="inlineStr">
        <is>
          <t>分层依据(具体细胞)</t>
        </is>
      </c>
      <c r="G1" s="3" t="inlineStr">
        <is>
          <t>泛化提示</t>
        </is>
      </c>
      <c r="H1" s="3" t="inlineStr">
        <is>
          <t>collection_id</t>
        </is>
      </c>
      <c r="I1" s="3" t="inlineStr">
        <is>
          <t>代表Dataset_ID</t>
        </is>
      </c>
      <c r="J1" s="3" t="inlineStr">
        <is>
          <t>Publication_Title</t>
        </is>
      </c>
      <c r="K1" s="3" t="inlineStr">
        <is>
          <t>中文标题</t>
        </is>
      </c>
      <c r="L1" s="3" t="inlineStr">
        <is>
          <t>Year</t>
        </is>
      </c>
      <c r="M1" s="3" t="inlineStr">
        <is>
          <t>PMID/DOI</t>
        </is>
      </c>
      <c r="N1" s="3" t="inlineStr">
        <is>
          <t>Tissue</t>
        </is>
      </c>
      <c r="O1" s="3" t="inlineStr">
        <is>
          <t>Disease</t>
        </is>
      </c>
      <c r="P1" s="3" t="inlineStr">
        <is>
          <t>Technology</t>
        </is>
      </c>
      <c r="Q1" s="3" t="inlineStr">
        <is>
          <t>悬浮susp</t>
        </is>
      </c>
      <c r="R1" s="3" t="inlineStr">
        <is>
          <t>Cell_Number</t>
        </is>
      </c>
      <c r="S1" s="3" t="inlineStr">
        <is>
          <t>外周相关细胞(规范)</t>
        </is>
      </c>
      <c r="T1" s="3" t="inlineStr">
        <is>
          <t>Marker_Genes</t>
        </is>
      </c>
      <c r="U1" s="3" t="inlineStr">
        <is>
          <t>Application_Tags</t>
        </is>
      </c>
      <c r="V1" s="3" t="inlineStr">
        <is>
          <t>h5ad下载</t>
        </is>
      </c>
      <c r="W1" s="3" t="inlineStr">
        <is>
          <t>collection链接</t>
        </is>
      </c>
      <c r="X1" s="3" t="inlineStr">
        <is>
          <t>折叠ds数</t>
        </is>
      </c>
    </row>
    <row r="2">
      <c r="A2" s="23" t="inlineStr">
        <is>
          <t>人 Human</t>
        </is>
      </c>
      <c r="B2" s="24" t="inlineStr">
        <is>
          <t>周围神经节/神经干</t>
        </is>
      </c>
      <c r="C2" s="23" t="inlineStr">
        <is>
          <t>choroid plexus</t>
        </is>
      </c>
      <c r="D2" s="23" t="inlineStr">
        <is>
          <t>Homo sapiens</t>
        </is>
      </c>
      <c r="E2" s="23" t="inlineStr">
        <is>
          <t>待定(泛神经)</t>
        </is>
      </c>
      <c r="F2" s="23" t="inlineStr">
        <is>
          <t>—</t>
        </is>
      </c>
      <c r="G2" s="23" t="inlineStr">
        <is>
          <t>含泛glial(疑中枢胶质,慎收)</t>
        </is>
      </c>
      <c r="H2" s="23" t="inlineStr">
        <is>
          <t>59c9ecfe-c47d-4a6a-bab0-895cc0c1942b</t>
        </is>
      </c>
      <c r="I2" s="23" t="inlineStr">
        <is>
          <t>CELLxGENE:595c9010-99ec-462d-b6a1-2b2fe5407871</t>
        </is>
      </c>
      <c r="J2" s="23" t="inlineStr">
        <is>
          <t>Dysregulation of brain and choroid plexus cell types in severe COVID-19</t>
        </is>
      </c>
      <c r="K2" s="23" t="inlineStr">
        <is>
          <t>严重COVID-19中脑和脉络丛细胞类型的失调</t>
        </is>
      </c>
      <c r="L2" s="23" t="inlineStr">
        <is>
          <t>2024</t>
        </is>
      </c>
      <c r="M2" s="23" t="inlineStr">
        <is>
          <t>10.1038/s41586-021-03710-0</t>
        </is>
      </c>
      <c r="N2" s="23" t="inlineStr">
        <is>
          <t>choroid plexus</t>
        </is>
      </c>
      <c r="O2" s="23" t="inlineStr">
        <is>
          <t>COVID-19|aspiration pneumonia|influenza|malignant pancreatic neoplasm</t>
        </is>
      </c>
      <c r="P2" s="23" t="inlineStr">
        <is>
          <t>10x 3' v3</t>
        </is>
      </c>
      <c r="Q2" s="23" t="inlineStr">
        <is>
          <t>nucleus</t>
        </is>
      </c>
      <c r="R2" s="25" t="n">
        <v>27092</v>
      </c>
      <c r="S2" s="23" t="inlineStr">
        <is>
          <t>glial cell</t>
        </is>
      </c>
      <c r="T2" s="23" t="inlineStr">
        <is>
          <t>SOX10;PLP1;S100B;GFRA3;FABP7</t>
        </is>
      </c>
      <c r="U2" s="23" t="inlineStr">
        <is>
          <t>神经-免疫通讯;炎症</t>
        </is>
      </c>
      <c r="V2" s="23" t="inlineStr">
        <is>
          <t>https://datasets.cellxgene.cziscience.com/6dd04cc1-f4b6-49c4-b34c-56508ea8af8c.h5ad</t>
        </is>
      </c>
      <c r="W2" s="23" t="inlineStr">
        <is>
          <t>https://cellxgene.cziscience.com/collections/59c9ecfe-c47d-4a6a-bab0-895cc0c1942b</t>
        </is>
      </c>
      <c r="X2" s="23" t="n">
        <v>1</v>
      </c>
    </row>
    <row r="3">
      <c r="A3" s="23" t="inlineStr">
        <is>
          <t>人 Human</t>
        </is>
      </c>
      <c r="B3" s="24" t="inlineStr">
        <is>
          <t>周围神经节/神经干</t>
        </is>
      </c>
      <c r="C3" s="23" t="inlineStr">
        <is>
          <t>cranial nerve II</t>
        </is>
      </c>
      <c r="D3" s="23" t="inlineStr">
        <is>
          <t>Homo sapiens</t>
        </is>
      </c>
      <c r="E3" s="23" t="inlineStr">
        <is>
          <t>L2</t>
        </is>
      </c>
      <c r="F3" s="23" t="inlineStr">
        <is>
          <t>L2:Myelinating Schwann cell/Non-myelinating Schwann cell</t>
        </is>
      </c>
      <c r="G3" s="23" t="inlineStr"/>
      <c r="H3" s="23" t="inlineStr">
        <is>
          <t>05e3d0fc-c9dd-4f14-9163-2b242b3bb5c2</t>
        </is>
      </c>
      <c r="I3" s="23" t="inlineStr">
        <is>
          <t>CELLxGENE:3c364ffe-d599-44d5-a77f-6c5fd7038cf6</t>
        </is>
      </c>
      <c r="J3" s="23" t="inlineStr">
        <is>
          <t>Single cell atlas of the human optic nerve</t>
        </is>
      </c>
      <c r="K3" s="23" t="inlineStr">
        <is>
          <t>人视神经单细胞图谱</t>
        </is>
      </c>
      <c r="L3" s="23" t="inlineStr">
        <is>
          <t>2025</t>
        </is>
      </c>
      <c r="M3" s="23" t="inlineStr">
        <is>
          <t>not reported in repository metadata</t>
        </is>
      </c>
      <c r="N3" s="23" t="inlineStr">
        <is>
          <t>cranial nerve II|optic disc</t>
        </is>
      </c>
      <c r="O3" s="23" t="inlineStr">
        <is>
          <t>normal</t>
        </is>
      </c>
      <c r="P3" s="23" t="inlineStr">
        <is>
          <t>10x 3' v3</t>
        </is>
      </c>
      <c r="Q3" s="23" t="inlineStr">
        <is>
          <t>nucleus</t>
        </is>
      </c>
      <c r="R3" s="25" t="n">
        <v>959629</v>
      </c>
      <c r="S3" s="23" t="inlineStr">
        <is>
          <t>microglial cell|myelinating Schwann cell|non-myelinating Schwann cell</t>
        </is>
      </c>
      <c r="T3" s="23" t="inlineStr">
        <is>
          <t>SOX10;MPZ;PLP1;MBP;PMP22</t>
        </is>
      </c>
      <c r="U3" s="23" t="inlineStr">
        <is>
          <t>针灸作用相关;外周神经再生</t>
        </is>
      </c>
      <c r="V3" s="23" t="inlineStr">
        <is>
          <t>https://datasets.cellxgene.cziscience.com/b27057d6-a6a0-40e8-a4ba-5373a03746d2.h5ad</t>
        </is>
      </c>
      <c r="W3" s="23" t="inlineStr">
        <is>
          <t>https://cellxgene.cziscience.com/collections/05e3d0fc-c9dd-4f14-9163-2b242b3bb5c2</t>
        </is>
      </c>
      <c r="X3" s="23" t="n">
        <v>1</v>
      </c>
    </row>
    <row r="4">
      <c r="A4" s="23" t="inlineStr">
        <is>
          <t>人 Human</t>
        </is>
      </c>
      <c r="B4" s="24" t="inlineStr">
        <is>
          <t>周围神经节/神经干</t>
        </is>
      </c>
      <c r="C4" s="23" t="inlineStr">
        <is>
          <t>dorsal root ganglion</t>
        </is>
      </c>
      <c r="D4" s="23" t="inlineStr">
        <is>
          <t>Homo sapiens</t>
        </is>
      </c>
      <c r="E4" s="23" t="inlineStr">
        <is>
          <t>L1</t>
        </is>
      </c>
      <c r="F4" s="23" t="inlineStr">
        <is>
          <t>L1:Sensory neuron (DRG)</t>
        </is>
      </c>
      <c r="G4" s="23" t="inlineStr"/>
      <c r="H4" s="23" t="inlineStr">
        <is>
          <t>741abcf7-af4b-425d-88db-7e0b0d845719</t>
        </is>
      </c>
      <c r="I4" s="23" t="inlineStr">
        <is>
          <t>CELLxGENE:d973ea15-3722-4bc8-a0e8-1d956d26e203</t>
        </is>
      </c>
      <c r="J4" s="23" t="inlineStr">
        <is>
          <t>Single-nucleus transcriptomic analysis of human dorsal root ganglion neurons.</t>
        </is>
      </c>
      <c r="K4" s="23" t="inlineStr">
        <is>
          <t>人背根神经节神经元的单核转录组分析</t>
        </is>
      </c>
      <c r="L4" s="23" t="inlineStr">
        <is>
          <t>2025</t>
        </is>
      </c>
      <c r="M4" s="23" t="inlineStr">
        <is>
          <t>10.7554/eLife.71752</t>
        </is>
      </c>
      <c r="N4" s="23" t="inlineStr">
        <is>
          <t>dorsal root ganglion</t>
        </is>
      </c>
      <c r="O4" s="23" t="inlineStr">
        <is>
          <t>normal</t>
        </is>
      </c>
      <c r="P4" s="23" t="inlineStr">
        <is>
          <t>10x 3' v2|10x 3' v3</t>
        </is>
      </c>
      <c r="Q4" s="23" t="inlineStr">
        <is>
          <t>nucleus</t>
        </is>
      </c>
      <c r="R4" s="25" t="n">
        <v>1837</v>
      </c>
      <c r="S4" s="23" t="inlineStr">
        <is>
          <t>sensory neuron of dorsal root ganglion</t>
        </is>
      </c>
      <c r="T4" s="23" t="inlineStr">
        <is>
          <t>RBFOX3;TUBB3;SNAP25;PRPH;PHOX2B</t>
        </is>
      </c>
      <c r="U4" s="23" t="inlineStr">
        <is>
          <t>针灸作用相关</t>
        </is>
      </c>
      <c r="V4" s="23" t="inlineStr">
        <is>
          <t>https://datasets.cellxgene.cziscience.com/cf1271ef-08be-46dd-b39e-90c3aa72755e.h5ad</t>
        </is>
      </c>
      <c r="W4" s="23" t="inlineStr">
        <is>
          <t>https://cellxgene.cziscience.com/collections/741abcf7-af4b-425d-88db-7e0b0d845719</t>
        </is>
      </c>
      <c r="X4" s="23" t="n">
        <v>1</v>
      </c>
    </row>
    <row r="5">
      <c r="A5" s="23" t="inlineStr">
        <is>
          <t>人 Human</t>
        </is>
      </c>
      <c r="B5" s="26" t="inlineStr">
        <is>
          <t>肠神经/消化道</t>
        </is>
      </c>
      <c r="C5" s="23" t="inlineStr">
        <is>
          <t>ascending colon</t>
        </is>
      </c>
      <c r="D5" s="23" t="inlineStr">
        <is>
          <t>Homo sapiens</t>
        </is>
      </c>
      <c r="E5" s="23" t="inlineStr">
        <is>
          <t>L1;L2;L4</t>
        </is>
      </c>
      <c r="F5" s="23" t="inlineStr">
        <is>
          <t>L1:Afferent neuron/Enteric neuron/Inhibitory motor neuron/Interneuron (ENS)/Motor neuron | L2:Enteroglial cell | L4:Enteroendocrine cell/Type EC enteroendocrine cell/Type G enteroendocrine cell/Type X enteroendocrine cell</t>
        </is>
      </c>
      <c r="G5" s="23" t="inlineStr"/>
      <c r="H5" s="23" t="inlineStr">
        <is>
          <t>f11cb29c-b546-4738-9bd8-66ea621a7bd5</t>
        </is>
      </c>
      <c r="I5" s="23" t="inlineStr">
        <is>
          <t>CELLxGENE:19053a82-9c89-4fb8-bd19-d7b1800b0b7b</t>
        </is>
      </c>
      <c r="J5" s="23" t="inlineStr">
        <is>
          <t>Single-cell integration reveals metaplasia in inflammatory gut diseases</t>
        </is>
      </c>
      <c r="K5" s="23" t="inlineStr">
        <is>
          <t>单细胞整合揭示炎症性肠道疾病中的化生</t>
        </is>
      </c>
      <c r="L5" s="23" t="inlineStr">
        <is>
          <t>2025</t>
        </is>
      </c>
      <c r="M5" s="23" t="inlineStr">
        <is>
          <t>10.1038/s41586-024-07571-1</t>
        </is>
      </c>
      <c r="N5" s="23" t="inlineStr">
        <is>
          <t>ascending colon|body of stomach|buccal mucosa|caecum|caecum epithelium|cecum mucosa|colon|colonic epithelium|colonic mucosa|descending colon|duodenal epithelium|duodenum|epithelium of esophagus|epithelium of rectum|epithelium of small intestine|epithelium of stomach|esophagus|gingiva|ileal epithelium|ileum|ileum lamina propria|intestine|jejunum|labial gland|lamina propria of mucosa of colon|lamina propria of small intestine|mesenteric lymph node|mucosa of sigmoid colon|mucosa of transverse colon|parotid gland|periodontium|pyloric antrum|pylorus|rectosigmoid junction|rectum|sigmoid colon|small intestine|stomach|transverse colon|vermiform appendix</t>
        </is>
      </c>
      <c r="O5" s="23" t="inlineStr">
        <is>
          <t>Crohn disease|celiac disease|colorectal cancer|gastric cancer|inflammatory bowel disease|normal|ulcerative colitis</t>
        </is>
      </c>
      <c r="P5" s="23" t="inlineStr">
        <is>
          <t>10x 3' v1|10x 3' v2|10x 3' v3|10x 5' transcription profiling|10x 5' v1|10x 5' v2</t>
        </is>
      </c>
      <c r="Q5" s="23" t="inlineStr">
        <is>
          <t>cell</t>
        </is>
      </c>
      <c r="R5" s="25" t="n">
        <v>1596200</v>
      </c>
      <c r="S5" s="23" t="inlineStr">
        <is>
          <t>afferent neuron|enteric neuron|enteroendocrine cell|enteroglial cell|inhibitory motor neuron|interneuron|motor neuron|type EC enteroendocrine cell|type G enteroendocrine cell|type X enteroendocrine cell</t>
        </is>
      </c>
      <c r="T5" s="23" t="inlineStr">
        <is>
          <t>SOX10;PLP1;S100B;GFRA3;FABP7</t>
        </is>
      </c>
      <c r="U5" s="23" t="inlineStr">
        <is>
          <t>神经-免疫通讯;炎症;伤口修复</t>
        </is>
      </c>
      <c r="V5" s="23" t="inlineStr">
        <is>
          <t>https://datasets.cellxgene.cziscience.com/757945c8-a916-431d-aceb-1afbc80a7c55.h5ad</t>
        </is>
      </c>
      <c r="W5" s="23" t="inlineStr">
        <is>
          <t>https://cellxgene.cziscience.com/collections/f11cb29c-b546-4738-9bd8-66ea621a7bd5</t>
        </is>
      </c>
      <c r="X5" s="23" t="n">
        <v>11</v>
      </c>
    </row>
    <row r="6">
      <c r="A6" s="23" t="inlineStr">
        <is>
          <t>人 Human</t>
        </is>
      </c>
      <c r="B6" s="26" t="inlineStr">
        <is>
          <t>肠神经/消化道</t>
        </is>
      </c>
      <c r="C6" s="23" t="inlineStr">
        <is>
          <t>ascending colon</t>
        </is>
      </c>
      <c r="D6" s="23" t="inlineStr">
        <is>
          <t>Homo sapiens</t>
        </is>
      </c>
      <c r="E6" s="23" t="inlineStr">
        <is>
          <t>L1;L4</t>
        </is>
      </c>
      <c r="F6" s="23" t="inlineStr">
        <is>
          <t>L1:Inhibitory motor neuron/Interneuron (ENS)/Motor neuron | L4:Enteroendocrine cell/Type D enteroendocrine cell/Type EC enteroendocrine cell/Type L enteroendocrine cell</t>
        </is>
      </c>
      <c r="G6" s="23" t="inlineStr">
        <is>
          <t>含泛glial(疑肠胶质,可能L2)</t>
        </is>
      </c>
      <c r="H6" s="23" t="inlineStr">
        <is>
          <t>e33ffcd3-7cbf-4b8c-b0f4-85587ad5019a</t>
        </is>
      </c>
      <c r="I6" s="23" t="inlineStr">
        <is>
          <t>CELLxGENE:80a2c5b6-02e7-4fc0-9f12-179f5247c1bc</t>
        </is>
      </c>
      <c r="J6" s="23" t="inlineStr">
        <is>
          <t>Cells of the human intestinal tract mapped across space and time</t>
        </is>
      </c>
      <c r="K6" s="23" t="inlineStr">
        <is>
          <t>人类肠道细胞在空间和时间上的图谱</t>
        </is>
      </c>
      <c r="L6" s="23" t="inlineStr">
        <is>
          <t>2022</t>
        </is>
      </c>
      <c r="M6" s="23" t="inlineStr">
        <is>
          <t>10.1038/s41586-021-03852-1</t>
        </is>
      </c>
      <c r="N6" s="23" t="inlineStr">
        <is>
          <t>ascending colon|caecum|colon|descending colon|duodenum|ileum|jejunum|large intestine|lymph node|mesenteric lymph node|rectum|sigmoid colon|small intestine|transverse colon|vermiform appendix</t>
        </is>
      </c>
      <c r="O6" s="23" t="inlineStr">
        <is>
          <t>Crohn disease|normal</t>
        </is>
      </c>
      <c r="P6" s="23" t="inlineStr">
        <is>
          <t>10x 3' v2|10x 5' v2</t>
        </is>
      </c>
      <c r="Q6" s="23" t="inlineStr">
        <is>
          <t>cell</t>
        </is>
      </c>
      <c r="R6" s="25" t="n">
        <v>428469</v>
      </c>
      <c r="S6" s="23" t="inlineStr">
        <is>
          <t>enteroendocrine cell|glial cell|inhibitory motor neuron|interneuron|motor neuron|primary sensory neuron (sensu Teleostei)|type D enteroendocrine cell|type EC enteroendocrine cell|type I enteroendocrine cell|type L enteroendocrine cell|type N enteroendocrine cell</t>
        </is>
      </c>
      <c r="T6" s="23" t="inlineStr">
        <is>
          <t>SOX10;PLP1;S100B;GFRA3;FABP7</t>
        </is>
      </c>
      <c r="U6" s="23" t="inlineStr">
        <is>
          <t>针灸作用相关;神经-免疫通讯;炎症</t>
        </is>
      </c>
      <c r="V6" s="23" t="inlineStr">
        <is>
          <t>https://datasets.cellxgene.cziscience.com/47ae9727-f767-46b8-9d56-a25ddcd9ae94.h5ad</t>
        </is>
      </c>
      <c r="W6" s="23" t="inlineStr">
        <is>
          <t>https://cellxgene.cziscience.com/collections/e33ffcd3-7cbf-4b8c-b0f4-85587ad5019a</t>
        </is>
      </c>
      <c r="X6" s="23" t="n">
        <v>1</v>
      </c>
    </row>
    <row r="7">
      <c r="A7" s="23" t="inlineStr">
        <is>
          <t>人 Human</t>
        </is>
      </c>
      <c r="B7" s="26" t="inlineStr">
        <is>
          <t>肠神经/消化道</t>
        </is>
      </c>
      <c r="C7" s="23" t="inlineStr">
        <is>
          <t>ascending colon</t>
        </is>
      </c>
      <c r="D7" s="23" t="inlineStr">
        <is>
          <t>Homo sapiens</t>
        </is>
      </c>
      <c r="E7" s="23" t="inlineStr">
        <is>
          <t>L2;L4</t>
        </is>
      </c>
      <c r="F7" s="23" t="inlineStr">
        <is>
          <t>L2:Schwann cell | L4:Enteroendocrine cell of colon</t>
        </is>
      </c>
      <c r="G7" s="23" t="inlineStr"/>
      <c r="H7" s="23" t="inlineStr">
        <is>
          <t>3a844375-60ea-474b-adf1-98e76928baee</t>
        </is>
      </c>
      <c r="I7" s="23" t="inlineStr">
        <is>
          <t>CELLxGENE:05a8c945-bc12-414f-960d-a31943bbcdd1</t>
        </is>
      </c>
      <c r="J7" s="23" t="inlineStr">
        <is>
          <t>Single-cell integration and multi-modal profiling reveals phenotypes and spatial organization of neutrophils in colorectal cancer</t>
        </is>
      </c>
      <c r="K7" s="23" t="inlineStr">
        <is>
          <t>单细胞整合与多模态分析揭示结直肠癌中中性粒细胞的表型及空间组织</t>
        </is>
      </c>
      <c r="L7" s="23" t="inlineStr">
        <is>
          <t>2026</t>
        </is>
      </c>
      <c r="M7" s="23" t="inlineStr">
        <is>
          <t>10.1016/j.ccell.2025.12.003</t>
        </is>
      </c>
      <c r="N7" s="23" t="inlineStr">
        <is>
          <t>ascending colon|blood|caecum|caecum epithelium|colon|colonic epithelium|colorectal mucosa|colorectum|descending colon|hepatic cecum|hepatic flexure of colon|left colon|liver|lymph node|mesenteric lymph node|mucosa of transverse colon|rectosigmoid junction|rectum|right colon|sigmoid colon|splenic flexure of colon|transverse colon</t>
        </is>
      </c>
      <c r="O7" s="23" t="inlineStr">
        <is>
          <t>colon adenocarcinoma|colon adenocarcinoma || mucinous adenocarcinoma|colon adenoma|colon adenoma || colorectal tubulovillous adenoma|colon adenoma || tubular adenoma|colon carcinoma|colon sessile serrated adenoma/polyp|colorectal adenocarcinoma|colorectal cancer|colorectal neoplasm|colorectal tubulovillous adenoma|hyperplastic polyp|metastasis from malignant tumor of colon|mucinous adenocarcinoma|normal|polyp of colon|rectum adenocarcinoma|tubular adenoma</t>
        </is>
      </c>
      <c r="P7" s="23" t="inlineStr">
        <is>
          <t>10x 3' v1|10x 3' v2|10x 3' v3|10x 5' transcription profiling|10x 5' v1|10x 5' v2|BD Rhapsody Whole Transcriptome Analysis|Fluidigm C1-based SMARTer library preparation|GEXSCOPE technology|Smart-seq2|TruDrop</t>
        </is>
      </c>
      <c r="Q7" s="23" t="inlineStr">
        <is>
          <t>cell</t>
        </is>
      </c>
      <c r="R7" s="25" t="n">
        <v>3790266</v>
      </c>
      <c r="S7" s="23" t="inlineStr">
        <is>
          <t>Schwann cell|enteroendocrine cell of colon</t>
        </is>
      </c>
      <c r="T7" s="23" t="inlineStr">
        <is>
          <t>SOX10;MPZ;PLP1;MBP;PMP22</t>
        </is>
      </c>
      <c r="U7" s="23" t="inlineStr">
        <is>
          <t>神经-免疫通讯;外周神经再生</t>
        </is>
      </c>
      <c r="V7" s="23" t="inlineStr">
        <is>
          <t>https://datasets.cellxgene.cziscience.com/4a8b9568-965e-46b8-a427-baab6bf018e5.h5ad</t>
        </is>
      </c>
      <c r="W7" s="23" t="inlineStr">
        <is>
          <t>https://cellxgene.cziscience.com/collections/3a844375-60ea-474b-adf1-98e76928baee</t>
        </is>
      </c>
      <c r="X7" s="23" t="n">
        <v>1</v>
      </c>
    </row>
    <row r="8">
      <c r="A8" s="23" t="inlineStr">
        <is>
          <t>人 Human</t>
        </is>
      </c>
      <c r="B8" s="26" t="inlineStr">
        <is>
          <t>肠神经/消化道</t>
        </is>
      </c>
      <c r="C8" s="23" t="inlineStr">
        <is>
          <t>ascending colon</t>
        </is>
      </c>
      <c r="D8" s="23" t="inlineStr">
        <is>
          <t>Homo sapiens</t>
        </is>
      </c>
      <c r="E8" s="23" t="inlineStr">
        <is>
          <t>L4</t>
        </is>
      </c>
      <c r="F8" s="23" t="inlineStr">
        <is>
          <t>L4:Enteroendocrine cell of colon/Enteroendocrine cell of small intestine</t>
        </is>
      </c>
      <c r="G8" s="23" t="inlineStr"/>
      <c r="H8" s="23" t="inlineStr">
        <is>
          <t>64b24fda-6591-4ce1-89e7-33eb6c43ad7b</t>
        </is>
      </c>
      <c r="I8" s="23" t="inlineStr">
        <is>
          <t>CELLxGENE:019c7af2-c827-4454-9970-44d5e39ce068</t>
        </is>
      </c>
      <c r="J8" s="23" t="inlineStr">
        <is>
          <t>A proximal-to-distal survey of healthy adult human small intestine and colon epithelium by single-cell transcriptomics</t>
        </is>
      </c>
      <c r="K8" s="23" t="inlineStr">
        <is>
          <t>通过单细胞转录组学对健康成人小肠和结肠上皮进行近端到远端的调查</t>
        </is>
      </c>
      <c r="L8" s="23" t="inlineStr">
        <is>
          <t>2023</t>
        </is>
      </c>
      <c r="M8" s="23" t="inlineStr">
        <is>
          <t>10.1016/j.jcmgh.2022.02.007</t>
        </is>
      </c>
      <c r="N8" s="23" t="inlineStr">
        <is>
          <t>ascending colon|descending colon|duodenum|ileum|jejunum|transverse colon</t>
        </is>
      </c>
      <c r="O8" s="23" t="inlineStr">
        <is>
          <t>normal</t>
        </is>
      </c>
      <c r="P8" s="23" t="inlineStr">
        <is>
          <t>10x 3' v3</t>
        </is>
      </c>
      <c r="Q8" s="23" t="inlineStr">
        <is>
          <t>cell</t>
        </is>
      </c>
      <c r="R8" s="25" t="n">
        <v>12590</v>
      </c>
      <c r="S8" s="23" t="inlineStr">
        <is>
          <t>enteroendocrine cell of colon|enteroendocrine cell of small intestine</t>
        </is>
      </c>
      <c r="T8" s="23" t="inlineStr">
        <is>
          <t>CHGA;CHGB;NEUROD1;PAX6;GCG</t>
        </is>
      </c>
      <c r="U8" s="23" t="inlineStr">
        <is>
          <t>general peripheral neurobiology</t>
        </is>
      </c>
      <c r="V8" s="23" t="inlineStr">
        <is>
          <t>https://datasets.cellxgene.cziscience.com/487be01d-3df6-417f-83c5-ad2bff5c46e7.h5ad</t>
        </is>
      </c>
      <c r="W8" s="23" t="inlineStr">
        <is>
          <t>https://cellxgene.cziscience.com/collections/64b24fda-6591-4ce1-89e7-33eb6c43ad7b</t>
        </is>
      </c>
      <c r="X8" s="23" t="n">
        <v>1</v>
      </c>
    </row>
    <row r="9">
      <c r="A9" s="23" t="inlineStr">
        <is>
          <t>人 Human</t>
        </is>
      </c>
      <c r="B9" s="26" t="inlineStr">
        <is>
          <t>肠神经/消化道</t>
        </is>
      </c>
      <c r="C9" s="23" t="inlineStr">
        <is>
          <t>ascending colon</t>
        </is>
      </c>
      <c r="D9" s="23" t="inlineStr">
        <is>
          <t>Homo sapiens</t>
        </is>
      </c>
      <c r="E9" s="23" t="inlineStr">
        <is>
          <t>L4</t>
        </is>
      </c>
      <c r="F9" s="23" t="inlineStr">
        <is>
          <t>L4:Enteroendocrine cell</t>
        </is>
      </c>
      <c r="G9" s="23" t="inlineStr">
        <is>
          <t>含泛glial(疑肠胶质,可能L2)</t>
        </is>
      </c>
      <c r="H9" s="23" t="inlineStr">
        <is>
          <t>854c0855-23ad-4362-8b77-6b1639e7a9fc</t>
        </is>
      </c>
      <c r="I9" s="23" t="inlineStr">
        <is>
          <t>CELLxGENE:cbec7853-d996-4493-bbf8-5d82857a4e51</t>
        </is>
      </c>
      <c r="J9" s="23" t="inlineStr">
        <is>
          <t>Automatic cell-type harmonization and integration across Human Cell Atlas datasets</t>
        </is>
      </c>
      <c r="K9" s="23" t="inlineStr">
        <is>
          <t>人类细胞图谱数据集间细胞类型的自动协调与整合</t>
        </is>
      </c>
      <c r="L9" s="23" t="inlineStr">
        <is>
          <t>2024</t>
        </is>
      </c>
      <c r="M9" s="23" t="inlineStr">
        <is>
          <t>10.1016/j.cell.2023.11.026</t>
        </is>
      </c>
      <c r="N9" s="23" t="inlineStr">
        <is>
          <t>ascending colon|caecum|caecum epithelium|caecum lamina propria|colonic epithelium|descending colon|duodenum|ileum|jejunum|lamina propria of mucosa of colon|large intestine|rectum|sigmoid colon|small intestine|transverse colon|transverse colon epithelium|transverse colon lamina propria|vermiform appendix</t>
        </is>
      </c>
      <c r="O9" s="23" t="inlineStr">
        <is>
          <t>normal</t>
        </is>
      </c>
      <c r="P9" s="23" t="inlineStr">
        <is>
          <t>10x 3' v1|10x 3' v2|10x 3' v3|10x 5' v2</t>
        </is>
      </c>
      <c r="Q9" s="23" t="inlineStr">
        <is>
          <t>cell</t>
        </is>
      </c>
      <c r="R9" s="25" t="n">
        <v>263275</v>
      </c>
      <c r="S9" s="23" t="inlineStr">
        <is>
          <t>enteroendocrine cell|glial cell</t>
        </is>
      </c>
      <c r="T9" s="23" t="inlineStr">
        <is>
          <t>SOX10;PLP1;S100B;GFRA3;FABP7</t>
        </is>
      </c>
      <c r="U9" s="23" t="inlineStr">
        <is>
          <t>general peripheral neurobiology</t>
        </is>
      </c>
      <c r="V9" s="23" t="inlineStr">
        <is>
          <t>https://datasets.cellxgene.cziscience.com/0add1772-6d6e-43e1-8702-93fdf84e4dbc.h5ad</t>
        </is>
      </c>
      <c r="W9" s="23" t="inlineStr">
        <is>
          <t>https://cellxgene.cziscience.com/collections/854c0855-23ad-4362-8b77-6b1639e7a9fc</t>
        </is>
      </c>
      <c r="X9" s="23" t="n">
        <v>2</v>
      </c>
    </row>
    <row r="10">
      <c r="A10" s="23" t="inlineStr">
        <is>
          <t>人 Human</t>
        </is>
      </c>
      <c r="B10" s="26" t="inlineStr">
        <is>
          <t>肠神经/消化道</t>
        </is>
      </c>
      <c r="C10" s="23" t="inlineStr">
        <is>
          <t>ascending colon</t>
        </is>
      </c>
      <c r="D10" s="23" t="inlineStr">
        <is>
          <t>Homo sapiens</t>
        </is>
      </c>
      <c r="E10" s="23" t="inlineStr">
        <is>
          <t>L4</t>
        </is>
      </c>
      <c r="F10" s="23" t="inlineStr">
        <is>
          <t>L4:Intestinal enteroendocrine cell</t>
        </is>
      </c>
      <c r="G10" s="23" t="inlineStr"/>
      <c r="H10" s="23" t="inlineStr">
        <is>
          <t>a48f5033-3438-4550-8574-cdff3263fdfd</t>
        </is>
      </c>
      <c r="I10" s="23" t="inlineStr">
        <is>
          <t>CELLxGENE:e40c6272-af77-4a10-9385-62a398884f27</t>
        </is>
      </c>
      <c r="J10" s="23" t="inlineStr">
        <is>
          <t>HTAN VUMC - Differential pre-malignant programs and microenvironment chart distinct paths to malignancy in human colorectal polyps</t>
        </is>
      </c>
      <c r="K10" s="23" t="inlineStr">
        <is>
          <t>HTAN VUMC - 差异性的癌前程序与微环境描绘了人类结直肠息肉中通向恶性肿瘤的不同路径</t>
        </is>
      </c>
      <c r="L10" s="23" t="inlineStr">
        <is>
          <t>2022</t>
        </is>
      </c>
      <c r="M10" s="23" t="inlineStr">
        <is>
          <t>10.1016/j.cell.2021.11.031</t>
        </is>
      </c>
      <c r="N10" s="23" t="inlineStr">
        <is>
          <t>ascending colon|descending colon|hepatic cecum|hepatic flexure of colon|rectum|sigmoid colon|transverse colon</t>
        </is>
      </c>
      <c r="O10" s="23" t="inlineStr">
        <is>
          <t>colon sessile serrated adenoma/polyp|colorectal neoplasm|hyperplastic polyp|normal|tubular adenoma|tubulovillous adenoma</t>
        </is>
      </c>
      <c r="P10" s="23" t="inlineStr">
        <is>
          <t>TruDrop</t>
        </is>
      </c>
      <c r="Q10" s="23" t="inlineStr">
        <is>
          <t>cell</t>
        </is>
      </c>
      <c r="R10" s="25" t="n">
        <v>65088</v>
      </c>
      <c r="S10" s="23" t="inlineStr">
        <is>
          <t>intestinal enteroendocrine cell</t>
        </is>
      </c>
      <c r="T10" s="23" t="inlineStr">
        <is>
          <t>CHGA;CHGB;NEUROD1;PAX6;GCG</t>
        </is>
      </c>
      <c r="U10" s="23" t="inlineStr">
        <is>
          <t>general peripheral neurobiology</t>
        </is>
      </c>
      <c r="V10" s="23" t="inlineStr">
        <is>
          <t>https://datasets.cellxgene.cziscience.com/9da034b0-de48-47ab-97f6-21b5f2dbd1a4.h5ad</t>
        </is>
      </c>
      <c r="W10" s="23" t="inlineStr">
        <is>
          <t>https://cellxgene.cziscience.com/collections/a48f5033-3438-4550-8574-cdff3263fdfd</t>
        </is>
      </c>
      <c r="X10" s="23" t="n">
        <v>2</v>
      </c>
    </row>
    <row r="11">
      <c r="A11" s="23" t="inlineStr">
        <is>
          <t>人 Human</t>
        </is>
      </c>
      <c r="B11" s="26" t="inlineStr">
        <is>
          <t>肠神经/消化道</t>
        </is>
      </c>
      <c r="C11" s="23" t="inlineStr">
        <is>
          <t>blood</t>
        </is>
      </c>
      <c r="D11" s="23" t="inlineStr">
        <is>
          <t>Homo sapiens</t>
        </is>
      </c>
      <c r="E11" s="23" t="inlineStr">
        <is>
          <t>L4</t>
        </is>
      </c>
      <c r="F11" s="23" t="inlineStr">
        <is>
          <t>L4:Enterochromaffin-like cell/Intestinal enteroendocrine cell</t>
        </is>
      </c>
      <c r="G11" s="23" t="inlineStr">
        <is>
          <t>含泛glial(疑肠胶质,可能L2)</t>
        </is>
      </c>
      <c r="H11" s="23" t="inlineStr">
        <is>
          <t>7f7fdf50-aa0e-4a6f-979c-53655cac9d5d</t>
        </is>
      </c>
      <c r="I11" s="23" t="inlineStr">
        <is>
          <t>CELLxGENE:0e5c75da-7bc9-4a2c-83fc-ef1e378bd5f9</t>
        </is>
      </c>
      <c r="J11" s="23" t="inlineStr">
        <is>
          <t>IBDverse: Cell type-resolved genetic variation shapes inflammatory bowel disease risk</t>
        </is>
      </c>
      <c r="K11" s="23" t="inlineStr">
        <is>
          <t>IBDverse：细胞类型解析的遗传变异塑造炎症性肠病风险</t>
        </is>
      </c>
      <c r="L11" s="23" t="inlineStr">
        <is>
          <t>2026</t>
        </is>
      </c>
      <c r="M11" s="23" t="inlineStr">
        <is>
          <t>10.1038/s41586-026-10627-z</t>
        </is>
      </c>
      <c r="N11" s="23" t="inlineStr">
        <is>
          <t>blood|ileum|rectum</t>
        </is>
      </c>
      <c r="O11" s="23" t="inlineStr">
        <is>
          <t>Crohn disease|normal</t>
        </is>
      </c>
      <c r="P11" s="23" t="inlineStr">
        <is>
          <t>10x 3' v3</t>
        </is>
      </c>
      <c r="Q11" s="23" t="inlineStr">
        <is>
          <t>cell</t>
        </is>
      </c>
      <c r="R11" s="25" t="n">
        <v>1852681</v>
      </c>
      <c r="S11" s="23" t="inlineStr">
        <is>
          <t>enterochromaffin-like cell|glial cell|intestinal enteroendocrine cell</t>
        </is>
      </c>
      <c r="T11" s="23" t="inlineStr">
        <is>
          <t>SOX10;PLP1;S100B;GFRA3;FABP7</t>
        </is>
      </c>
      <c r="U11" s="23" t="inlineStr">
        <is>
          <t>神经-免疫通讯;炎症</t>
        </is>
      </c>
      <c r="V11" s="23" t="inlineStr">
        <is>
          <t>https://datasets.cellxgene.cziscience.com/e3460364-c300-4616-9923-3a0224894998.h5ad</t>
        </is>
      </c>
      <c r="W11" s="23" t="inlineStr">
        <is>
          <t>https://cellxgene.cziscience.com/collections/7f7fdf50-aa0e-4a6f-979c-53655cac9d5d</t>
        </is>
      </c>
      <c r="X11" s="23" t="n">
        <v>1</v>
      </c>
    </row>
    <row r="12">
      <c r="A12" s="23" t="inlineStr">
        <is>
          <t>人 Human</t>
        </is>
      </c>
      <c r="B12" s="26" t="inlineStr">
        <is>
          <t>肠神经/消化道</t>
        </is>
      </c>
      <c r="C12" s="23" t="inlineStr">
        <is>
          <t>body of stomach</t>
        </is>
      </c>
      <c r="D12" s="23" t="inlineStr">
        <is>
          <t>Homo sapiens</t>
        </is>
      </c>
      <c r="E12" s="23" t="inlineStr">
        <is>
          <t>L1;L4</t>
        </is>
      </c>
      <c r="F12" s="23" t="inlineStr">
        <is>
          <t>L1:Peripheral nervous system neuron | L4:Enteroendocrine cell</t>
        </is>
      </c>
      <c r="G12" s="23" t="inlineStr">
        <is>
          <t>含泛glial(疑肠胶质,可能L2)</t>
        </is>
      </c>
      <c r="H12" s="23" t="inlineStr">
        <is>
          <t>dfc09a93-bce0-4c77-893d-e153d1b7f9fa</t>
        </is>
      </c>
      <c r="I12" s="23" t="inlineStr">
        <is>
          <t>CELLxGENE:9968be68-ab65-4a38-9e1a-c9b6abece194</t>
        </is>
      </c>
      <c r="J12" s="23" t="inlineStr">
        <is>
          <t>Charting human development using a multi-endodermal organ atlas and organoid models</t>
        </is>
      </c>
      <c r="K12" s="23" t="inlineStr">
        <is>
          <t>利用多内胚层器官图谱与类器官模型描绘人类发育过程</t>
        </is>
      </c>
      <c r="L12" s="23" t="inlineStr">
        <is>
          <t>2023</t>
        </is>
      </c>
      <c r="M12" s="23" t="inlineStr">
        <is>
          <t>10.1016/j.cell.2021.04.028</t>
        </is>
      </c>
      <c r="N12" s="23" t="inlineStr">
        <is>
          <t>body of stomach|colon|duodenum|epithelium of trachea|esophagus|ileum|jejunum|liver|lung|pyloric antrum|small intestine|stomach</t>
        </is>
      </c>
      <c r="O12" s="23" t="inlineStr">
        <is>
          <t>normal</t>
        </is>
      </c>
      <c r="P12" s="23" t="inlineStr">
        <is>
          <t>10x 3' v2|10x 3' v3</t>
        </is>
      </c>
      <c r="Q12" s="23" t="inlineStr">
        <is>
          <t>cell</t>
        </is>
      </c>
      <c r="R12" s="25" t="n">
        <v>155232</v>
      </c>
      <c r="S12" s="23" t="inlineStr">
        <is>
          <t>enteroendocrine cell|glial cell|peripheral nervous system neuron</t>
        </is>
      </c>
      <c r="T12" s="23" t="inlineStr">
        <is>
          <t>SOX10;PLP1;S100B;GFRA3;FABP7</t>
        </is>
      </c>
      <c r="U12" s="23" t="inlineStr">
        <is>
          <t>general peripheral neurobiology</t>
        </is>
      </c>
      <c r="V12" s="23" t="inlineStr">
        <is>
          <t>https://datasets.cellxgene.cziscience.com/00b80c9b-8dbd-45c1-8347-51fbe8bd150e.h5ad</t>
        </is>
      </c>
      <c r="W12" s="23" t="inlineStr">
        <is>
          <t>https://cellxgene.cziscience.com/collections/dfc09a93-bce0-4c77-893d-e153d1b7f9fa</t>
        </is>
      </c>
      <c r="X12" s="23" t="n">
        <v>2</v>
      </c>
    </row>
    <row r="13">
      <c r="A13" s="23" t="inlineStr">
        <is>
          <t>人 Human</t>
        </is>
      </c>
      <c r="B13" s="26" t="inlineStr">
        <is>
          <t>肠神经/消化道</t>
        </is>
      </c>
      <c r="C13" s="23" t="inlineStr">
        <is>
          <t>body of stomach</t>
        </is>
      </c>
      <c r="D13" s="23" t="inlineStr">
        <is>
          <t>Homo sapiens</t>
        </is>
      </c>
      <c r="E13" s="23" t="inlineStr">
        <is>
          <t>L4</t>
        </is>
      </c>
      <c r="F13" s="23" t="inlineStr">
        <is>
          <t>L4:Enteroendocrine cell/Type G enteroendocrine cell</t>
        </is>
      </c>
      <c r="G13" s="23" t="inlineStr"/>
      <c r="H13" s="23" t="inlineStr">
        <is>
          <t>a18474f4-ff1e-4864-af69-270b956cee5b</t>
        </is>
      </c>
      <c r="I13" s="23" t="inlineStr">
        <is>
          <t>CELLxGENE:7bb64315-9e5a-41b9-9235-59acf9642a3e</t>
        </is>
      </c>
      <c r="J13" s="23" t="inlineStr">
        <is>
          <t>Single-cell RNA sequencing unifies developmental programs of Esophageal and Gastric Intestinal Metaplasia</t>
        </is>
      </c>
      <c r="K13" s="23" t="inlineStr">
        <is>
          <t>单细胞RNA测序统一食管与胃肠化生的发育程序</t>
        </is>
      </c>
      <c r="L13" s="23" t="inlineStr">
        <is>
          <t>2023</t>
        </is>
      </c>
      <c r="M13" s="23" t="inlineStr">
        <is>
          <t>10.1158/2159-8290.cd-22-0824</t>
        </is>
      </c>
      <c r="N13" s="23" t="inlineStr">
        <is>
          <t>body of stomach|cardia of stomach|colon|duodenum|esophagogastric junction|ileum|lower esophagus|rectum|submucosal esophageal gland</t>
        </is>
      </c>
      <c r="O13" s="23" t="inlineStr">
        <is>
          <t>Barrett esophagus|gastric cancer|gastric intestinal metaplasia|gastritis|normal</t>
        </is>
      </c>
      <c r="P13" s="23" t="inlineStr">
        <is>
          <t>10x 3' v2|10x 3' v3|10x 5' v1</t>
        </is>
      </c>
      <c r="Q13" s="23" t="inlineStr">
        <is>
          <t>cell</t>
        </is>
      </c>
      <c r="R13" s="25" t="n">
        <v>293823</v>
      </c>
      <c r="S13" s="23" t="inlineStr">
        <is>
          <t>P/D1 enteroendocrine cell|enteroendocrine cell|type G enteroendocrine cell</t>
        </is>
      </c>
      <c r="T13" s="23" t="inlineStr">
        <is>
          <t>CHGA;CHGB;NEUROD1;PAX6;GCG</t>
        </is>
      </c>
      <c r="U13" s="23" t="inlineStr">
        <is>
          <t>神经-免疫通讯</t>
        </is>
      </c>
      <c r="V13" s="23" t="inlineStr">
        <is>
          <t>https://datasets.cellxgene.cziscience.com/3b5ba887-80df-43db-8486-3fc03027a15e.h5ad</t>
        </is>
      </c>
      <c r="W13" s="23" t="inlineStr">
        <is>
          <t>https://cellxgene.cziscience.com/collections/a18474f4-ff1e-4864-af69-270b956cee5b</t>
        </is>
      </c>
      <c r="X13" s="23" t="n">
        <v>3</v>
      </c>
    </row>
    <row r="14">
      <c r="A14" s="23" t="inlineStr">
        <is>
          <t>人 Human</t>
        </is>
      </c>
      <c r="B14" s="26" t="inlineStr">
        <is>
          <t>肠神经/消化道</t>
        </is>
      </c>
      <c r="C14" s="23" t="inlineStr">
        <is>
          <t>caecum</t>
        </is>
      </c>
      <c r="D14" s="23" t="inlineStr">
        <is>
          <t>Homo sapiens</t>
        </is>
      </c>
      <c r="E14" s="23" t="inlineStr">
        <is>
          <t>L4</t>
        </is>
      </c>
      <c r="F14" s="23" t="inlineStr">
        <is>
          <t>L4:Enteroendocrine cell of colon</t>
        </is>
      </c>
      <c r="G14" s="23" t="inlineStr"/>
      <c r="H14" s="23" t="inlineStr">
        <is>
          <t>1cbfb478-2c7f-4d15-b522-9f74e9fe52a8</t>
        </is>
      </c>
      <c r="I14" s="23" t="inlineStr">
        <is>
          <t>CELLxGENE:829a3cd1-a466-49f1-b2e9-d3f6b7f392e2</t>
        </is>
      </c>
      <c r="J14" s="23" t="inlineStr">
        <is>
          <t>Progressive plasticity during colorectal cancer metastasis</t>
        </is>
      </c>
      <c r="K14" s="23" t="inlineStr">
        <is>
          <t>结直肠癌转移过程中的渐进式可塑性</t>
        </is>
      </c>
      <c r="L14" s="23" t="inlineStr">
        <is>
          <t>2025</t>
        </is>
      </c>
      <c r="M14" s="23" t="inlineStr">
        <is>
          <t>10.1038/s41586-024-08560-0</t>
        </is>
      </c>
      <c r="N14" s="23" t="inlineStr">
        <is>
          <t>caecum|chest wall|descending colon|hepatic flexure of colon|liver|lung|peritoneum|rectum|sigmoid colon|transverse colon</t>
        </is>
      </c>
      <c r="O14" s="23" t="inlineStr">
        <is>
          <t>colorectal cancer|normal</t>
        </is>
      </c>
      <c r="P14" s="23" t="inlineStr">
        <is>
          <t>10x 3' v3</t>
        </is>
      </c>
      <c r="Q14" s="23" t="inlineStr">
        <is>
          <t>cell</t>
        </is>
      </c>
      <c r="R14" s="25" t="n">
        <v>47107</v>
      </c>
      <c r="S14" s="23" t="inlineStr">
        <is>
          <t>enteroendocrine cell of colon</t>
        </is>
      </c>
      <c r="T14" s="23" t="inlineStr">
        <is>
          <t>CHGA;CHGB;NEUROD1;PAX6;GCG</t>
        </is>
      </c>
      <c r="U14" s="23" t="inlineStr">
        <is>
          <t>神经-免疫通讯</t>
        </is>
      </c>
      <c r="V14" s="23" t="inlineStr">
        <is>
          <t>https://datasets.cellxgene.cziscience.com/81bd8922-b69a-45ea-9b2a-032c480c0e37.h5ad</t>
        </is>
      </c>
      <c r="W14" s="23" t="inlineStr">
        <is>
          <t>https://cellxgene.cziscience.com/collections/1cbfb478-2c7f-4d15-b522-9f74e9fe52a8</t>
        </is>
      </c>
      <c r="X14" s="23" t="n">
        <v>3</v>
      </c>
    </row>
    <row r="15">
      <c r="A15" s="23" t="inlineStr">
        <is>
          <t>人 Human</t>
        </is>
      </c>
      <c r="B15" s="26" t="inlineStr">
        <is>
          <t>肠神经/消化道</t>
        </is>
      </c>
      <c r="C15" s="23" t="inlineStr">
        <is>
          <t>caecum epithelium</t>
        </is>
      </c>
      <c r="D15" s="23" t="inlineStr">
        <is>
          <t>Homo sapiens</t>
        </is>
      </c>
      <c r="E15" s="23" t="inlineStr">
        <is>
          <t>L4</t>
        </is>
      </c>
      <c r="F15" s="23" t="inlineStr">
        <is>
          <t>L4:Enteroendocrine cell</t>
        </is>
      </c>
      <c r="G15" s="23" t="inlineStr"/>
      <c r="H15" s="23" t="inlineStr">
        <is>
          <t>33d19f34-87f5-455b-8ca5-9023a2e5453d</t>
        </is>
      </c>
      <c r="I15" s="23" t="inlineStr">
        <is>
          <t>CELLxGENE:4dd00779-7f73-4f50-89bb-e2d3c6b71b18</t>
        </is>
      </c>
      <c r="J15" s="23" t="inlineStr">
        <is>
          <t>Intra- and Inter-cellular Rewiring of the Human Colon during Ulcerative Colitis</t>
        </is>
      </c>
      <c r="K15" s="23" t="inlineStr">
        <is>
          <t>溃疡性结肠炎期间人结肠的细胞内与细胞间重连</t>
        </is>
      </c>
      <c r="L15" s="23" t="inlineStr">
        <is>
          <t>2023</t>
        </is>
      </c>
      <c r="M15" s="23" t="inlineStr">
        <is>
          <t>10.1016/j.cell.2019.06.029</t>
        </is>
      </c>
      <c r="N15" s="23" t="inlineStr">
        <is>
          <t>caecum epithelium|colonic epithelium|transverse colon epithelium</t>
        </is>
      </c>
      <c r="O15" s="23" t="inlineStr">
        <is>
          <t>normal</t>
        </is>
      </c>
      <c r="P15" s="23" t="inlineStr">
        <is>
          <t>10x 3' v1|10x 3' v2</t>
        </is>
      </c>
      <c r="Q15" s="23" t="inlineStr">
        <is>
          <t>cell</t>
        </is>
      </c>
      <c r="R15" s="25" t="n">
        <v>34772</v>
      </c>
      <c r="S15" s="23" t="inlineStr">
        <is>
          <t>enteroendocrine cell</t>
        </is>
      </c>
      <c r="T15" s="23" t="inlineStr">
        <is>
          <t>CHGA;CHGB;NEUROD1;PAX6;GCG</t>
        </is>
      </c>
      <c r="U15" s="23" t="inlineStr">
        <is>
          <t>神经-免疫通讯;炎症;伤口修复</t>
        </is>
      </c>
      <c r="V15" s="23" t="inlineStr">
        <is>
          <t>https://datasets.cellxgene.cziscience.com/774d77e7-210d-4237-8ca8-8d2bb841a2e4.h5ad</t>
        </is>
      </c>
      <c r="W15" s="23" t="inlineStr">
        <is>
          <t>https://cellxgene.cziscience.com/collections/33d19f34-87f5-455b-8ca5-9023a2e5453d</t>
        </is>
      </c>
      <c r="X15" s="23" t="n">
        <v>1</v>
      </c>
    </row>
    <row r="16">
      <c r="A16" s="23" t="inlineStr">
        <is>
          <t>人 Human</t>
        </is>
      </c>
      <c r="B16" s="26" t="inlineStr">
        <is>
          <t>肠神经/消化道</t>
        </is>
      </c>
      <c r="C16" s="23" t="inlineStr">
        <is>
          <t>colon</t>
        </is>
      </c>
      <c r="D16" s="23" t="inlineStr">
        <is>
          <t>Homo sapiens</t>
        </is>
      </c>
      <c r="E16" s="23" t="inlineStr">
        <is>
          <t>L1;L4</t>
        </is>
      </c>
      <c r="F16" s="23" t="inlineStr">
        <is>
          <t>L1:Enteric neuron | L4:Enteroendocrine cell</t>
        </is>
      </c>
      <c r="G16" s="23" t="inlineStr"/>
      <c r="H16" s="23" t="inlineStr">
        <is>
          <t>17481d16-ee44-49e5-bcf0-28c0780d8c4a</t>
        </is>
      </c>
      <c r="I16" s="23" t="inlineStr">
        <is>
          <t>CELLxGENE:b46237d1-19c6-4af2-9335-9854634bad16</t>
        </is>
      </c>
      <c r="J16" s="23" t="inlineStr">
        <is>
          <t>Single-Cell Sequencing of Developing Human Gut Reveals Transcriptional Links to Childhood Crohn’s Disease</t>
        </is>
      </c>
      <c r="K16" s="23" t="inlineStr">
        <is>
          <t>发育中人类肠道的单细胞测序揭示与儿童克罗恩病的转录关联</t>
        </is>
      </c>
      <c r="L16" s="23" t="inlineStr">
        <is>
          <t>2022</t>
        </is>
      </c>
      <c r="M16" s="23" t="inlineStr">
        <is>
          <t>10.1016/j.devcel.2020.11.010</t>
        </is>
      </c>
      <c r="N16" s="23" t="inlineStr">
        <is>
          <t>colon|duodeno-jejunal junction|ileum</t>
        </is>
      </c>
      <c r="O16" s="23" t="inlineStr">
        <is>
          <t>normal</t>
        </is>
      </c>
      <c r="P16" s="23" t="inlineStr">
        <is>
          <t>10x 3' v2</t>
        </is>
      </c>
      <c r="Q16" s="23" t="inlineStr">
        <is>
          <t>cell</t>
        </is>
      </c>
      <c r="R16" s="25" t="n">
        <v>62849</v>
      </c>
      <c r="S16" s="23" t="inlineStr">
        <is>
          <t>enteric neuron|enteroendocrine cell</t>
        </is>
      </c>
      <c r="T16" s="23" t="inlineStr">
        <is>
          <t>CHGA;CHGB;NEUROD1;PAX6;GCG</t>
        </is>
      </c>
      <c r="U16" s="23" t="inlineStr">
        <is>
          <t>神经-免疫通讯;炎症</t>
        </is>
      </c>
      <c r="V16" s="23" t="inlineStr">
        <is>
          <t>https://datasets.cellxgene.cziscience.com/5cf26393-87e2-4946-8a97-2d42625856a3.h5ad</t>
        </is>
      </c>
      <c r="W16" s="23" t="inlineStr">
        <is>
          <t>https://cellxgene.cziscience.com/collections/17481d16-ee44-49e5-bcf0-28c0780d8c4a</t>
        </is>
      </c>
      <c r="X16" s="23" t="n">
        <v>2</v>
      </c>
    </row>
    <row r="17">
      <c r="A17" s="23" t="inlineStr">
        <is>
          <t>人 Human</t>
        </is>
      </c>
      <c r="B17" s="26" t="inlineStr">
        <is>
          <t>肠神经/消化道</t>
        </is>
      </c>
      <c r="C17" s="23" t="inlineStr">
        <is>
          <t>colon</t>
        </is>
      </c>
      <c r="D17" s="23" t="inlineStr">
        <is>
          <t>Homo sapiens</t>
        </is>
      </c>
      <c r="E17" s="23" t="inlineStr">
        <is>
          <t>L1;L4</t>
        </is>
      </c>
      <c r="F17" s="23" t="inlineStr">
        <is>
          <t>L1:Inhibitory motor neuron/Interneuron (ENS)/Motor neuron | L4:Neuroendocrine cell</t>
        </is>
      </c>
      <c r="G17" s="23" t="inlineStr">
        <is>
          <t>含泛glial(疑肠胶质,可能L2)</t>
        </is>
      </c>
      <c r="H17" s="23" t="inlineStr">
        <is>
          <t>60358420-6055-411d-ba4f-e8ac80682a2e</t>
        </is>
      </c>
      <c r="I17" s="23" t="inlineStr">
        <is>
          <t>CELLxGENE:bbd16004-09e8-4b6c-b465-73ff83a52837</t>
        </is>
      </c>
      <c r="J17" s="23" t="inlineStr">
        <is>
          <t>Spatiotemporal analysis of human intestinal development at single-cell resolution</t>
        </is>
      </c>
      <c r="K17" s="23" t="inlineStr">
        <is>
          <t>单细胞分辨率下人类肠道发育的时空分析</t>
        </is>
      </c>
      <c r="L17" s="23" t="inlineStr">
        <is>
          <t>2021</t>
        </is>
      </c>
      <c r="M17" s="23" t="inlineStr">
        <is>
          <t>10.1016/j.cell.2020.12.016</t>
        </is>
      </c>
      <c r="N17" s="23" t="inlineStr">
        <is>
          <t>colon|hindgut|ileum</t>
        </is>
      </c>
      <c r="O17" s="23" t="inlineStr">
        <is>
          <t>normal</t>
        </is>
      </c>
      <c r="P17" s="23" t="inlineStr">
        <is>
          <t>10x 3' v3</t>
        </is>
      </c>
      <c r="Q17" s="23" t="inlineStr">
        <is>
          <t>cell</t>
        </is>
      </c>
      <c r="R17" s="25" t="n">
        <v>4144</v>
      </c>
      <c r="S17" s="23" t="inlineStr">
        <is>
          <t>glial cell|inhibitory motor neuron|interneuron|motor neuron|neuroendocrine cell</t>
        </is>
      </c>
      <c r="T17" s="23" t="inlineStr">
        <is>
          <t>SOX10;PLP1;S100B;GFRA3;FABP7</t>
        </is>
      </c>
      <c r="U17" s="23" t="inlineStr">
        <is>
          <t>general peripheral neurobiology</t>
        </is>
      </c>
      <c r="V17" s="23" t="inlineStr">
        <is>
          <t>https://datasets.cellxgene.cziscience.com/a40d9047-5990-4aa1-aac8-2ff55649dab5.h5ad</t>
        </is>
      </c>
      <c r="W17" s="23" t="inlineStr">
        <is>
          <t>https://cellxgene.cziscience.com/collections/60358420-6055-411d-ba4f-e8ac80682a2e</t>
        </is>
      </c>
      <c r="X17" s="23" t="n">
        <v>2</v>
      </c>
    </row>
    <row r="18">
      <c r="A18" s="23" t="inlineStr">
        <is>
          <t>人 Human</t>
        </is>
      </c>
      <c r="B18" s="26" t="inlineStr">
        <is>
          <t>肠神经/消化道</t>
        </is>
      </c>
      <c r="C18" s="23" t="inlineStr">
        <is>
          <t>colorectum</t>
        </is>
      </c>
      <c r="D18" s="23" t="inlineStr">
        <is>
          <t>Homo sapiens</t>
        </is>
      </c>
      <c r="E18" s="23" t="inlineStr">
        <is>
          <t>L2;L4</t>
        </is>
      </c>
      <c r="F18" s="23" t="inlineStr">
        <is>
          <t>L2:Schwann cell | L4:Enteroendocrine cell</t>
        </is>
      </c>
      <c r="G18" s="23" t="inlineStr"/>
      <c r="H18" s="23" t="inlineStr">
        <is>
          <t>4d82bd8e-8827-410b-8fc7-685b7dd92585</t>
        </is>
      </c>
      <c r="I18" s="23" t="inlineStr">
        <is>
          <t>CELLxGENE:16023185-de21-4c0d-a9c8-73abdd52d142</t>
        </is>
      </c>
      <c r="J18" s="23" t="inlineStr">
        <is>
          <t>Spatially organized multicellular immune hubs in human colorectal cancer</t>
        </is>
      </c>
      <c r="K18" s="23" t="inlineStr">
        <is>
          <t>人类结直肠癌中空间组织的多细胞免疫枢纽</t>
        </is>
      </c>
      <c r="L18" s="23" t="inlineStr">
        <is>
          <t>2025</t>
        </is>
      </c>
      <c r="M18" s="23" t="inlineStr">
        <is>
          <t>10.1016/j.cell.2021.08.003</t>
        </is>
      </c>
      <c r="N18" s="23" t="inlineStr">
        <is>
          <t>colorectum</t>
        </is>
      </c>
      <c r="O18" s="23" t="inlineStr">
        <is>
          <t>colon adenocarcinoma|normal</t>
        </is>
      </c>
      <c r="P18" s="23" t="inlineStr">
        <is>
          <t>10x 3' v2|10x 3' v3</t>
        </is>
      </c>
      <c r="Q18" s="23" t="inlineStr">
        <is>
          <t>cell</t>
        </is>
      </c>
      <c r="R18" s="25" t="n">
        <v>370115</v>
      </c>
      <c r="S18" s="23" t="inlineStr">
        <is>
          <t>Schwann cell|enteroendocrine cell</t>
        </is>
      </c>
      <c r="T18" s="23" t="inlineStr">
        <is>
          <t>SOX10;MPZ;PLP1;MBP;PMP22</t>
        </is>
      </c>
      <c r="U18" s="23" t="inlineStr">
        <is>
          <t>神经-免疫通讯;外周神经再生</t>
        </is>
      </c>
      <c r="V18" s="23" t="inlineStr">
        <is>
          <t>https://datasets.cellxgene.cziscience.com/3d1f3641-5755-47e2-b797-10317d33fe32.h5ad</t>
        </is>
      </c>
      <c r="W18" s="23" t="inlineStr">
        <is>
          <t>https://cellxgene.cziscience.com/collections/4d82bd8e-8827-410b-8fc7-685b7dd92585</t>
        </is>
      </c>
      <c r="X18" s="23" t="n">
        <v>3</v>
      </c>
    </row>
    <row r="19">
      <c r="A19" s="23" t="inlineStr">
        <is>
          <t>人 Human</t>
        </is>
      </c>
      <c r="B19" s="26" t="inlineStr">
        <is>
          <t>肠神经/消化道</t>
        </is>
      </c>
      <c r="C19" s="23" t="inlineStr">
        <is>
          <t>duodenum</t>
        </is>
      </c>
      <c r="D19" s="23" t="inlineStr">
        <is>
          <t>Homo sapiens</t>
        </is>
      </c>
      <c r="E19" s="23" t="inlineStr">
        <is>
          <t>L2;L4</t>
        </is>
      </c>
      <c r="F19" s="23" t="inlineStr">
        <is>
          <t>L2:Enteroglial cell | L4:Enteroendocrine cell of small intestine</t>
        </is>
      </c>
      <c r="G19" s="23" t="inlineStr"/>
      <c r="H19" s="23" t="inlineStr">
        <is>
          <t>e5f58829-1a66-40b5-a624-9046778e74f5</t>
        </is>
      </c>
      <c r="I19" s="23" t="inlineStr">
        <is>
          <t>CELLxGENE:a357414d-2042-4eb5-95f0-c58604a18bdd</t>
        </is>
      </c>
      <c r="J19" s="23" t="inlineStr">
        <is>
          <t>Tabula Sapiens</t>
        </is>
      </c>
      <c r="K19" s="23" t="inlineStr">
        <is>
          <t>Tabula Sapiens</t>
        </is>
      </c>
      <c r="L19" s="23" t="inlineStr">
        <is>
          <t>2021</t>
        </is>
      </c>
      <c r="M19" s="23" t="inlineStr">
        <is>
          <t>10.1126/science.abl4896</t>
        </is>
      </c>
      <c r="N19" s="23" t="inlineStr">
        <is>
          <t>duodenum|ileum|jejunum|small intestine</t>
        </is>
      </c>
      <c r="O19" s="23" t="inlineStr">
        <is>
          <t>normal</t>
        </is>
      </c>
      <c r="P19" s="23" t="inlineStr">
        <is>
          <t>10x 3' v3|Smart-seq2</t>
        </is>
      </c>
      <c r="Q19" s="23" t="inlineStr">
        <is>
          <t>cell</t>
        </is>
      </c>
      <c r="R19" s="25" t="n">
        <v>42036</v>
      </c>
      <c r="S19" s="23" t="inlineStr">
        <is>
          <t>enteroendocrine cell of small intestine|enteroglial cell</t>
        </is>
      </c>
      <c r="T19" s="23" t="inlineStr">
        <is>
          <t>SOX10;PLP1;S100B;GFRA3;FABP7</t>
        </is>
      </c>
      <c r="U19" s="23" t="inlineStr">
        <is>
          <t>general peripheral neurobiology</t>
        </is>
      </c>
      <c r="V19" s="23" t="inlineStr">
        <is>
          <t>https://datasets.cellxgene.cziscience.com/6db4dfe6-d421-4287-a9dc-22eaa59be966.h5ad</t>
        </is>
      </c>
      <c r="W19" s="23" t="inlineStr">
        <is>
          <t>https://cellxgene.cziscience.com/collections/e5f58829-1a66-40b5-a624-9046778e74f5</t>
        </is>
      </c>
      <c r="X19" s="23" t="n">
        <v>5</v>
      </c>
    </row>
    <row r="20">
      <c r="A20" s="23" t="inlineStr">
        <is>
          <t>人 Human</t>
        </is>
      </c>
      <c r="B20" s="26" t="inlineStr">
        <is>
          <t>肠神经/消化道</t>
        </is>
      </c>
      <c r="C20" s="23" t="inlineStr">
        <is>
          <t>epithelium of small intestine</t>
        </is>
      </c>
      <c r="D20" s="23" t="inlineStr">
        <is>
          <t>Homo sapiens</t>
        </is>
      </c>
      <c r="E20" s="23" t="inlineStr">
        <is>
          <t>L4</t>
        </is>
      </c>
      <c r="F20" s="23" t="inlineStr">
        <is>
          <t>L4:Type EC enteroendocrine cell/Type L enteroendocrine cell</t>
        </is>
      </c>
      <c r="G20" s="23" t="inlineStr"/>
      <c r="H20" s="23" t="inlineStr">
        <is>
          <t>5c868b6f-62c5-4532-9d7f-a346ad4b50a7</t>
        </is>
      </c>
      <c r="I20" s="23" t="inlineStr">
        <is>
          <t>CELLxGENE:fe4b89d5-461e-440c-a5a8-621b37b122c0</t>
        </is>
      </c>
      <c r="J20" s="23" t="inlineStr">
        <is>
          <t>The landscape of immune dysregulation in Crohn’s disease revealed through single-cell transcriptomic profiling in the ileum and colon</t>
        </is>
      </c>
      <c r="K20" s="23" t="inlineStr">
        <is>
          <t>单细胞转录组谱分析揭示克罗恩病回肠与结肠免疫失调的全景</t>
        </is>
      </c>
      <c r="L20" s="23" t="inlineStr">
        <is>
          <t>2023</t>
        </is>
      </c>
      <c r="M20" s="23" t="inlineStr">
        <is>
          <t>10.1016/j.immuni.2023.01.002</t>
        </is>
      </c>
      <c r="N20" s="23" t="inlineStr">
        <is>
          <t>epithelium of small intestine|ileal epithelium|ileum|ileum lamina propria|lamina propria of small intestine|small intestine</t>
        </is>
      </c>
      <c r="O20" s="23" t="inlineStr">
        <is>
          <t>Crohn disease|normal</t>
        </is>
      </c>
      <c r="P20" s="23" t="inlineStr">
        <is>
          <t>10x 3' v2|10x 3' v3</t>
        </is>
      </c>
      <c r="Q20" s="23" t="inlineStr">
        <is>
          <t>cell</t>
        </is>
      </c>
      <c r="R20" s="25" t="n">
        <v>154136</v>
      </c>
      <c r="S20" s="23" t="inlineStr">
        <is>
          <t>type EC enteroendocrine cell|type L enteroendocrine cell</t>
        </is>
      </c>
      <c r="T20" s="23" t="inlineStr">
        <is>
          <t>CHGA;CHGB;NEUROD1;PAX6;GCG</t>
        </is>
      </c>
      <c r="U20" s="23" t="inlineStr">
        <is>
          <t>神经-免疫通讯;炎症</t>
        </is>
      </c>
      <c r="V20" s="23" t="inlineStr">
        <is>
          <t>https://datasets.cellxgene.cziscience.com/6a6b7339-106f-420b-95ae-c8d2d91f9945.h5ad</t>
        </is>
      </c>
      <c r="W20" s="23" t="inlineStr">
        <is>
          <t>https://cellxgene.cziscience.com/collections/5c868b6f-62c5-4532-9d7f-a346ad4b50a7</t>
        </is>
      </c>
      <c r="X20" s="23" t="n">
        <v>4</v>
      </c>
    </row>
    <row r="21">
      <c r="A21" s="23" t="inlineStr">
        <is>
          <t>人 Human</t>
        </is>
      </c>
      <c r="B21" s="26" t="inlineStr">
        <is>
          <t>肠神经/消化道</t>
        </is>
      </c>
      <c r="C21" s="23" t="inlineStr">
        <is>
          <t>ileum</t>
        </is>
      </c>
      <c r="D21" s="23" t="inlineStr">
        <is>
          <t>Homo sapiens</t>
        </is>
      </c>
      <c r="E21" s="23" t="inlineStr">
        <is>
          <t>L4</t>
        </is>
      </c>
      <c r="F21" s="23" t="inlineStr">
        <is>
          <t>L4:Enteroendocrine cell of colon</t>
        </is>
      </c>
      <c r="G21" s="23" t="inlineStr"/>
      <c r="H21" s="23" t="inlineStr">
        <is>
          <t>ff668d5d-5b3f-49ee-a007-ff0664bf35ec</t>
        </is>
      </c>
      <c r="I21" s="23" t="inlineStr">
        <is>
          <t>CELLxGENE:248cf7bf-508b-4c28-a2fd-cabe2ab956aa</t>
        </is>
      </c>
      <c r="J21" s="23" t="inlineStr">
        <is>
          <t>Single-cell transcriptome analysis reveals differential nutrient absorption functions in human intestine</t>
        </is>
      </c>
      <c r="K21" s="23" t="inlineStr">
        <is>
          <t>单细胞转录组分析揭示人肠道中差异性的营养吸收功能</t>
        </is>
      </c>
      <c r="L21" s="23" t="inlineStr">
        <is>
          <t>2022</t>
        </is>
      </c>
      <c r="M21" s="23" t="inlineStr">
        <is>
          <t>10.1084/jem.20191130</t>
        </is>
      </c>
      <c r="N21" s="23" t="inlineStr">
        <is>
          <t>ileum</t>
        </is>
      </c>
      <c r="O21" s="23" t="inlineStr">
        <is>
          <t>normal</t>
        </is>
      </c>
      <c r="P21" s="23" t="inlineStr">
        <is>
          <t>10x 3' v2</t>
        </is>
      </c>
      <c r="Q21" s="23" t="inlineStr">
        <is>
          <t>cell</t>
        </is>
      </c>
      <c r="R21" s="25" t="n">
        <v>5980</v>
      </c>
      <c r="S21" s="23" t="inlineStr">
        <is>
          <t>enteroendocrine cell of colon</t>
        </is>
      </c>
      <c r="T21" s="23" t="inlineStr">
        <is>
          <t>CHGA;CHGB;NEUROD1;PAX6;GCG</t>
        </is>
      </c>
      <c r="U21" s="23" t="inlineStr">
        <is>
          <t>general peripheral neurobiology</t>
        </is>
      </c>
      <c r="V21" s="23" t="inlineStr">
        <is>
          <t>https://datasets.cellxgene.cziscience.com/685f053a-2204-489a-b166-1d0190406be6.h5ad</t>
        </is>
      </c>
      <c r="W21" s="23" t="inlineStr">
        <is>
          <t>https://cellxgene.cziscience.com/collections/ff668d5d-5b3f-49ee-a007-ff0664bf35ec</t>
        </is>
      </c>
      <c r="X21" s="23" t="n">
        <v>3</v>
      </c>
    </row>
    <row r="22">
      <c r="A22" s="23" t="inlineStr">
        <is>
          <t>人 Human</t>
        </is>
      </c>
      <c r="B22" s="26" t="inlineStr">
        <is>
          <t>肠神经/消化道</t>
        </is>
      </c>
      <c r="C22" s="23" t="inlineStr">
        <is>
          <t>ileum</t>
        </is>
      </c>
      <c r="D22" s="23" t="inlineStr">
        <is>
          <t>Homo sapiens</t>
        </is>
      </c>
      <c r="E22" s="23" t="inlineStr">
        <is>
          <t>L4</t>
        </is>
      </c>
      <c r="F22" s="23" t="inlineStr">
        <is>
          <t>L4:Enteroendocrine cell of small intestine</t>
        </is>
      </c>
      <c r="G22" s="23" t="inlineStr">
        <is>
          <t>含泛glial(疑肠胶质,可能L2)</t>
        </is>
      </c>
      <c r="H22" s="23" t="inlineStr">
        <is>
          <t>2b02dff7-e427-4cdc-96fb-c0f354c099aa</t>
        </is>
      </c>
      <c r="I22" s="23" t="inlineStr">
        <is>
          <t>CELLxGENE:36c867a7-be10-4e69-9b39-5de12b0af6da</t>
        </is>
      </c>
      <c r="J22" s="23" t="inlineStr">
        <is>
          <t>Single-Cell Analysis of Crohn’s Disease Lesions Identifies a Pathogenic Cellular Module Associated with Resistance to Anti-TNF Therapy</t>
        </is>
      </c>
      <c r="K22" s="23" t="inlineStr">
        <is>
          <t>克罗恩病病灶的单细胞分析识别出与抗TNF治疗耐药相关的致病性细胞模块</t>
        </is>
      </c>
      <c r="L22" s="23" t="inlineStr">
        <is>
          <t>2022</t>
        </is>
      </c>
      <c r="M22" s="23" t="inlineStr">
        <is>
          <t>10.1016/j.cell.2019.08.008</t>
        </is>
      </c>
      <c r="N22" s="23" t="inlineStr">
        <is>
          <t>ileum</t>
        </is>
      </c>
      <c r="O22" s="23" t="inlineStr">
        <is>
          <t>normal</t>
        </is>
      </c>
      <c r="P22" s="23" t="inlineStr">
        <is>
          <t>10x 3' v1|10x 3' v2</t>
        </is>
      </c>
      <c r="Q22" s="23" t="inlineStr">
        <is>
          <t>cell</t>
        </is>
      </c>
      <c r="R22" s="25" t="n">
        <v>32458</v>
      </c>
      <c r="S22" s="23" t="inlineStr">
        <is>
          <t>enteroendocrine cell of small intestine|glial cell</t>
        </is>
      </c>
      <c r="T22" s="23" t="inlineStr">
        <is>
          <t>SOX10;PLP1;S100B;GFRA3;FABP7</t>
        </is>
      </c>
      <c r="U22" s="23" t="inlineStr">
        <is>
          <t>神经-免疫通讯;炎症</t>
        </is>
      </c>
      <c r="V22" s="23" t="inlineStr">
        <is>
          <t>https://datasets.cellxgene.cziscience.com/aa44120b-7b9f-4584-a8a2-0f3aceafc87c.h5ad</t>
        </is>
      </c>
      <c r="W22" s="23" t="inlineStr">
        <is>
          <t>https://cellxgene.cziscience.com/collections/2b02dff7-e427-4cdc-96fb-c0f354c099aa</t>
        </is>
      </c>
      <c r="X22" s="23" t="n">
        <v>1</v>
      </c>
    </row>
    <row r="23">
      <c r="A23" s="23" t="inlineStr">
        <is>
          <t>人 Human</t>
        </is>
      </c>
      <c r="B23" s="26" t="inlineStr">
        <is>
          <t>肠神经/消化道</t>
        </is>
      </c>
      <c r="C23" s="23" t="inlineStr">
        <is>
          <t>intestinal mucosa</t>
        </is>
      </c>
      <c r="D23" s="23" t="inlineStr">
        <is>
          <t>Homo sapiens</t>
        </is>
      </c>
      <c r="E23" s="23" t="inlineStr">
        <is>
          <t>L4</t>
        </is>
      </c>
      <c r="F23" s="23" t="inlineStr">
        <is>
          <t>L4:Enteroendocrine cell</t>
        </is>
      </c>
      <c r="G23" s="23" t="inlineStr">
        <is>
          <t>含泛neuron(肠,待裁定)</t>
        </is>
      </c>
      <c r="H23" s="23" t="inlineStr">
        <is>
          <t>f30e0bf7-7b03-44b0-b312-cda799ef0240</t>
        </is>
      </c>
      <c r="I23" s="23" t="inlineStr">
        <is>
          <t>CELLxGENE:51d9716c-50bb-4fd8-8d1e-7d9329969cb7</t>
        </is>
      </c>
      <c r="J23" s="23" t="inlineStr">
        <is>
          <t>iPSC-derived small intestine-on-chip with self-organizing epithelial, mesenchymal and neural cells</t>
        </is>
      </c>
      <c r="K23" s="23" t="inlineStr">
        <is>
          <t>iPSC衍生的小肠芯片模型：具有自组织上皮、间充质及神经细胞</t>
        </is>
      </c>
      <c r="L23" s="23" t="inlineStr">
        <is>
          <t>2024</t>
        </is>
      </c>
      <c r="M23" s="23" t="inlineStr">
        <is>
          <t>10.1016/j.celrep.2024.114247</t>
        </is>
      </c>
      <c r="N23" s="23" t="inlineStr">
        <is>
          <t>intestinal mucosa</t>
        </is>
      </c>
      <c r="O23" s="23" t="inlineStr">
        <is>
          <t>normal</t>
        </is>
      </c>
      <c r="P23" s="23" t="inlineStr">
        <is>
          <t>10x 3' v3</t>
        </is>
      </c>
      <c r="Q23" s="23" t="inlineStr">
        <is>
          <t>cell</t>
        </is>
      </c>
      <c r="R23" s="25" t="n">
        <v>11177</v>
      </c>
      <c r="S23" s="23" t="inlineStr">
        <is>
          <t>enteroendocrine cell|neuron</t>
        </is>
      </c>
      <c r="T23" s="23" t="inlineStr">
        <is>
          <t>CHGA;CHGB;NEUROD1;PAX6;GCG</t>
        </is>
      </c>
      <c r="U23" s="23" t="inlineStr">
        <is>
          <t>general peripheral neurobiology</t>
        </is>
      </c>
      <c r="V23" s="23" t="inlineStr">
        <is>
          <t>https://datasets.cellxgene.cziscience.com/c4bfcccf-6009-4590-a06d-c1443372c6c7.h5ad</t>
        </is>
      </c>
      <c r="W23" s="23" t="inlineStr">
        <is>
          <t>https://cellxgene.cziscience.com/collections/f30e0bf7-7b03-44b0-b312-cda799ef0240</t>
        </is>
      </c>
      <c r="X23" s="23" t="n">
        <v>2</v>
      </c>
    </row>
    <row r="24">
      <c r="A24" s="23" t="inlineStr">
        <is>
          <t>人 Human</t>
        </is>
      </c>
      <c r="B24" s="26" t="inlineStr">
        <is>
          <t>肠神经/消化道</t>
        </is>
      </c>
      <c r="C24" s="23" t="inlineStr">
        <is>
          <t>lamina propria of small intestine</t>
        </is>
      </c>
      <c r="D24" s="23" t="inlineStr">
        <is>
          <t>Homo sapiens</t>
        </is>
      </c>
      <c r="E24" s="23" t="inlineStr">
        <is>
          <t>L4</t>
        </is>
      </c>
      <c r="F24" s="23" t="inlineStr">
        <is>
          <t>L4:Enteroendocrine cell</t>
        </is>
      </c>
      <c r="G24" s="23" t="inlineStr">
        <is>
          <t>含泛glial(疑肠胶质,可能L2)</t>
        </is>
      </c>
      <c r="H24" s="23" t="inlineStr">
        <is>
          <t>a064d795-3b77-44ae-9fb5-beb57c567443</t>
        </is>
      </c>
      <c r="I24" s="23" t="inlineStr">
        <is>
          <t>CELLxGENE:6ceeaa86-9ceb-4582-b390-6d4dd6ff0572</t>
        </is>
      </c>
      <c r="J24" s="23" t="inlineStr">
        <is>
          <t>Pediatric FGID lamina propria of ileum biopsies.</t>
        </is>
      </c>
      <c r="K24" s="23" t="inlineStr">
        <is>
          <t>儿童FGID回肠固有层活检</t>
        </is>
      </c>
      <c r="L24" s="23" t="inlineStr">
        <is>
          <t>2023</t>
        </is>
      </c>
      <c r="M24" s="23" t="inlineStr">
        <is>
          <t>10.1101/2021.09.17.21263540</t>
        </is>
      </c>
      <c r="N24" s="23" t="inlineStr">
        <is>
          <t>lamina propria of small intestine</t>
        </is>
      </c>
      <c r="O24" s="23" t="inlineStr">
        <is>
          <t>digestive system disorder</t>
        </is>
      </c>
      <c r="P24" s="23" t="inlineStr">
        <is>
          <t>10x 3' v2</t>
        </is>
      </c>
      <c r="Q24" s="23" t="inlineStr">
        <is>
          <t>cell</t>
        </is>
      </c>
      <c r="R24" s="25" t="n">
        <v>89849</v>
      </c>
      <c r="S24" s="23" t="inlineStr">
        <is>
          <t>enteroendocrine cell|glial cell</t>
        </is>
      </c>
      <c r="T24" s="23" t="inlineStr">
        <is>
          <t>SOX10;PLP1;S100B;GFRA3;FABP7</t>
        </is>
      </c>
      <c r="U24" s="23" t="inlineStr">
        <is>
          <t>general peripheral neurobiology</t>
        </is>
      </c>
      <c r="V24" s="23" t="inlineStr">
        <is>
          <t>https://datasets.cellxgene.cziscience.com/8cf9e6a2-5cd6-4d8e-95bd-b8c54d05e3f1.h5ad</t>
        </is>
      </c>
      <c r="W24" s="23" t="inlineStr">
        <is>
          <t>https://cellxgene.cziscience.com/collections/a064d795-3b77-44ae-9fb5-beb57c567443</t>
        </is>
      </c>
      <c r="X24" s="23" t="n">
        <v>1</v>
      </c>
    </row>
    <row r="25">
      <c r="A25" s="23" t="inlineStr">
        <is>
          <t>人 Human</t>
        </is>
      </c>
      <c r="B25" s="26" t="inlineStr">
        <is>
          <t>肠神经/消化道</t>
        </is>
      </c>
      <c r="C25" s="23" t="inlineStr">
        <is>
          <t>right colon</t>
        </is>
      </c>
      <c r="D25" s="23" t="inlineStr">
        <is>
          <t>Homo sapiens</t>
        </is>
      </c>
      <c r="E25" s="23" t="inlineStr">
        <is>
          <t>L1</t>
        </is>
      </c>
      <c r="F25" s="23" t="inlineStr">
        <is>
          <t>L1:Neuronal receptor cell</t>
        </is>
      </c>
      <c r="G25" s="23" t="inlineStr"/>
      <c r="H25" s="23" t="inlineStr">
        <is>
          <t>3b8b7fec-ed65-4483-9579-9f98f5a93a74</t>
        </is>
      </c>
      <c r="I25" s="23" t="inlineStr">
        <is>
          <t>CELLxGENE:5d4415d1-cfcd-4b43-b2b2-138b5afd68af</t>
        </is>
      </c>
      <c r="J25" s="23" t="inlineStr">
        <is>
          <t>Epithelium-enriched single cell transcriptomes from the ascending colon of pediatric and adult control subjects</t>
        </is>
      </c>
      <c r="K25" s="23" t="inlineStr">
        <is>
          <t>儿童和成人对照升结肠上皮富集的单细胞转录组</t>
        </is>
      </c>
      <c r="L25" s="23" t="inlineStr">
        <is>
          <t>2026</t>
        </is>
      </c>
      <c r="M25" s="23" t="inlineStr">
        <is>
          <t>10.1016/j.jcmgh.2025.101665</t>
        </is>
      </c>
      <c r="N25" s="23" t="inlineStr">
        <is>
          <t>right colon</t>
        </is>
      </c>
      <c r="O25" s="23" t="inlineStr">
        <is>
          <t>normal</t>
        </is>
      </c>
      <c r="P25" s="23" t="inlineStr">
        <is>
          <t>10x 3' v3</t>
        </is>
      </c>
      <c r="Q25" s="23" t="inlineStr">
        <is>
          <t>cell</t>
        </is>
      </c>
      <c r="R25" s="25" t="n">
        <v>35957</v>
      </c>
      <c r="S25" s="23" t="inlineStr">
        <is>
          <t>neuronal receptor cell</t>
        </is>
      </c>
      <c r="T25" s="23" t="inlineStr">
        <is>
          <t>RBFOX3;TUBB3;SNAP25;PRPH;PHOX2B</t>
        </is>
      </c>
      <c r="U25" s="23" t="inlineStr">
        <is>
          <t>general peripheral neurobiology</t>
        </is>
      </c>
      <c r="V25" s="23" t="inlineStr">
        <is>
          <t>https://datasets.cellxgene.cziscience.com/45566c3d-0484-4b2b-858b-8aea1783f21f.h5ad</t>
        </is>
      </c>
      <c r="W25" s="23" t="inlineStr">
        <is>
          <t>https://cellxgene.cziscience.com/collections/3b8b7fec-ed65-4483-9579-9f98f5a93a74</t>
        </is>
      </c>
      <c r="X25" s="23" t="n">
        <v>2</v>
      </c>
    </row>
    <row r="26">
      <c r="A26" s="23" t="inlineStr">
        <is>
          <t>人 Human</t>
        </is>
      </c>
      <c r="B26" s="26" t="inlineStr">
        <is>
          <t>肠神经/消化道</t>
        </is>
      </c>
      <c r="C26" s="23" t="inlineStr">
        <is>
          <t>small intestine</t>
        </is>
      </c>
      <c r="D26" s="23" t="inlineStr">
        <is>
          <t>Homo sapiens</t>
        </is>
      </c>
      <c r="E26" s="23" t="inlineStr">
        <is>
          <t>L4</t>
        </is>
      </c>
      <c r="F26" s="23" t="inlineStr">
        <is>
          <t>L4:Enteroendocrine cell</t>
        </is>
      </c>
      <c r="G26" s="23" t="inlineStr">
        <is>
          <t>含泛neuron(肠,待裁定)</t>
        </is>
      </c>
      <c r="H26" s="23" t="inlineStr">
        <is>
          <t>7651ac1a-f947-463a-9223-a9e408a41989</t>
        </is>
      </c>
      <c r="I26" s="23" t="inlineStr">
        <is>
          <t>CELLxGENE:3f32121d-126b-4e8d-9f69-d86502d2a1b1</t>
        </is>
      </c>
      <c r="J26" s="23" t="inlineStr">
        <is>
          <t>Insulin is expressed by enteroendocrine cells during human fetal development</t>
        </is>
      </c>
      <c r="K26" s="23" t="inlineStr">
        <is>
          <t>人胎儿发育期间肠内分泌细胞表达胰岛素</t>
        </is>
      </c>
      <c r="L26" s="23" t="inlineStr">
        <is>
          <t>2023</t>
        </is>
      </c>
      <c r="M26" s="23" t="inlineStr">
        <is>
          <t>10.1038/s41591-021-01586-1</t>
        </is>
      </c>
      <c r="N26" s="23" t="inlineStr">
        <is>
          <t>small intestine</t>
        </is>
      </c>
      <c r="O26" s="23" t="inlineStr">
        <is>
          <t>normal</t>
        </is>
      </c>
      <c r="P26" s="23" t="inlineStr">
        <is>
          <t>10x 3' v2|10x 3' v3</t>
        </is>
      </c>
      <c r="Q26" s="23" t="inlineStr">
        <is>
          <t>cell</t>
        </is>
      </c>
      <c r="R26" s="25" t="n">
        <v>36359</v>
      </c>
      <c r="S26" s="23" t="inlineStr">
        <is>
          <t>enteroendocrine cell|neuron</t>
        </is>
      </c>
      <c r="T26" s="23" t="inlineStr">
        <is>
          <t>CHGA;CHGB;NEUROD1;PAX6;GCG</t>
        </is>
      </c>
      <c r="U26" s="23" t="inlineStr">
        <is>
          <t>general peripheral neurobiology</t>
        </is>
      </c>
      <c r="V26" s="23" t="inlineStr">
        <is>
          <t>https://datasets.cellxgene.cziscience.com/fe96972c-7199-4146-9e03-af518d8916cc.h5ad</t>
        </is>
      </c>
      <c r="W26" s="23" t="inlineStr">
        <is>
          <t>https://cellxgene.cziscience.com/collections/7651ac1a-f947-463a-9223-a9e408a41989</t>
        </is>
      </c>
      <c r="X26" s="23" t="n">
        <v>1</v>
      </c>
    </row>
    <row r="27">
      <c r="A27" s="23" t="inlineStr">
        <is>
          <t>人 Human</t>
        </is>
      </c>
      <c r="B27" s="27" t="inlineStr">
        <is>
          <t>皮肤</t>
        </is>
      </c>
      <c r="C27" s="23" t="inlineStr">
        <is>
          <t>arm skin</t>
        </is>
      </c>
      <c r="D27" s="23" t="inlineStr">
        <is>
          <t>Homo sapiens</t>
        </is>
      </c>
      <c r="E27" s="23" t="inlineStr">
        <is>
          <t>L2</t>
        </is>
      </c>
      <c r="F27" s="23" t="inlineStr">
        <is>
          <t>L2:Schwann cell</t>
        </is>
      </c>
      <c r="G27" s="23" t="inlineStr"/>
      <c r="H27" s="23" t="inlineStr">
        <is>
          <t>34f12de7-c5e5-4813-a136-832677f98ac8</t>
        </is>
      </c>
      <c r="I27" s="23" t="inlineStr">
        <is>
          <t>CELLxGENE:e7c5ba7e-4be0-4696-af50-a07d0dc7aac5</t>
        </is>
      </c>
      <c r="J27" s="23" t="inlineStr">
        <is>
          <t>Multi-scale spatial mapping of cell populations across anatomical sites in healthy human skin and basal cell carcinoma</t>
        </is>
      </c>
      <c r="K27" s="23" t="inlineStr">
        <is>
          <t>健康人皮肤和基底细胞癌中跨解剖部位细胞群体的多尺度空间图谱</t>
        </is>
      </c>
      <c r="L27" s="23" t="inlineStr">
        <is>
          <t>2024</t>
        </is>
      </c>
      <c r="M27" s="23" t="inlineStr">
        <is>
          <t>10.1073/pnas.2313326120</t>
        </is>
      </c>
      <c r="N27" s="23" t="inlineStr">
        <is>
          <t>arm skin|nose skin|skin of abdomen|skin of cheek|skin of external ear|skin of forehead|skin of temple</t>
        </is>
      </c>
      <c r="O27" s="23" t="inlineStr">
        <is>
          <t>basal cell carcinoma|normal</t>
        </is>
      </c>
      <c r="P27" s="23" t="inlineStr">
        <is>
          <t>10x 3' v1|10x 3' v2|10x 3' v3</t>
        </is>
      </c>
      <c r="Q27" s="23" t="inlineStr">
        <is>
          <t>cell</t>
        </is>
      </c>
      <c r="R27" s="25" t="n">
        <v>152189</v>
      </c>
      <c r="S27" s="23" t="inlineStr">
        <is>
          <t>Schwann cell</t>
        </is>
      </c>
      <c r="T27" s="23" t="inlineStr">
        <is>
          <t>SOX10;MPZ;PLP1;MBP;PMP22</t>
        </is>
      </c>
      <c r="U27" s="23" t="inlineStr">
        <is>
          <t>外周神经再生</t>
        </is>
      </c>
      <c r="V27" s="23" t="inlineStr">
        <is>
          <t>https://datasets.cellxgene.cziscience.com/82515193-f68f-49f1-923e-d10a2b798b42.h5ad</t>
        </is>
      </c>
      <c r="W27" s="23" t="inlineStr">
        <is>
          <t>https://cellxgene.cziscience.com/collections/34f12de7-c5e5-4813-a136-832677f98ac8</t>
        </is>
      </c>
      <c r="X27" s="23" t="n">
        <v>1</v>
      </c>
    </row>
    <row r="28">
      <c r="A28" s="23" t="inlineStr">
        <is>
          <t>人 Human</t>
        </is>
      </c>
      <c r="B28" s="27" t="inlineStr">
        <is>
          <t>皮肤</t>
        </is>
      </c>
      <c r="C28" s="23" t="inlineStr">
        <is>
          <t>dermis</t>
        </is>
      </c>
      <c r="D28" s="23" t="inlineStr">
        <is>
          <t>Homo sapiens</t>
        </is>
      </c>
      <c r="E28" s="23" t="inlineStr">
        <is>
          <t>L2</t>
        </is>
      </c>
      <c r="F28" s="23" t="inlineStr">
        <is>
          <t>L2:Schwann cell</t>
        </is>
      </c>
      <c r="G28" s="23" t="inlineStr"/>
      <c r="H28" s="23" t="inlineStr">
        <is>
          <t>73f82ac8-15cc-4fcd-87f8-5683723fce7f</t>
        </is>
      </c>
      <c r="I28" s="23" t="inlineStr">
        <is>
          <t>CELLxGENE:f0f0d7c4-3bec-428e-9539-c99d36548d96</t>
        </is>
      </c>
      <c r="J28" s="23" t="inlineStr">
        <is>
          <t>Developmental cell programs are co-opted in inflammatory skin disease</t>
        </is>
      </c>
      <c r="K28" s="23" t="inlineStr">
        <is>
          <t>炎症性皮肤病中发育细胞程序被共选利用</t>
        </is>
      </c>
      <c r="L28" s="23" t="inlineStr">
        <is>
          <t>2024</t>
        </is>
      </c>
      <c r="M28" s="23" t="inlineStr">
        <is>
          <t>10.1126/science.aba6500</t>
        </is>
      </c>
      <c r="N28" s="23" t="inlineStr">
        <is>
          <t>dermis|skin epidermis</t>
        </is>
      </c>
      <c r="O28" s="23" t="inlineStr">
        <is>
          <t>normal</t>
        </is>
      </c>
      <c r="P28" s="23" t="inlineStr">
        <is>
          <t>10x 3' v2</t>
        </is>
      </c>
      <c r="Q28" s="23" t="inlineStr">
        <is>
          <t>cell</t>
        </is>
      </c>
      <c r="R28" s="25" t="n">
        <v>195739</v>
      </c>
      <c r="S28" s="23" t="inlineStr">
        <is>
          <t>Schwann cell</t>
        </is>
      </c>
      <c r="T28" s="23" t="inlineStr">
        <is>
          <t>SOX10;MPZ;PLP1;MBP;PMP22</t>
        </is>
      </c>
      <c r="U28" s="23" t="inlineStr">
        <is>
          <t>神经-免疫通讯;外周神经再生;炎症</t>
        </is>
      </c>
      <c r="V28" s="23" t="inlineStr">
        <is>
          <t>https://datasets.cellxgene.cziscience.com/f8b5c4f4-7ece-4314-9f49-fc254bbd5c71.h5ad</t>
        </is>
      </c>
      <c r="W28" s="23" t="inlineStr">
        <is>
          <t>https://cellxgene.cziscience.com/collections/73f82ac8-15cc-4fcd-87f8-5683723fce7f</t>
        </is>
      </c>
      <c r="X28" s="23" t="n">
        <v>1</v>
      </c>
    </row>
    <row r="29">
      <c r="A29" s="23" t="inlineStr">
        <is>
          <t>人 Human</t>
        </is>
      </c>
      <c r="B29" s="27" t="inlineStr">
        <is>
          <t>皮肤</t>
        </is>
      </c>
      <c r="C29" s="23" t="inlineStr">
        <is>
          <t>skin of body</t>
        </is>
      </c>
      <c r="D29" s="23" t="inlineStr">
        <is>
          <t>Homo sapiens</t>
        </is>
      </c>
      <c r="E29" s="23" t="inlineStr">
        <is>
          <t>L2</t>
        </is>
      </c>
      <c r="F29" s="23" t="inlineStr">
        <is>
          <t>L2:Schwann cell</t>
        </is>
      </c>
      <c r="G29" s="23" t="inlineStr"/>
      <c r="H29" s="23" t="inlineStr">
        <is>
          <t>5e143645-177c-45b6-952d-48770e29a54b</t>
        </is>
      </c>
      <c r="I29" s="23" t="inlineStr">
        <is>
          <t>CELLxGENE:b0ef440b-e303-4ad2-ada8-ce13336280ba</t>
        </is>
      </c>
      <c r="J29" s="23" t="inlineStr">
        <is>
          <t>Multi-modal skin atlas identifies a multicellular immune-stromal community associated with altered cornification and specific T cell expansion in atopic dermatitis</t>
        </is>
      </c>
      <c r="K29" s="23" t="inlineStr">
        <is>
          <t>多模态皮肤图谱识别出与特应性皮炎中角质化改变及特定T细胞扩增相关的多细胞免疫-基质群落</t>
        </is>
      </c>
      <c r="L29" s="23" t="inlineStr">
        <is>
          <t>2026</t>
        </is>
      </c>
      <c r="M29" s="23" t="inlineStr">
        <is>
          <t>10.1038/s41467-026-69587-7</t>
        </is>
      </c>
      <c r="N29" s="23" t="inlineStr">
        <is>
          <t>skin of body</t>
        </is>
      </c>
      <c r="O29" s="23" t="inlineStr">
        <is>
          <t>atopic eczema|normal</t>
        </is>
      </c>
      <c r="P29" s="23" t="inlineStr">
        <is>
          <t>10x 3' v2|10x 3' v3</t>
        </is>
      </c>
      <c r="Q29" s="23" t="inlineStr">
        <is>
          <t>cell</t>
        </is>
      </c>
      <c r="R29" s="25" t="n">
        <v>280518</v>
      </c>
      <c r="S29" s="23" t="inlineStr">
        <is>
          <t>Schwann cell</t>
        </is>
      </c>
      <c r="T29" s="23" t="inlineStr">
        <is>
          <t>SOX10;MPZ;PLP1;MBP;PMP22</t>
        </is>
      </c>
      <c r="U29" s="23" t="inlineStr">
        <is>
          <t>神经-免疫通讯;外周神经再生</t>
        </is>
      </c>
      <c r="V29" s="23" t="inlineStr">
        <is>
          <t>https://datasets.cellxgene.cziscience.com/e046218f-6a66-46f9-a91c-7f26b4ee00c2.h5ad</t>
        </is>
      </c>
      <c r="W29" s="23" t="inlineStr">
        <is>
          <t>https://cellxgene.cziscience.com/collections/5e143645-177c-45b6-952d-48770e29a54b</t>
        </is>
      </c>
      <c r="X29" s="23" t="n">
        <v>1</v>
      </c>
    </row>
    <row r="30">
      <c r="A30" s="23" t="inlineStr">
        <is>
          <t>人 Human</t>
        </is>
      </c>
      <c r="B30" s="27" t="inlineStr">
        <is>
          <t>皮肤</t>
        </is>
      </c>
      <c r="C30" s="23" t="inlineStr">
        <is>
          <t>subcutaneous abdominal adipose tissue</t>
        </is>
      </c>
      <c r="D30" s="23" t="inlineStr">
        <is>
          <t>Homo sapiens</t>
        </is>
      </c>
      <c r="E30" s="23" t="inlineStr">
        <is>
          <t>L2</t>
        </is>
      </c>
      <c r="F30" s="23" t="inlineStr">
        <is>
          <t>L2:Schwann cell</t>
        </is>
      </c>
      <c r="G30" s="23" t="inlineStr"/>
      <c r="H30" s="23" t="inlineStr">
        <is>
          <t>6b701826-37bb-4356-9792-ff41fc4c3161</t>
        </is>
      </c>
      <c r="I30" s="23" t="inlineStr">
        <is>
          <t>CELLxGENE:9d8e5dca-03a3-457d-b7fb-844c75735c83</t>
        </is>
      </c>
      <c r="J30" s="23" t="inlineStr">
        <is>
          <t>Single-Nucleus Analysis of Human White Adipose Tissue Reveals Adipocyte Subsets with Distinct Metabolic Profiles</t>
        </is>
      </c>
      <c r="K30" s="23" t="inlineStr">
        <is>
          <t>人白色脂肪组织单细胞核分析揭示具有不同代谢特征的脂肪细胞亚群</t>
        </is>
      </c>
      <c r="L30" s="23" t="inlineStr">
        <is>
          <t>2023</t>
        </is>
      </c>
      <c r="M30" s="23" t="inlineStr">
        <is>
          <t>10.1101/2025.09.14.673351</t>
        </is>
      </c>
      <c r="N30" s="23" t="inlineStr">
        <is>
          <t>subcutaneous abdominal adipose tissue|visceral abdominal adipose tissue</t>
        </is>
      </c>
      <c r="O30" s="23" t="inlineStr">
        <is>
          <t>normal</t>
        </is>
      </c>
      <c r="P30" s="23" t="inlineStr">
        <is>
          <t>10x 3' v3</t>
        </is>
      </c>
      <c r="Q30" s="23" t="inlineStr">
        <is>
          <t>nucleus</t>
        </is>
      </c>
      <c r="R30" s="25" t="n">
        <v>72335</v>
      </c>
      <c r="S30" s="23" t="inlineStr">
        <is>
          <t>Schwann cell|neuron associated cell</t>
        </is>
      </c>
      <c r="T30" s="23" t="inlineStr">
        <is>
          <t>SOX10;MPZ;PLP1;MBP;PMP22</t>
        </is>
      </c>
      <c r="U30" s="23" t="inlineStr">
        <is>
          <t>外周神经再生</t>
        </is>
      </c>
      <c r="V30" s="23" t="inlineStr">
        <is>
          <t>https://datasets.cellxgene.cziscience.com/3d0f967f-ad82-4470-a46d-6d156ad13e42.h5ad</t>
        </is>
      </c>
      <c r="W30" s="23" t="inlineStr">
        <is>
          <t>https://cellxgene.cziscience.com/collections/6b701826-37bb-4356-9792-ff41fc4c3161</t>
        </is>
      </c>
      <c r="X30" s="23" t="n">
        <v>1</v>
      </c>
    </row>
    <row r="31">
      <c r="A31" s="23" t="inlineStr">
        <is>
          <t>人 Human</t>
        </is>
      </c>
      <c r="B31" s="28" t="inlineStr">
        <is>
          <t>心血管</t>
        </is>
      </c>
      <c r="C31" s="23" t="inlineStr">
        <is>
          <t>apex of heart</t>
        </is>
      </c>
      <c r="D31" s="23" t="inlineStr">
        <is>
          <t>Homo sapiens</t>
        </is>
      </c>
      <c r="E31" s="23" t="inlineStr">
        <is>
          <t>L1</t>
        </is>
      </c>
      <c r="F31" s="23" t="inlineStr">
        <is>
          <t>L1:Cardiac neuron</t>
        </is>
      </c>
      <c r="G31" s="23" t="inlineStr"/>
      <c r="H31" s="23" t="inlineStr">
        <is>
          <t>20eea6c8-9d64-42c9-9b6f-c11b5249e0e9</t>
        </is>
      </c>
      <c r="I31" s="23" t="inlineStr">
        <is>
          <t>CELLxGENE:2e9d2f32-4cfb-49b5-b990-cbf4c241214e</t>
        </is>
      </c>
      <c r="J31" s="23" t="inlineStr">
        <is>
          <t>Single-cell genomics improves the discovery of risk variants and genes of atrial fibrillation</t>
        </is>
      </c>
      <c r="K31" s="23" t="inlineStr">
        <is>
          <t>单细胞基因组学改进心房颤动风险变异和基因的发现</t>
        </is>
      </c>
      <c r="L31" s="23" t="inlineStr">
        <is>
          <t>2024</t>
        </is>
      </c>
      <c r="M31" s="23" t="inlineStr">
        <is>
          <t>10.1038/s41467-023-40505-5</t>
        </is>
      </c>
      <c r="N31" s="23" t="inlineStr">
        <is>
          <t>apex of heart|heart left ventricle|heart right ventricle|interventricular septum</t>
        </is>
      </c>
      <c r="O31" s="23" t="inlineStr">
        <is>
          <t>normal</t>
        </is>
      </c>
      <c r="P31" s="23" t="inlineStr">
        <is>
          <t>10x 3' v3</t>
        </is>
      </c>
      <c r="Q31" s="23" t="inlineStr">
        <is>
          <t>nucleus</t>
        </is>
      </c>
      <c r="R31" s="25" t="n">
        <v>49359</v>
      </c>
      <c r="S31" s="23" t="inlineStr">
        <is>
          <t>cardiac neuron</t>
        </is>
      </c>
      <c r="T31" s="23" t="inlineStr">
        <is>
          <t>RBFOX3;TUBB3;SNAP25;PRPH;PHOX2B</t>
        </is>
      </c>
      <c r="U31" s="23" t="inlineStr">
        <is>
          <t>general peripheral neurobiology</t>
        </is>
      </c>
      <c r="V31" s="23" t="inlineStr">
        <is>
          <t>https://datasets.cellxgene.cziscience.com/f35a8c3f-b3a0-4373-a4cd-c937db7f7ec2.h5ad</t>
        </is>
      </c>
      <c r="W31" s="23" t="inlineStr">
        <is>
          <t>https://cellxgene.cziscience.com/collections/20eea6c8-9d64-42c9-9b6f-c11b5249e0e9</t>
        </is>
      </c>
      <c r="X31" s="23" t="n">
        <v>1</v>
      </c>
    </row>
    <row r="32">
      <c r="A32" s="23" t="inlineStr">
        <is>
          <t>人 Human</t>
        </is>
      </c>
      <c r="B32" s="28" t="inlineStr">
        <is>
          <t>心血管</t>
        </is>
      </c>
      <c r="C32" s="23" t="inlineStr">
        <is>
          <t>apex of heart</t>
        </is>
      </c>
      <c r="D32" s="23" t="inlineStr">
        <is>
          <t>Homo sapiens</t>
        </is>
      </c>
      <c r="E32" s="23" t="inlineStr">
        <is>
          <t>L1</t>
        </is>
      </c>
      <c r="F32" s="23" t="inlineStr">
        <is>
          <t>L1:Cardiac neuron</t>
        </is>
      </c>
      <c r="G32" s="23" t="inlineStr"/>
      <c r="H32" s="23" t="inlineStr">
        <is>
          <t>e75342a8-0f3b-4ec5-8ee1-245a23e0f7cb</t>
        </is>
      </c>
      <c r="I32" s="23" t="inlineStr">
        <is>
          <t>CELLxGENE:65badd7a-9262-4fd1-9ce2-eb5dc0ca8039</t>
        </is>
      </c>
      <c r="J32" s="23" t="inlineStr">
        <is>
          <t>Pathogenic variants damage cell composition and single cell transcription in cardiomyopathies</t>
        </is>
      </c>
      <c r="K32" s="23" t="inlineStr">
        <is>
          <t>致病性变异损害心肌病中的细胞组成与单细胞转录</t>
        </is>
      </c>
      <c r="L32" s="23" t="inlineStr">
        <is>
          <t>2022</t>
        </is>
      </c>
      <c r="M32" s="23" t="inlineStr">
        <is>
          <t>10.1126/science.abo1984</t>
        </is>
      </c>
      <c r="N32" s="23" t="inlineStr">
        <is>
          <t>apex of heart|heart left ventricle|heart right ventricle|interventricular septum</t>
        </is>
      </c>
      <c r="O32" s="23" t="inlineStr">
        <is>
          <t>arrhythmogenic right ventricular cardiomyopathy|dilated cardiomyopathy|non-compaction cardiomyopathy|normal</t>
        </is>
      </c>
      <c r="P32" s="23" t="inlineStr">
        <is>
          <t>10x 3' v2|10x 3' v3</t>
        </is>
      </c>
      <c r="Q32" s="23" t="inlineStr">
        <is>
          <t>nucleus</t>
        </is>
      </c>
      <c r="R32" s="25" t="n">
        <v>881081</v>
      </c>
      <c r="S32" s="23" t="inlineStr">
        <is>
          <t>cardiac neuron</t>
        </is>
      </c>
      <c r="T32" s="23" t="inlineStr">
        <is>
          <t>RBFOX3;TUBB3;SNAP25;PRPH;PHOX2B</t>
        </is>
      </c>
      <c r="U32" s="23" t="inlineStr">
        <is>
          <t>general peripheral neurobiology</t>
        </is>
      </c>
      <c r="V32" s="23" t="inlineStr">
        <is>
          <t>https://datasets.cellxgene.cziscience.com/6d0b8b8a-2b22-4578-b8ee-8ca4ab893594.h5ad</t>
        </is>
      </c>
      <c r="W32" s="23" t="inlineStr">
        <is>
          <t>https://cellxgene.cziscience.com/collections/e75342a8-0f3b-4ec5-8ee1-245a23e0f7cb</t>
        </is>
      </c>
      <c r="X32" s="23" t="n">
        <v>2</v>
      </c>
    </row>
    <row r="33">
      <c r="A33" s="23" t="inlineStr">
        <is>
          <t>人 Human</t>
        </is>
      </c>
      <c r="B33" s="28" t="inlineStr">
        <is>
          <t>心血管</t>
        </is>
      </c>
      <c r="C33" s="23" t="inlineStr">
        <is>
          <t>apex of heart</t>
        </is>
      </c>
      <c r="D33" s="23" t="inlineStr">
        <is>
          <t>Homo sapiens</t>
        </is>
      </c>
      <c r="E33" s="23" t="inlineStr">
        <is>
          <t>L1</t>
        </is>
      </c>
      <c r="F33" s="23" t="inlineStr">
        <is>
          <t>L1:Cardiac neuron</t>
        </is>
      </c>
      <c r="G33" s="23" t="inlineStr"/>
      <c r="H33" s="23" t="inlineStr">
        <is>
          <t>328d71f0-0ed7-4518-966f-be6bd0797324</t>
        </is>
      </c>
      <c r="I33" s="23" t="inlineStr">
        <is>
          <t>CELLxGENE:fe7aae33-6f7c-41a5-8d29-9996a9ddf1ab</t>
        </is>
      </c>
      <c r="J33" s="23" t="inlineStr">
        <is>
          <t>The cellular and molecular cardiac tissue responses in human inflammatory cardiomyopathies after SARS-CoV-2 infection and COVID-19 vaccination</t>
        </is>
      </c>
      <c r="K33" s="23" t="inlineStr">
        <is>
          <t>SARS-CoV-2感染和COVID-19疫苗接种后人炎症性心肌病的心脏细胞与分子组织反应</t>
        </is>
      </c>
      <c r="L33" s="23" t="inlineStr">
        <is>
          <t>2025</t>
        </is>
      </c>
      <c r="M33" s="23" t="inlineStr">
        <is>
          <t>10.1038/s44161-025-00612-6</t>
        </is>
      </c>
      <c r="N33" s="23" t="inlineStr">
        <is>
          <t>apex of heart|heart left ventricle</t>
        </is>
      </c>
      <c r="O33" s="23" t="inlineStr">
        <is>
          <t>myocarditis|normal</t>
        </is>
      </c>
      <c r="P33" s="23" t="inlineStr">
        <is>
          <t>10x 3' v2|10x 3' v3</t>
        </is>
      </c>
      <c r="Q33" s="23" t="inlineStr">
        <is>
          <t>nucleus</t>
        </is>
      </c>
      <c r="R33" s="25" t="n">
        <v>205596</v>
      </c>
      <c r="S33" s="23" t="inlineStr">
        <is>
          <t>cardiac neuron</t>
        </is>
      </c>
      <c r="T33" s="23" t="inlineStr">
        <is>
          <t>RBFOX3;TUBB3;SNAP25;PRPH;PHOX2B</t>
        </is>
      </c>
      <c r="U33" s="23" t="inlineStr">
        <is>
          <t>神经-免疫通讯;炎症</t>
        </is>
      </c>
      <c r="V33" s="23" t="inlineStr">
        <is>
          <t>https://datasets.cellxgene.cziscience.com/5ca4319d-488f-444d-b383-e909fe0783d4.h5ad</t>
        </is>
      </c>
      <c r="W33" s="23" t="inlineStr">
        <is>
          <t>https://cellxgene.cziscience.com/collections/328d71f0-0ed7-4518-966f-be6bd0797324</t>
        </is>
      </c>
      <c r="X33" s="23" t="n">
        <v>1</v>
      </c>
    </row>
    <row r="34">
      <c r="A34" s="23" t="inlineStr">
        <is>
          <t>人 Human</t>
        </is>
      </c>
      <c r="B34" s="28" t="inlineStr">
        <is>
          <t>心血管</t>
        </is>
      </c>
      <c r="C34" s="23" t="inlineStr">
        <is>
          <t>apex of heart</t>
        </is>
      </c>
      <c r="D34" s="23" t="inlineStr">
        <is>
          <t>Homo sapiens</t>
        </is>
      </c>
      <c r="E34" s="23" t="inlineStr">
        <is>
          <t>待定(泛神经)</t>
        </is>
      </c>
      <c r="F34" s="23" t="inlineStr">
        <is>
          <t>—</t>
        </is>
      </c>
      <c r="G34" s="23" t="inlineStr">
        <is>
          <t>含泛neuron(器官图谱→疑中枢/噪声,待裁定)</t>
        </is>
      </c>
      <c r="H34" s="23" t="inlineStr">
        <is>
          <t>43b45a20-a969-49ac-a8e8-8c84b211bd01</t>
        </is>
      </c>
      <c r="I34" s="23" t="inlineStr">
        <is>
          <t>CELLxGENE:5500c673-1610-40a0-86d9-64d987ae50e6</t>
        </is>
      </c>
      <c r="J34" s="23" t="inlineStr">
        <is>
          <t>Integrated adult and foetal heart single-cell RNA sequencing</t>
        </is>
      </c>
      <c r="K34" s="23" t="inlineStr">
        <is>
          <t>整合成人与胎儿心脏单细胞RNA测序</t>
        </is>
      </c>
      <c r="L34" s="23" t="inlineStr">
        <is>
          <t>2023</t>
        </is>
      </c>
      <c r="M34" s="23" t="inlineStr">
        <is>
          <t>10.1038/s44161-022-00183-w</t>
        </is>
      </c>
      <c r="N34" s="23" t="inlineStr">
        <is>
          <t>apex of heart|basal zone of heart|heart left ventricle|heart right ventricle|interventricular septum|left cardiac atrium|right cardiac atrium</t>
        </is>
      </c>
      <c r="O34" s="23" t="inlineStr">
        <is>
          <t>normal</t>
        </is>
      </c>
      <c r="P34" s="23" t="inlineStr">
        <is>
          <t>10x 3' v2|10x 3' v3</t>
        </is>
      </c>
      <c r="Q34" s="23" t="inlineStr">
        <is>
          <t>cell|nucleus</t>
        </is>
      </c>
      <c r="R34" s="25" t="n">
        <v>60668</v>
      </c>
      <c r="S34" s="23" t="inlineStr">
        <is>
          <t>neuron</t>
        </is>
      </c>
      <c r="T34" s="23" t="inlineStr">
        <is>
          <t>RBFOX3;TUBB3;SNAP25;PRPH;PHOX2B</t>
        </is>
      </c>
      <c r="U34" s="23" t="inlineStr">
        <is>
          <t>general peripheral neurobiology</t>
        </is>
      </c>
      <c r="V34" s="23" t="inlineStr">
        <is>
          <t>https://datasets.cellxgene.cziscience.com/85f6cdae-10c2-4c97-8a95-cf03f87ecd2e.h5ad</t>
        </is>
      </c>
      <c r="W34" s="23" t="inlineStr">
        <is>
          <t>https://cellxgene.cziscience.com/collections/43b45a20-a969-49ac-a8e8-8c84b211bd01</t>
        </is>
      </c>
      <c r="X34" s="23" t="n">
        <v>1</v>
      </c>
    </row>
    <row r="35">
      <c r="A35" s="23" t="inlineStr">
        <is>
          <t>人 Human</t>
        </is>
      </c>
      <c r="B35" s="28" t="inlineStr">
        <is>
          <t>心血管</t>
        </is>
      </c>
      <c r="C35" s="23" t="inlineStr">
        <is>
          <t>apical region of left ventricle</t>
        </is>
      </c>
      <c r="D35" s="23" t="inlineStr">
        <is>
          <t>Homo sapiens</t>
        </is>
      </c>
      <c r="E35" s="23" t="inlineStr">
        <is>
          <t>待定(泛神经)</t>
        </is>
      </c>
      <c r="F35" s="23" t="inlineStr">
        <is>
          <t>—</t>
        </is>
      </c>
      <c r="G35" s="23" t="inlineStr">
        <is>
          <t>含泛neuron(器官图谱→疑中枢/噪声,待裁定)</t>
        </is>
      </c>
      <c r="H35" s="23" t="inlineStr">
        <is>
          <t>68e7e5b7-4dc9-4609-832e-7656aa6182ba</t>
        </is>
      </c>
      <c r="I35" s="23" t="inlineStr">
        <is>
          <t>CELLxGENE:99e317c0-1fab-4f73-b511-859e752fd1c3</t>
        </is>
      </c>
      <c r="J35" s="23" t="inlineStr">
        <is>
          <t>Sex-Specific Control of Human Heart Maturation by the Progesterone Receptor</t>
        </is>
      </c>
      <c r="K35" s="23" t="inlineStr">
        <is>
          <t>孕激素受体对人类心脏成熟的性别特异性调控</t>
        </is>
      </c>
      <c r="L35" s="23" t="inlineStr">
        <is>
          <t>2024</t>
        </is>
      </c>
      <c r="M35" s="23" t="inlineStr">
        <is>
          <t>10.1161/CIRCULATIONAHA.120.051921</t>
        </is>
      </c>
      <c r="N35" s="23" t="inlineStr">
        <is>
          <t>apical region of left ventricle</t>
        </is>
      </c>
      <c r="O35" s="23" t="inlineStr">
        <is>
          <t>normal</t>
        </is>
      </c>
      <c r="P35" s="23" t="inlineStr">
        <is>
          <t>10x 3' v3</t>
        </is>
      </c>
      <c r="Q35" s="23" t="inlineStr">
        <is>
          <t>nucleus</t>
        </is>
      </c>
      <c r="R35" s="25" t="n">
        <v>51176</v>
      </c>
      <c r="S35" s="23" t="inlineStr">
        <is>
          <t>neuron</t>
        </is>
      </c>
      <c r="T35" s="23" t="inlineStr">
        <is>
          <t>RBFOX3;TUBB3;SNAP25;PRPH;PHOX2B</t>
        </is>
      </c>
      <c r="U35" s="23" t="inlineStr">
        <is>
          <t>general peripheral neurobiology</t>
        </is>
      </c>
      <c r="V35" s="23" t="inlineStr">
        <is>
          <t>https://datasets.cellxgene.cziscience.com/59c9aa5c-ee73-4252-b149-5cb011f924b1.h5ad</t>
        </is>
      </c>
      <c r="W35" s="23" t="inlineStr">
        <is>
          <t>https://cellxgene.cziscience.com/collections/68e7e5b7-4dc9-4609-832e-7656aa6182ba</t>
        </is>
      </c>
      <c r="X35" s="23" t="n">
        <v>1</v>
      </c>
    </row>
    <row r="36">
      <c r="A36" s="23" t="inlineStr">
        <is>
          <t>人 Human</t>
        </is>
      </c>
      <c r="B36" s="28" t="inlineStr">
        <is>
          <t>心血管</t>
        </is>
      </c>
      <c r="C36" s="23" t="inlineStr">
        <is>
          <t>heart</t>
        </is>
      </c>
      <c r="D36" s="23" t="inlineStr">
        <is>
          <t>Homo sapiens</t>
        </is>
      </c>
      <c r="E36" s="23" t="inlineStr">
        <is>
          <t>待定(泛神经)</t>
        </is>
      </c>
      <c r="F36" s="23" t="inlineStr">
        <is>
          <t>—</t>
        </is>
      </c>
      <c r="G36" s="23" t="inlineStr">
        <is>
          <t>含泛neuron(器官图谱→疑中枢/噪声,待裁定)</t>
        </is>
      </c>
      <c r="H36" s="23" t="inlineStr">
        <is>
          <t>9c9ce98a-6b02-4262-9407-1ebb2de31f63</t>
        </is>
      </c>
      <c r="I36" s="23" t="inlineStr">
        <is>
          <t>CELLxGENE:9928ad5f-6afd-4fb0-89b0-6690e2a2ce25</t>
        </is>
      </c>
      <c r="J36" s="23" t="inlineStr">
        <is>
          <t>Integrated multi-omic characterization of congenital heart disease</t>
        </is>
      </c>
      <c r="K36" s="23" t="inlineStr">
        <is>
          <t>先天性心脏病的整合多组学特征分析</t>
        </is>
      </c>
      <c r="L36" s="23" t="inlineStr">
        <is>
          <t>2026</t>
        </is>
      </c>
      <c r="M36" s="23" t="inlineStr">
        <is>
          <t>10.1038/s41586-022-04989-3</t>
        </is>
      </c>
      <c r="N36" s="23" t="inlineStr">
        <is>
          <t>heart</t>
        </is>
      </c>
      <c r="O36" s="23" t="inlineStr">
        <is>
          <t>congenital heart disease|dilated cardiomyopathy|hypertrophic cardiomyopathy|hypoplastic left heart syndrome|tetralogy of fallot</t>
        </is>
      </c>
      <c r="P36" s="23" t="inlineStr">
        <is>
          <t>10x 3' v3</t>
        </is>
      </c>
      <c r="Q36" s="23" t="inlineStr">
        <is>
          <t>nucleus</t>
        </is>
      </c>
      <c r="R36" s="25" t="n">
        <v>157293</v>
      </c>
      <c r="S36" s="23" t="inlineStr">
        <is>
          <t>neuron</t>
        </is>
      </c>
      <c r="T36" s="23" t="inlineStr">
        <is>
          <t>RBFOX3;TUBB3;SNAP25;PRPH;PHOX2B</t>
        </is>
      </c>
      <c r="U36" s="23" t="inlineStr">
        <is>
          <t>general peripheral neurobiology</t>
        </is>
      </c>
      <c r="V36" s="23" t="inlineStr">
        <is>
          <t>https://datasets.cellxgene.cziscience.com/beb6ae0c-c47b-4a8d-9f8d-39a43f5853bd.h5ad</t>
        </is>
      </c>
      <c r="W36" s="23" t="inlineStr">
        <is>
          <t>https://cellxgene.cziscience.com/collections/9c9ce98a-6b02-4262-9407-1ebb2de31f63</t>
        </is>
      </c>
      <c r="X36" s="23" t="n">
        <v>1</v>
      </c>
    </row>
    <row r="37">
      <c r="A37" s="23" t="inlineStr">
        <is>
          <t>人 Human</t>
        </is>
      </c>
      <c r="B37" s="28" t="inlineStr">
        <is>
          <t>心血管</t>
        </is>
      </c>
      <c r="C37" s="23" t="inlineStr">
        <is>
          <t>heart left ventricle</t>
        </is>
      </c>
      <c r="D37" s="23" t="inlineStr">
        <is>
          <t>Homo sapiens</t>
        </is>
      </c>
      <c r="E37" s="23" t="inlineStr">
        <is>
          <t>L1</t>
        </is>
      </c>
      <c r="F37" s="23" t="inlineStr">
        <is>
          <t>L1:Neuronal receptor cell</t>
        </is>
      </c>
      <c r="G37" s="23" t="inlineStr"/>
      <c r="H37" s="23" t="inlineStr">
        <is>
          <t>8191c283-0816-424b-9b61-c3e1d6258a77</t>
        </is>
      </c>
      <c r="I37" s="23" t="inlineStr">
        <is>
          <t>CELLxGENE:1c739a3e-c3f5-49d5-98e0-73975e751201</t>
        </is>
      </c>
      <c r="J37" s="23" t="inlineStr">
        <is>
          <t>Spatial multi-omic map of human myocardial infarction</t>
        </is>
      </c>
      <c r="K37" s="23" t="inlineStr">
        <is>
          <t>人类心肌梗死的空间多组学图谱</t>
        </is>
      </c>
      <c r="L37" s="23" t="inlineStr">
        <is>
          <t>2022</t>
        </is>
      </c>
      <c r="M37" s="23" t="inlineStr">
        <is>
          <t>10.1038/s41586-022-05060-x</t>
        </is>
      </c>
      <c r="N37" s="23" t="inlineStr">
        <is>
          <t>heart left ventricle</t>
        </is>
      </c>
      <c r="O37" s="23" t="inlineStr">
        <is>
          <t>myocardial infarction|normal</t>
        </is>
      </c>
      <c r="P37" s="23" t="inlineStr">
        <is>
          <t>10x 3' v3</t>
        </is>
      </c>
      <c r="Q37" s="23" t="inlineStr">
        <is>
          <t>nucleus</t>
        </is>
      </c>
      <c r="R37" s="25" t="n">
        <v>191795</v>
      </c>
      <c r="S37" s="23" t="inlineStr">
        <is>
          <t>neuronal receptor cell</t>
        </is>
      </c>
      <c r="T37" s="23" t="inlineStr">
        <is>
          <t>RBFOX3;TUBB3;SNAP25;PRPH;PHOX2B</t>
        </is>
      </c>
      <c r="U37" s="23" t="inlineStr">
        <is>
          <t>针灸作用相关</t>
        </is>
      </c>
      <c r="V37" s="23" t="inlineStr">
        <is>
          <t>https://datasets.cellxgene.cziscience.com/4780eb7d-4c7c-4630-8705-471f0de8e27a.h5ad</t>
        </is>
      </c>
      <c r="W37" s="23" t="inlineStr">
        <is>
          <t>https://cellxgene.cziscience.com/collections/8191c283-0816-424b-9b61-c3e1d6258a77</t>
        </is>
      </c>
      <c r="X37" s="23" t="n">
        <v>3</v>
      </c>
    </row>
    <row r="38">
      <c r="A38" s="23" t="inlineStr">
        <is>
          <t>人 Human</t>
        </is>
      </c>
      <c r="B38" s="28" t="inlineStr">
        <is>
          <t>心血管</t>
        </is>
      </c>
      <c r="C38" s="23" t="inlineStr">
        <is>
          <t>right atrium auricular region</t>
        </is>
      </c>
      <c r="D38" s="23" t="inlineStr">
        <is>
          <t>Homo sapiens</t>
        </is>
      </c>
      <c r="E38" s="23" t="inlineStr">
        <is>
          <t>L2</t>
        </is>
      </c>
      <c r="F38" s="23" t="inlineStr">
        <is>
          <t>L2:Schwann cell</t>
        </is>
      </c>
      <c r="G38" s="23" t="inlineStr">
        <is>
          <t>含泛neuron(器官图谱→疑中枢/噪声,待裁定)</t>
        </is>
      </c>
      <c r="H38" s="23" t="inlineStr">
        <is>
          <t>8c782494-01ed-491b-97b9-6f0d3b76c676</t>
        </is>
      </c>
      <c r="I38" s="23" t="inlineStr">
        <is>
          <t>CELLxGENE:8f4f8502-9170-4ac2-9707-3b6985ebfe5f</t>
        </is>
      </c>
      <c r="J38" s="23" t="inlineStr">
        <is>
          <t>Transcriptomic and spatial dissection of human ex vivo right atrial tissue reveals proinflammatory microvascular changes in ischemic heart disease</t>
        </is>
      </c>
      <c r="K38" s="23" t="inlineStr">
        <is>
          <t>人类离体右心房组织的转录组与空间解析揭示缺血性心脏病中的促炎性微血管变化</t>
        </is>
      </c>
      <c r="L38" s="23" t="inlineStr">
        <is>
          <t>2024</t>
        </is>
      </c>
      <c r="M38" s="23" t="inlineStr">
        <is>
          <t>10.1016/j.xcrm.2024.101556</t>
        </is>
      </c>
      <c r="N38" s="23" t="inlineStr">
        <is>
          <t>right atrium auricular region</t>
        </is>
      </c>
      <c r="O38" s="23" t="inlineStr">
        <is>
          <t>heart failure|heart valve disorder|myocardial ischemia|normal</t>
        </is>
      </c>
      <c r="P38" s="23" t="inlineStr">
        <is>
          <t>10x 3' v3</t>
        </is>
      </c>
      <c r="Q38" s="23" t="inlineStr">
        <is>
          <t>nucleus</t>
        </is>
      </c>
      <c r="R38" s="25" t="n">
        <v>221756</v>
      </c>
      <c r="S38" s="23" t="inlineStr">
        <is>
          <t>Schwann cell|neuron</t>
        </is>
      </c>
      <c r="T38" s="23" t="inlineStr">
        <is>
          <t>SOX10;MPZ;PLP1;MBP;PMP22</t>
        </is>
      </c>
      <c r="U38" s="23" t="inlineStr">
        <is>
          <t>针灸作用相关;神经-免疫通讯;外周神经再生;炎症</t>
        </is>
      </c>
      <c r="V38" s="23" t="inlineStr">
        <is>
          <t>https://datasets.cellxgene.cziscience.com/86094298-00c2-4d09-b11d-342c5aa1f951.h5ad</t>
        </is>
      </c>
      <c r="W38" s="23" t="inlineStr">
        <is>
          <t>https://cellxgene.cziscience.com/collections/8c782494-01ed-491b-97b9-6f0d3b76c676</t>
        </is>
      </c>
      <c r="X38" s="23" t="n">
        <v>2</v>
      </c>
    </row>
    <row r="39">
      <c r="A39" s="23" t="inlineStr">
        <is>
          <t>人 Human</t>
        </is>
      </c>
      <c r="B39" s="29" t="inlineStr">
        <is>
          <t>呼吸系统</t>
        </is>
      </c>
      <c r="C39" s="23" t="inlineStr">
        <is>
          <t>blood</t>
        </is>
      </c>
      <c r="D39" s="23" t="inlineStr">
        <is>
          <t>Homo sapiens</t>
        </is>
      </c>
      <c r="E39" s="23" t="inlineStr">
        <is>
          <t>L4</t>
        </is>
      </c>
      <c r="F39" s="23" t="inlineStr">
        <is>
          <t>L4:Pulmonary neuroendocrine cell</t>
        </is>
      </c>
      <c r="G39" s="23" t="inlineStr"/>
      <c r="H39" s="23" t="inlineStr">
        <is>
          <t>5d445965-6f1a-4b68-ba3a-b8f765155d3a</t>
        </is>
      </c>
      <c r="I39" s="23" t="inlineStr">
        <is>
          <t>CELLxGENE:8c42cfd0-0b0a-46d5-910c-fc833d83c45e</t>
        </is>
      </c>
      <c r="J39" s="23" t="inlineStr">
        <is>
          <t>A molecular cell atlas of the human lung from single cell RNA sequencing</t>
        </is>
      </c>
      <c r="K39" s="23" t="inlineStr">
        <is>
          <t>单细胞RNA测序揭示的人类肺分子细胞图谱</t>
        </is>
      </c>
      <c r="L39" s="23" t="inlineStr">
        <is>
          <t>2020</t>
        </is>
      </c>
      <c r="M39" s="23" t="inlineStr">
        <is>
          <t>10.1038/s41586-020-2922-4</t>
        </is>
      </c>
      <c r="N39" s="23" t="inlineStr">
        <is>
          <t>blood|lung</t>
        </is>
      </c>
      <c r="O39" s="23" t="inlineStr">
        <is>
          <t>normal</t>
        </is>
      </c>
      <c r="P39" s="23" t="inlineStr">
        <is>
          <t>10x 3' v2</t>
        </is>
      </c>
      <c r="Q39" s="23" t="inlineStr">
        <is>
          <t>cell</t>
        </is>
      </c>
      <c r="R39" s="25" t="n">
        <v>65662</v>
      </c>
      <c r="S39" s="23" t="inlineStr">
        <is>
          <t>pulmonary neuroendocrine cell</t>
        </is>
      </c>
      <c r="T39" s="23" t="inlineStr">
        <is>
          <t>CHGA;CHGB;ASCL1;SYP;NCAM1</t>
        </is>
      </c>
      <c r="U39" s="23" t="inlineStr">
        <is>
          <t>general peripheral neurobiology</t>
        </is>
      </c>
      <c r="V39" s="23" t="inlineStr">
        <is>
          <t>https://datasets.cellxgene.cziscience.com/f5568ea3-c249-4e4e-91f8-46abc30a5612.h5ad</t>
        </is>
      </c>
      <c r="W39" s="23" t="inlineStr">
        <is>
          <t>https://cellxgene.cziscience.com/collections/5d445965-6f1a-4b68-ba3a-b8f765155d3a</t>
        </is>
      </c>
      <c r="X39" s="23" t="n">
        <v>2</v>
      </c>
    </row>
    <row r="40">
      <c r="A40" s="23" t="inlineStr">
        <is>
          <t>人 Human</t>
        </is>
      </c>
      <c r="B40" s="29" t="inlineStr">
        <is>
          <t>呼吸系统</t>
        </is>
      </c>
      <c r="C40" s="23" t="inlineStr">
        <is>
          <t>bronchus</t>
        </is>
      </c>
      <c r="D40" s="23" t="inlineStr">
        <is>
          <t>Homo sapiens</t>
        </is>
      </c>
      <c r="E40" s="23" t="inlineStr">
        <is>
          <t>L2;L4</t>
        </is>
      </c>
      <c r="F40" s="23" t="inlineStr">
        <is>
          <t>L2:Myelinating Schwann cell/Non-myelinating Schwann cell | L4:Neuroendocrine cell</t>
        </is>
      </c>
      <c r="G40" s="23" t="inlineStr"/>
      <c r="H40" s="23" t="inlineStr">
        <is>
          <t>c1241244-b22d-483d-875b-75699efb9f3c</t>
        </is>
      </c>
      <c r="I40" s="23" t="inlineStr">
        <is>
          <t>CELLxGENE:093d3bfe-6f0f-4ac0-a7a1-829f94d0a49f</t>
        </is>
      </c>
      <c r="J40" s="23" t="inlineStr">
        <is>
          <t>A spatially resolved atlas of the human lung characterizes a gland-associated immune niche</t>
        </is>
      </c>
      <c r="K40" s="23" t="inlineStr">
        <is>
          <t>人类肺部的空间分辨图谱刻画了一个腺体相关的免疫微环境</t>
        </is>
      </c>
      <c r="L40" s="23" t="inlineStr">
        <is>
          <t>2024</t>
        </is>
      </c>
      <c r="M40" s="23" t="inlineStr">
        <is>
          <t>10.1038/s41588-022-01243-4</t>
        </is>
      </c>
      <c r="N40" s="23" t="inlineStr">
        <is>
          <t>bronchus|lower lobe of left lung|lung|trachea|upper lobe of left lung</t>
        </is>
      </c>
      <c r="O40" s="23" t="inlineStr">
        <is>
          <t>normal</t>
        </is>
      </c>
      <c r="P40" s="23" t="inlineStr">
        <is>
          <t>10x 3' v2|10x 3' v3|10x 5' transcription profiling</t>
        </is>
      </c>
      <c r="Q40" s="23" t="inlineStr">
        <is>
          <t>cell|nucleus</t>
        </is>
      </c>
      <c r="R40" s="25" t="n">
        <v>193108</v>
      </c>
      <c r="S40" s="23" t="inlineStr">
        <is>
          <t>myelinating Schwann cell|neuroendocrine cell|non-myelinating Schwann cell</t>
        </is>
      </c>
      <c r="T40" s="23" t="inlineStr">
        <is>
          <t>SOX10;MPZ;PLP1;MBP;PMP22</t>
        </is>
      </c>
      <c r="U40" s="23" t="inlineStr">
        <is>
          <t>神经-免疫通讯;外周神经再生</t>
        </is>
      </c>
      <c r="V40" s="23" t="inlineStr">
        <is>
          <t>https://datasets.cellxgene.cziscience.com/dea9f35e-1be6-4240-919d-7eb2f471cbe9.h5ad</t>
        </is>
      </c>
      <c r="W40" s="23" t="inlineStr">
        <is>
          <t>https://cellxgene.cziscience.com/collections/c1241244-b22d-483d-875b-75699efb9f3c</t>
        </is>
      </c>
      <c r="X40" s="23" t="n">
        <v>3</v>
      </c>
    </row>
    <row r="41">
      <c r="A41" s="23" t="inlineStr">
        <is>
          <t>人 Human</t>
        </is>
      </c>
      <c r="B41" s="29" t="inlineStr">
        <is>
          <t>呼吸系统</t>
        </is>
      </c>
      <c r="C41" s="23" t="inlineStr">
        <is>
          <t>bronchus</t>
        </is>
      </c>
      <c r="D41" s="23" t="inlineStr">
        <is>
          <t>Homo sapiens</t>
        </is>
      </c>
      <c r="E41" s="23" t="inlineStr">
        <is>
          <t>L2;L4</t>
        </is>
      </c>
      <c r="F41" s="23" t="inlineStr">
        <is>
          <t>L2:Schwann cell | L4:Pulmonary neuroendocrine cell</t>
        </is>
      </c>
      <c r="G41" s="23" t="inlineStr"/>
      <c r="H41" s="23" t="inlineStr">
        <is>
          <t>4f30b962-d49b-4624-a233-64f048cf8632</t>
        </is>
      </c>
      <c r="I41" s="23" t="inlineStr">
        <is>
          <t>CELLxGENE:b61a921b-7fa3-4b42-b455-aaaf32447920</t>
        </is>
      </c>
      <c r="J41" s="23" t="inlineStr">
        <is>
          <t>A Unique Cellular Organization of Human Distal Airways and Its Disarray in Chronic Obstructive Pulmonary Disease</t>
        </is>
      </c>
      <c r="K41" s="23" t="inlineStr">
        <is>
          <t>人类远端气道的独特细胞组织及其在慢性阻塞性肺疾病中的紊乱</t>
        </is>
      </c>
      <c r="L41" s="23" t="inlineStr">
        <is>
          <t>2025</t>
        </is>
      </c>
      <c r="M41" s="23" t="inlineStr">
        <is>
          <t>10.1164/rccm.202207-1384OC</t>
        </is>
      </c>
      <c r="N41" s="23" t="inlineStr">
        <is>
          <t>bronchus|segmental bronchus|terminal bronchus</t>
        </is>
      </c>
      <c r="O41" s="23" t="inlineStr">
        <is>
          <t>chronic obstructive pulmonary disease|normal</t>
        </is>
      </c>
      <c r="P41" s="23" t="inlineStr">
        <is>
          <t>10x 3' v2|10x 3' v3</t>
        </is>
      </c>
      <c r="Q41" s="23" t="inlineStr">
        <is>
          <t>cell</t>
        </is>
      </c>
      <c r="R41" s="25" t="n">
        <v>115788</v>
      </c>
      <c r="S41" s="23" t="inlineStr">
        <is>
          <t>Schwann cell|pulmonary neuroendocrine cell</t>
        </is>
      </c>
      <c r="T41" s="23" t="inlineStr">
        <is>
          <t>SOX10;MPZ;PLP1;MBP;PMP22</t>
        </is>
      </c>
      <c r="U41" s="23" t="inlineStr">
        <is>
          <t>外周神经再生</t>
        </is>
      </c>
      <c r="V41" s="23" t="inlineStr">
        <is>
          <t>https://datasets.cellxgene.cziscience.com/a8e4f394-d141-4755-9a35-790c734d1dab.h5ad</t>
        </is>
      </c>
      <c r="W41" s="23" t="inlineStr">
        <is>
          <t>https://cellxgene.cziscience.com/collections/4f30b962-d49b-4624-a233-64f048cf8632</t>
        </is>
      </c>
      <c r="X41" s="23" t="n">
        <v>1</v>
      </c>
    </row>
    <row r="42">
      <c r="A42" s="23" t="inlineStr">
        <is>
          <t>人 Human</t>
        </is>
      </c>
      <c r="B42" s="29" t="inlineStr">
        <is>
          <t>呼吸系统</t>
        </is>
      </c>
      <c r="C42" s="23" t="inlineStr">
        <is>
          <t>bronchus</t>
        </is>
      </c>
      <c r="D42" s="23" t="inlineStr">
        <is>
          <t>Homo sapiens</t>
        </is>
      </c>
      <c r="E42" s="23" t="inlineStr">
        <is>
          <t>L4</t>
        </is>
      </c>
      <c r="F42" s="23" t="inlineStr">
        <is>
          <t>L4:Neuroendocrine cell</t>
        </is>
      </c>
      <c r="G42" s="23" t="inlineStr"/>
      <c r="H42" s="23" t="inlineStr">
        <is>
          <t>03f821b4-87be-4ff4-b65a-b5fc00061da7</t>
        </is>
      </c>
      <c r="I42" s="23" t="inlineStr">
        <is>
          <t>CELLxGENE:edc8d3fe-153c-4e3d-8be0-2108d30f8d70</t>
        </is>
      </c>
      <c r="J42" s="23" t="inlineStr">
        <is>
          <t>Local and systemic responses to SARS-CoV-2 infection in children and adults</t>
        </is>
      </c>
      <c r="K42" s="23" t="inlineStr">
        <is>
          <t>儿童和成人对SARS-CoV-2感染的局部及全身反应</t>
        </is>
      </c>
      <c r="L42" s="23" t="inlineStr">
        <is>
          <t>2022</t>
        </is>
      </c>
      <c r="M42" s="23" t="inlineStr">
        <is>
          <t>10.1038/s41586-021-04345-x</t>
        </is>
      </c>
      <c r="N42" s="23" t="inlineStr">
        <is>
          <t>bronchus|nasal cavity|trachea</t>
        </is>
      </c>
      <c r="O42" s="23" t="inlineStr">
        <is>
          <t>COVID-19|normal</t>
        </is>
      </c>
      <c r="P42" s="23" t="inlineStr">
        <is>
          <t>10x 5' v1|10x 5' v2</t>
        </is>
      </c>
      <c r="Q42" s="23" t="inlineStr">
        <is>
          <t>cell</t>
        </is>
      </c>
      <c r="R42" s="25" t="n">
        <v>236977</v>
      </c>
      <c r="S42" s="23" t="inlineStr">
        <is>
          <t>neuroendocrine cell</t>
        </is>
      </c>
      <c r="T42" s="23" t="inlineStr">
        <is>
          <t>CHGA;CHGB;ASCL1;SYP;NCAM1</t>
        </is>
      </c>
      <c r="U42" s="23" t="inlineStr">
        <is>
          <t>神经-免疫通讯;炎症</t>
        </is>
      </c>
      <c r="V42" s="23" t="inlineStr">
        <is>
          <t>https://datasets.cellxgene.cziscience.com/f9efb73e-f116-46b5-a775-d4233e758024.h5ad</t>
        </is>
      </c>
      <c r="W42" s="23" t="inlineStr">
        <is>
          <t>https://cellxgene.cziscience.com/collections/03f821b4-87be-4ff4-b65a-b5fc00061da7</t>
        </is>
      </c>
      <c r="X42" s="23" t="n">
        <v>1</v>
      </c>
    </row>
    <row r="43">
      <c r="A43" s="23" t="inlineStr">
        <is>
          <t>人 Human</t>
        </is>
      </c>
      <c r="B43" s="29" t="inlineStr">
        <is>
          <t>呼吸系统</t>
        </is>
      </c>
      <c r="C43" s="23" t="inlineStr">
        <is>
          <t>carina of trachea</t>
        </is>
      </c>
      <c r="D43" s="23" t="inlineStr">
        <is>
          <t>Homo sapiens</t>
        </is>
      </c>
      <c r="E43" s="23" t="inlineStr">
        <is>
          <t>L4</t>
        </is>
      </c>
      <c r="F43" s="23" t="inlineStr">
        <is>
          <t>L4:Pulmonary neuroendocrine cell</t>
        </is>
      </c>
      <c r="G43" s="23" t="inlineStr"/>
      <c r="H43" s="23" t="inlineStr">
        <is>
          <t>54004c5c-af08-4693-a606-73871b6ef989</t>
        </is>
      </c>
      <c r="I43" s="23" t="inlineStr">
        <is>
          <t>CELLxGENE:1ab4ebbc-18d6-4838-89c2-cdc5b10accfb</t>
        </is>
      </c>
      <c r="J43" s="23" t="inlineStr">
        <is>
          <t>Cystic Fibrosis and healthy control biopsy</t>
        </is>
      </c>
      <c r="K43" s="23" t="inlineStr">
        <is>
          <t>囊性纤维化与健康对照活检</t>
        </is>
      </c>
      <c r="L43" s="23" t="inlineStr">
        <is>
          <t>2025</t>
        </is>
      </c>
      <c r="M43" s="23" t="inlineStr">
        <is>
          <t>10.1016/j.jcf.2025.01.016</t>
        </is>
      </c>
      <c r="N43" s="23" t="inlineStr">
        <is>
          <t>carina of trachea|respiratory tube</t>
        </is>
      </c>
      <c r="O43" s="23" t="inlineStr">
        <is>
          <t>cystic fibrosis|normal</t>
        </is>
      </c>
      <c r="P43" s="23" t="inlineStr">
        <is>
          <t>10x 3' v2|10x 3' v3</t>
        </is>
      </c>
      <c r="Q43" s="23" t="inlineStr">
        <is>
          <t>cell</t>
        </is>
      </c>
      <c r="R43" s="25" t="n">
        <v>96479</v>
      </c>
      <c r="S43" s="23" t="inlineStr">
        <is>
          <t>pulmonary neuroendocrine cell</t>
        </is>
      </c>
      <c r="T43" s="23" t="inlineStr">
        <is>
          <t>CHGA;CHGB;ASCL1;SYP;NCAM1</t>
        </is>
      </c>
      <c r="U43" s="23" t="inlineStr">
        <is>
          <t>纤维化</t>
        </is>
      </c>
      <c r="V43" s="23" t="inlineStr">
        <is>
          <t>https://datasets.cellxgene.cziscience.com/08530c67-a192-4d76-bfe5-b7834e8da231.h5ad</t>
        </is>
      </c>
      <c r="W43" s="23" t="inlineStr">
        <is>
          <t>https://cellxgene.cziscience.com/collections/54004c5c-af08-4693-a606-73871b6ef989</t>
        </is>
      </c>
      <c r="X43" s="23" t="n">
        <v>1</v>
      </c>
    </row>
    <row r="44">
      <c r="A44" s="23" t="inlineStr">
        <is>
          <t>人 Human</t>
        </is>
      </c>
      <c r="B44" s="29" t="inlineStr">
        <is>
          <t>呼吸系统</t>
        </is>
      </c>
      <c r="C44" s="23" t="inlineStr">
        <is>
          <t>lung</t>
        </is>
      </c>
      <c r="D44" s="23" t="inlineStr">
        <is>
          <t>Homo sapiens</t>
        </is>
      </c>
      <c r="E44" s="23" t="inlineStr">
        <is>
          <t>L2;L4</t>
        </is>
      </c>
      <c r="F44" s="23" t="inlineStr">
        <is>
          <t>L2:Schwann cell/Schwann cell precursor/Immature Schwann cell | L4:Pulmonary neuroendocrine cell</t>
        </is>
      </c>
      <c r="G44" s="23" t="inlineStr">
        <is>
          <t>含泛neuron(器官图谱→疑中枢/噪声,待裁定)</t>
        </is>
      </c>
      <c r="H44" s="23" t="inlineStr">
        <is>
          <t>2d2e2acd-dade-489f-a2da-6c11aa654028</t>
        </is>
      </c>
      <c r="I44" s="23" t="inlineStr">
        <is>
          <t>CELLxGENE:3dc61ca1-ce40-46b6-8337-f27260fd9a03</t>
        </is>
      </c>
      <c r="J44" s="23" t="inlineStr">
        <is>
          <t>A human fetal lung cell atlas uncovers proximal-distal gradients of differentiation and key regulators of epithelial fates</t>
        </is>
      </c>
      <c r="K44" s="23" t="inlineStr">
        <is>
          <t>人类胎儿肺细胞图谱揭示分化的近端-远端梯度及上皮命运的关键调控因子</t>
        </is>
      </c>
      <c r="L44" s="23" t="inlineStr">
        <is>
          <t>2022</t>
        </is>
      </c>
      <c r="M44" s="23" t="inlineStr">
        <is>
          <t>10.1016/j.cell.2022.11.005</t>
        </is>
      </c>
      <c r="N44" s="23" t="inlineStr">
        <is>
          <t>lung</t>
        </is>
      </c>
      <c r="O44" s="23" t="inlineStr">
        <is>
          <t>normal</t>
        </is>
      </c>
      <c r="P44" s="23" t="inlineStr">
        <is>
          <t>10x 5' v1</t>
        </is>
      </c>
      <c r="Q44" s="23" t="inlineStr">
        <is>
          <t>cell</t>
        </is>
      </c>
      <c r="R44" s="25" t="n">
        <v>71752</v>
      </c>
      <c r="S44" s="23" t="inlineStr">
        <is>
          <t>Schwann cell|Schwann cell precursor|immature Schwann cell|neuron|pulmonary neuroendocrine cell</t>
        </is>
      </c>
      <c r="T44" s="23" t="inlineStr">
        <is>
          <t>SOX10;MPZ;PLP1;MBP;PMP22</t>
        </is>
      </c>
      <c r="U44" s="23" t="inlineStr">
        <is>
          <t>外周神经再生</t>
        </is>
      </c>
      <c r="V44" s="23" t="inlineStr">
        <is>
          <t>https://datasets.cellxgene.cziscience.com/c961f0d3-15cd-481a-b167-d356ccf6659a.h5ad</t>
        </is>
      </c>
      <c r="W44" s="23" t="inlineStr">
        <is>
          <t>https://cellxgene.cziscience.com/collections/2d2e2acd-dade-489f-a2da-6c11aa654028</t>
        </is>
      </c>
      <c r="X44" s="23" t="n">
        <v>4</v>
      </c>
    </row>
    <row r="45">
      <c r="A45" s="23" t="inlineStr">
        <is>
          <t>人 Human</t>
        </is>
      </c>
      <c r="B45" s="29" t="inlineStr">
        <is>
          <t>呼吸系统</t>
        </is>
      </c>
      <c r="C45" s="23" t="inlineStr">
        <is>
          <t>lung</t>
        </is>
      </c>
      <c r="D45" s="23" t="inlineStr">
        <is>
          <t>Homo sapiens</t>
        </is>
      </c>
      <c r="E45" s="23" t="inlineStr">
        <is>
          <t>L4</t>
        </is>
      </c>
      <c r="F45" s="23" t="inlineStr">
        <is>
          <t>L4:Neuroendocrine cell</t>
        </is>
      </c>
      <c r="G45" s="23" t="inlineStr"/>
      <c r="H45" s="23" t="inlineStr">
        <is>
          <t>e276e3e2-197a-4524-abd1-a753a48dc33a</t>
        </is>
      </c>
      <c r="I45" s="23" t="inlineStr">
        <is>
          <t>CELLxGENE:10c0c666-bd99-4a5c-b697-f1be835f5427</t>
        </is>
      </c>
      <c r="J45" s="23" t="inlineStr">
        <is>
          <t>Human Lung Allografts Experience Persistent Fibrogenic Shift Following Acute Cellular Rejection</t>
        </is>
      </c>
      <c r="K45" s="23" t="inlineStr">
        <is>
          <t>人肺同种异体移植物在急性细胞排斥后经历持续性纤维化转变</t>
        </is>
      </c>
      <c r="L45" s="23" t="inlineStr">
        <is>
          <t>2026</t>
        </is>
      </c>
      <c r="M45" s="23" t="inlineStr">
        <is>
          <t>10.1016/j.healun.2026.02.1666</t>
        </is>
      </c>
      <c r="N45" s="23" t="inlineStr">
        <is>
          <t>lung</t>
        </is>
      </c>
      <c r="O45" s="23" t="inlineStr">
        <is>
          <t>acute graft versus host disease|normal</t>
        </is>
      </c>
      <c r="P45" s="23" t="inlineStr">
        <is>
          <t>10x 3' v3|10x 5' v1|10x 5' v2</t>
        </is>
      </c>
      <c r="Q45" s="23" t="inlineStr">
        <is>
          <t>cell</t>
        </is>
      </c>
      <c r="R45" s="25" t="n">
        <v>56676</v>
      </c>
      <c r="S45" s="23" t="inlineStr">
        <is>
          <t>neuroendocrine cell</t>
        </is>
      </c>
      <c r="T45" s="23" t="inlineStr">
        <is>
          <t>CHGA;CHGB;ASCL1;SYP;NCAM1</t>
        </is>
      </c>
      <c r="U45" s="23" t="inlineStr">
        <is>
          <t>general peripheral neurobiology</t>
        </is>
      </c>
      <c r="V45" s="23" t="inlineStr">
        <is>
          <t>https://datasets.cellxgene.cziscience.com/af6e81be-e65c-4821-987e-e0eb6c8acd59.h5ad</t>
        </is>
      </c>
      <c r="W45" s="23" t="inlineStr">
        <is>
          <t>https://cellxgene.cziscience.com/collections/e276e3e2-197a-4524-abd1-a753a48dc33a</t>
        </is>
      </c>
      <c r="X45" s="23" t="n">
        <v>1</v>
      </c>
    </row>
    <row r="46">
      <c r="A46" s="23" t="inlineStr">
        <is>
          <t>人 Human</t>
        </is>
      </c>
      <c r="B46" s="29" t="inlineStr">
        <is>
          <t>呼吸系统</t>
        </is>
      </c>
      <c r="C46" s="23" t="inlineStr">
        <is>
          <t>lung</t>
        </is>
      </c>
      <c r="D46" s="23" t="inlineStr">
        <is>
          <t>Homo sapiens</t>
        </is>
      </c>
      <c r="E46" s="23" t="inlineStr">
        <is>
          <t>L4</t>
        </is>
      </c>
      <c r="F46" s="23" t="inlineStr">
        <is>
          <t>L4:Pulmonary neuroendocrine cell</t>
        </is>
      </c>
      <c r="G46" s="23" t="inlineStr"/>
      <c r="H46" s="23" t="inlineStr">
        <is>
          <t>625f6bf4-2f33-4942-962e-35243d284837</t>
        </is>
      </c>
      <c r="I46" s="23" t="inlineStr">
        <is>
          <t>CELLxGENE:3de0ad6d-4378-4f62-b37b-ec0b75a50d94</t>
        </is>
      </c>
      <c r="J46" s="23" t="inlineStr">
        <is>
          <t>LungMAP — Human data from a broad age healthy donor group</t>
        </is>
      </c>
      <c r="K46" s="23" t="inlineStr">
        <is>
          <t>LungMAP — 来自广泛年龄健康捐赠者群体的人类数据</t>
        </is>
      </c>
      <c r="L46" s="23" t="inlineStr">
        <is>
          <t>2021</t>
        </is>
      </c>
      <c r="M46" s="23" t="inlineStr">
        <is>
          <t>10.7554/eLife.62522</t>
        </is>
      </c>
      <c r="N46" s="23" t="inlineStr">
        <is>
          <t>lung</t>
        </is>
      </c>
      <c r="O46" s="23" t="inlineStr">
        <is>
          <t>normal</t>
        </is>
      </c>
      <c r="P46" s="23" t="inlineStr">
        <is>
          <t>10x 3' v3</t>
        </is>
      </c>
      <c r="Q46" s="23" t="inlineStr">
        <is>
          <t>nucleus</t>
        </is>
      </c>
      <c r="R46" s="25" t="n">
        <v>46500</v>
      </c>
      <c r="S46" s="23" t="inlineStr">
        <is>
          <t>pulmonary neuroendocrine cell</t>
        </is>
      </c>
      <c r="T46" s="23" t="inlineStr">
        <is>
          <t>CHGA;CHGB;ASCL1;SYP;NCAM1</t>
        </is>
      </c>
      <c r="U46" s="23" t="inlineStr">
        <is>
          <t>general peripheral neurobiology</t>
        </is>
      </c>
      <c r="V46" s="23" t="inlineStr">
        <is>
          <t>https://datasets.cellxgene.cziscience.com/92167705-4b81-4c4b-a0b5-abe08910415e.h5ad</t>
        </is>
      </c>
      <c r="W46" s="23" t="inlineStr">
        <is>
          <t>https://cellxgene.cziscience.com/collections/625f6bf4-2f33-4942-962e-35243d284837</t>
        </is>
      </c>
      <c r="X46" s="23" t="n">
        <v>1</v>
      </c>
    </row>
    <row r="47">
      <c r="A47" s="23" t="inlineStr">
        <is>
          <t>人 Human</t>
        </is>
      </c>
      <c r="B47" s="29" t="inlineStr">
        <is>
          <t>呼吸系统</t>
        </is>
      </c>
      <c r="C47" s="23" t="inlineStr">
        <is>
          <t>lung</t>
        </is>
      </c>
      <c r="D47" s="23" t="inlineStr">
        <is>
          <t>Homo sapiens</t>
        </is>
      </c>
      <c r="E47" s="23" t="inlineStr">
        <is>
          <t>L4</t>
        </is>
      </c>
      <c r="F47" s="23" t="inlineStr">
        <is>
          <t>L4:Pulmonary neuroendocrine cell</t>
        </is>
      </c>
      <c r="G47" s="23" t="inlineStr"/>
      <c r="H47" s="23" t="inlineStr">
        <is>
          <t>92db8a7e-8761-4317-873f-15606c016ce5</t>
        </is>
      </c>
      <c r="I47" s="23" t="inlineStr">
        <is>
          <t>CELLxGENE:781cc817-3fd0-487c-a55a-b47b2786a05d</t>
        </is>
      </c>
      <c r="J47" s="23" t="inlineStr">
        <is>
          <t>A novel human fetal lung-derived alveolar organoid model reveals mechanisms of surfactant protein C maturation relevant to interstitial lung disease</t>
        </is>
      </c>
      <c r="K47" s="23" t="inlineStr">
        <is>
          <t>一种新型人胎肺来源肺泡类器官模型揭示与间质性肺病相关的表面活性蛋白C成熟机制</t>
        </is>
      </c>
      <c r="L47" s="23" t="inlineStr">
        <is>
          <t>2025</t>
        </is>
      </c>
      <c r="M47" s="23" t="inlineStr">
        <is>
          <t>10.1038/s44318-024-00328-6</t>
        </is>
      </c>
      <c r="N47" s="23" t="inlineStr">
        <is>
          <t>lung</t>
        </is>
      </c>
      <c r="O47" s="23" t="inlineStr">
        <is>
          <t>normal</t>
        </is>
      </c>
      <c r="P47" s="23" t="inlineStr">
        <is>
          <t>10x 5' v1</t>
        </is>
      </c>
      <c r="Q47" s="23" t="inlineStr">
        <is>
          <t>cell</t>
        </is>
      </c>
      <c r="R47" s="25" t="n">
        <v>9619</v>
      </c>
      <c r="S47" s="23" t="inlineStr">
        <is>
          <t>pulmonary neuroendocrine cell</t>
        </is>
      </c>
      <c r="T47" s="23" t="inlineStr">
        <is>
          <t>CHGA;CHGB;ASCL1;SYP;NCAM1</t>
        </is>
      </c>
      <c r="U47" s="23" t="inlineStr">
        <is>
          <t>general peripheral neurobiology</t>
        </is>
      </c>
      <c r="V47" s="23" t="inlineStr">
        <is>
          <t>https://datasets.cellxgene.cziscience.com/89a17e6a-bbb0-4a9a-b2b4-3bafd89277a8.h5ad</t>
        </is>
      </c>
      <c r="W47" s="23" t="inlineStr">
        <is>
          <t>https://cellxgene.cziscience.com/collections/92db8a7e-8761-4317-873f-15606c016ce5</t>
        </is>
      </c>
      <c r="X47" s="23" t="n">
        <v>1</v>
      </c>
    </row>
    <row r="48">
      <c r="A48" s="23" t="inlineStr">
        <is>
          <t>人 Human</t>
        </is>
      </c>
      <c r="B48" s="29" t="inlineStr">
        <is>
          <t>呼吸系统</t>
        </is>
      </c>
      <c r="C48" s="23" t="inlineStr">
        <is>
          <t>lung</t>
        </is>
      </c>
      <c r="D48" s="23" t="inlineStr">
        <is>
          <t>Homo sapiens</t>
        </is>
      </c>
      <c r="E48" s="23" t="inlineStr">
        <is>
          <t>L4</t>
        </is>
      </c>
      <c r="F48" s="23" t="inlineStr">
        <is>
          <t>L4:Pulmonary neuroendocrine cell</t>
        </is>
      </c>
      <c r="G48" s="23" t="inlineStr"/>
      <c r="H48" s="23" t="inlineStr">
        <is>
          <t>ec329aed-22bc-4d6e-8935-8282dcb1acac</t>
        </is>
      </c>
      <c r="I48" s="23" t="inlineStr">
        <is>
          <t>CELLxGENE:8dc858b0-b076-4326-94bb-7c2d1cd721a3</t>
        </is>
      </c>
      <c r="J48" s="23" t="inlineStr">
        <is>
          <t>Early human lung immune cell development and its role in epithelial cell fate</t>
        </is>
      </c>
      <c r="K48" s="23" t="inlineStr">
        <is>
          <t>早期人类肺免疫细胞发育及其在上皮细胞命运中的作用</t>
        </is>
      </c>
      <c r="L48" s="23" t="inlineStr">
        <is>
          <t>2024</t>
        </is>
      </c>
      <c r="M48" s="23" t="inlineStr">
        <is>
          <t>10.1126/sciimmunol.adf9988</t>
        </is>
      </c>
      <c r="N48" s="23" t="inlineStr">
        <is>
          <t>lung</t>
        </is>
      </c>
      <c r="O48" s="23" t="inlineStr">
        <is>
          <t>normal</t>
        </is>
      </c>
      <c r="P48" s="23" t="inlineStr">
        <is>
          <t>10x 5' transcription profiling</t>
        </is>
      </c>
      <c r="Q48" s="23" t="inlineStr">
        <is>
          <t>cell</t>
        </is>
      </c>
      <c r="R48" s="25" t="n">
        <v>8556</v>
      </c>
      <c r="S48" s="23" t="inlineStr">
        <is>
          <t>pulmonary neuroendocrine cell</t>
        </is>
      </c>
      <c r="T48" s="23" t="inlineStr">
        <is>
          <t>CHGA;CHGB;ASCL1;SYP;NCAM1</t>
        </is>
      </c>
      <c r="U48" s="23" t="inlineStr">
        <is>
          <t>神经-免疫通讯</t>
        </is>
      </c>
      <c r="V48" s="23" t="inlineStr">
        <is>
          <t>https://datasets.cellxgene.cziscience.com/2ebaaba9-0401-46a8-a242-f44f333ddb0d.h5ad</t>
        </is>
      </c>
      <c r="W48" s="23" t="inlineStr">
        <is>
          <t>https://cellxgene.cziscience.com/collections/ec329aed-22bc-4d6e-8935-8282dcb1acac</t>
        </is>
      </c>
      <c r="X48" s="23" t="n">
        <v>1</v>
      </c>
    </row>
    <row r="49">
      <c r="A49" s="23" t="inlineStr">
        <is>
          <t>人 Human</t>
        </is>
      </c>
      <c r="B49" s="29" t="inlineStr">
        <is>
          <t>呼吸系统</t>
        </is>
      </c>
      <c r="C49" s="23" t="inlineStr">
        <is>
          <t>lung</t>
        </is>
      </c>
      <c r="D49" s="23" t="inlineStr">
        <is>
          <t>Homo sapiens</t>
        </is>
      </c>
      <c r="E49" s="23" t="inlineStr">
        <is>
          <t>L4</t>
        </is>
      </c>
      <c r="F49" s="23" t="inlineStr">
        <is>
          <t>L4:Pulmonary neuroendocrine cell</t>
        </is>
      </c>
      <c r="G49" s="23" t="inlineStr"/>
      <c r="H49" s="23" t="inlineStr">
        <is>
          <t>6f6d381a-7701-4781-935c-db10d30de293</t>
        </is>
      </c>
      <c r="I49" s="23" t="inlineStr">
        <is>
          <t>CELLxGENE:9f222629-9e39-47d0-b83f-e08d610c7479</t>
        </is>
      </c>
      <c r="J49" s="23" t="inlineStr">
        <is>
          <t>The integrated Human Lung Cell Atlas</t>
        </is>
      </c>
      <c r="K49" s="23" t="inlineStr">
        <is>
          <t>整合性人类肺细胞图谱</t>
        </is>
      </c>
      <c r="L49" s="23" t="inlineStr">
        <is>
          <t>2022</t>
        </is>
      </c>
      <c r="M49" s="23" t="inlineStr">
        <is>
          <t>10.1038/s41591-023-02327-2</t>
        </is>
      </c>
      <c r="N49" s="23" t="inlineStr">
        <is>
          <t>lung|lung parenchyma|nose|respiratory airway</t>
        </is>
      </c>
      <c r="O49" s="23" t="inlineStr">
        <is>
          <t>COVID-19|chronic obstructive pulmonary disease|chronic rhinitis|cystic fibrosis|hypersensitivity pneumonitis|interstitial lung disease|lung adenocarcinoma|lung large cell carcinoma|lymphangioleiomyomatosis|non-specific interstitial pneumonia|normal|pleomorphic carcinoma|pneumonia|pulmonary fibrosis|pulmonary sarcoidosis|squamous cell lung carcinoma</t>
        </is>
      </c>
      <c r="P49" s="23" t="inlineStr">
        <is>
          <t>10x 3' v1|10x 3' v2|10x 3' v3|10x 5' transcription profiling|10x 5' v1|10x 5' v2|Drop-seq|Seq-Well</t>
        </is>
      </c>
      <c r="Q49" s="23" t="inlineStr">
        <is>
          <t>cell|nucleus</t>
        </is>
      </c>
      <c r="R49" s="25" t="n">
        <v>2282447</v>
      </c>
      <c r="S49" s="23" t="inlineStr">
        <is>
          <t>pulmonary neuroendocrine cell</t>
        </is>
      </c>
      <c r="T49" s="23" t="inlineStr">
        <is>
          <t>CHGA;CHGB;ASCL1;SYP;NCAM1</t>
        </is>
      </c>
      <c r="U49" s="23" t="inlineStr">
        <is>
          <t>神经-免疫通讯;炎症;纤维化</t>
        </is>
      </c>
      <c r="V49" s="23" t="inlineStr">
        <is>
          <t>https://datasets.cellxgene.cziscience.com/5f863718-02a6-46cb-83e7-52be988b915b.h5ad</t>
        </is>
      </c>
      <c r="W49" s="23" t="inlineStr">
        <is>
          <t>https://cellxgene.cziscience.com/collections/6f6d381a-7701-4781-935c-db10d30de293</t>
        </is>
      </c>
      <c r="X49" s="23" t="n">
        <v>2</v>
      </c>
    </row>
    <row r="50">
      <c r="A50" s="23" t="inlineStr">
        <is>
          <t>人 Human</t>
        </is>
      </c>
      <c r="B50" s="29" t="inlineStr">
        <is>
          <t>呼吸系统</t>
        </is>
      </c>
      <c r="C50" s="23" t="inlineStr">
        <is>
          <t>lung</t>
        </is>
      </c>
      <c r="D50" s="23" t="inlineStr">
        <is>
          <t>Homo sapiens</t>
        </is>
      </c>
      <c r="E50" s="23" t="inlineStr">
        <is>
          <t>L4</t>
        </is>
      </c>
      <c r="F50" s="23" t="inlineStr">
        <is>
          <t>L4:Pulmonary neuroendocrine cell</t>
        </is>
      </c>
      <c r="G50" s="23" t="inlineStr"/>
      <c r="H50" s="23" t="inlineStr">
        <is>
          <t>f86d6317-7215-409e-bfda-3f4ded3dadaa</t>
        </is>
      </c>
      <c r="I50" s="23" t="inlineStr">
        <is>
          <t>CELLxGENE:eb499fd8-7000-419f-8854-926b9b61b11f</t>
        </is>
      </c>
      <c r="J50" s="23" t="inlineStr">
        <is>
          <t>Human CellCards Multi-Study CellRef 1.0 Atlas</t>
        </is>
      </c>
      <c r="K50" s="23" t="inlineStr">
        <is>
          <t>Human CellCards 多研究 CellRef 1.0 图谱</t>
        </is>
      </c>
      <c r="L50" s="23" t="inlineStr">
        <is>
          <t>2024</t>
        </is>
      </c>
      <c r="M50" s="23" t="inlineStr">
        <is>
          <t>10.1038/s41467-023-40173-5</t>
        </is>
      </c>
      <c r="N50" s="23" t="inlineStr">
        <is>
          <t>lung</t>
        </is>
      </c>
      <c r="O50" s="23" t="inlineStr">
        <is>
          <t>normal</t>
        </is>
      </c>
      <c r="P50" s="23" t="inlineStr">
        <is>
          <t>10x 3' v2|10x 3' v3|10x 5' v1</t>
        </is>
      </c>
      <c r="Q50" s="23" t="inlineStr">
        <is>
          <t>cell</t>
        </is>
      </c>
      <c r="R50" s="25" t="n">
        <v>347970</v>
      </c>
      <c r="S50" s="23" t="inlineStr">
        <is>
          <t>pulmonary neuroendocrine cell</t>
        </is>
      </c>
      <c r="T50" s="23" t="inlineStr">
        <is>
          <t>CHGA;CHGB;ASCL1;SYP;NCAM1</t>
        </is>
      </c>
      <c r="U50" s="23" t="inlineStr">
        <is>
          <t>general peripheral neurobiology</t>
        </is>
      </c>
      <c r="V50" s="23" t="inlineStr">
        <is>
          <t>https://datasets.cellxgene.cziscience.com/d6184057-2178-4946-b9b1-dc56543a77aa.h5ad</t>
        </is>
      </c>
      <c r="W50" s="23" t="inlineStr">
        <is>
          <t>https://cellxgene.cziscience.com/collections/f86d6317-7215-409e-bfda-3f4ded3dadaa</t>
        </is>
      </c>
      <c r="X50" s="23" t="n">
        <v>1</v>
      </c>
    </row>
    <row r="51">
      <c r="A51" s="23" t="inlineStr">
        <is>
          <t>人 Human</t>
        </is>
      </c>
      <c r="B51" s="29" t="inlineStr">
        <is>
          <t>呼吸系统</t>
        </is>
      </c>
      <c r="C51" s="23" t="inlineStr">
        <is>
          <t>lung</t>
        </is>
      </c>
      <c r="D51" s="23" t="inlineStr">
        <is>
          <t>Homo sapiens</t>
        </is>
      </c>
      <c r="E51" s="23" t="inlineStr">
        <is>
          <t>L4</t>
        </is>
      </c>
      <c r="F51" s="23" t="inlineStr">
        <is>
          <t>L4:Pulmonary neuroendocrine cell</t>
        </is>
      </c>
      <c r="G51" s="23" t="inlineStr"/>
      <c r="H51" s="23" t="inlineStr">
        <is>
          <t>07e12576-b41b-4350-adfc-059bfc4328ea</t>
        </is>
      </c>
      <c r="I51" s="23" t="inlineStr">
        <is>
          <t>CELLxGENE:f14bc322-1322-4184-8d16-409557525ea5</t>
        </is>
      </c>
      <c r="J51" s="23" t="inlineStr">
        <is>
          <t>Single-cell RNA-seq analysis of Interstitial Lung Disease (ILD) subtypes</t>
        </is>
      </c>
      <c r="K51" s="23" t="inlineStr">
        <is>
          <t>间质性肺病(ILD)亚型的单细胞RNA-seq分析</t>
        </is>
      </c>
      <c r="L51" s="23" t="inlineStr">
        <is>
          <t>2025</t>
        </is>
      </c>
      <c r="M51" s="23" t="inlineStr">
        <is>
          <t>10.1038/s41588-024-01702-0</t>
        </is>
      </c>
      <c r="N51" s="23" t="inlineStr">
        <is>
          <t>lung</t>
        </is>
      </c>
      <c r="O51" s="23" t="inlineStr">
        <is>
          <t>anthracosis|hypersensitivity pneumonitis|interstitial lung disease|lymphoid interstitial pneumonia|non-specific interstitial pneumonia|normal|pulmonary sarcoidosis</t>
        </is>
      </c>
      <c r="P51" s="23" t="inlineStr">
        <is>
          <t>10x 5' v1|10x 5' v2</t>
        </is>
      </c>
      <c r="Q51" s="23" t="inlineStr">
        <is>
          <t>cell</t>
        </is>
      </c>
      <c r="R51" s="25" t="n">
        <v>471905</v>
      </c>
      <c r="S51" s="23" t="inlineStr">
        <is>
          <t>pulmonary neuroendocrine cell</t>
        </is>
      </c>
      <c r="T51" s="23" t="inlineStr">
        <is>
          <t>CHGA;CHGB;ASCL1;SYP;NCAM1</t>
        </is>
      </c>
      <c r="U51" s="23" t="inlineStr">
        <is>
          <t>general peripheral neurobiology</t>
        </is>
      </c>
      <c r="V51" s="23" t="inlineStr">
        <is>
          <t>https://datasets.cellxgene.cziscience.com/c3d9262e-0dc5-4eca-bf20-56e6d96d0306.h5ad</t>
        </is>
      </c>
      <c r="W51" s="23" t="inlineStr">
        <is>
          <t>https://cellxgene.cziscience.com/collections/07e12576-b41b-4350-adfc-059bfc4328ea</t>
        </is>
      </c>
      <c r="X51" s="23" t="n">
        <v>1</v>
      </c>
    </row>
    <row r="52">
      <c r="A52" s="23" t="inlineStr">
        <is>
          <t>人 Human</t>
        </is>
      </c>
      <c r="B52" s="29" t="inlineStr">
        <is>
          <t>呼吸系统</t>
        </is>
      </c>
      <c r="C52" s="23" t="inlineStr">
        <is>
          <t>lung</t>
        </is>
      </c>
      <c r="D52" s="23" t="inlineStr">
        <is>
          <t>Homo sapiens</t>
        </is>
      </c>
      <c r="E52" s="23" t="inlineStr">
        <is>
          <t>待定(泛神经)</t>
        </is>
      </c>
      <c r="F52" s="23" t="inlineStr">
        <is>
          <t>—</t>
        </is>
      </c>
      <c r="G52" s="23" t="inlineStr">
        <is>
          <t>含泛neuron(器官图谱→疑中枢/噪声,待裁定)</t>
        </is>
      </c>
      <c r="H52" s="23" t="inlineStr">
        <is>
          <t>e4c9ed14-e560-4900-a3bf-b0f8d2ce6a10</t>
        </is>
      </c>
      <c r="I52" s="23" t="inlineStr">
        <is>
          <t>CELLxGENE:d8da613f-e681-4c69-b463-e94f5e66847f</t>
        </is>
      </c>
      <c r="J52" s="23" t="inlineStr">
        <is>
          <t>A molecular single-cell lung atlas of lethal COVID-19</t>
        </is>
      </c>
      <c r="K52" s="23" t="inlineStr">
        <is>
          <t>致死性COVID-19的分子单细胞肺图谱</t>
        </is>
      </c>
      <c r="L52" s="23" t="inlineStr">
        <is>
          <t>2023</t>
        </is>
      </c>
      <c r="M52" s="23" t="inlineStr">
        <is>
          <t>10.1038/s41586-021-03569-1</t>
        </is>
      </c>
      <c r="N52" s="23" t="inlineStr">
        <is>
          <t>lung</t>
        </is>
      </c>
      <c r="O52" s="23" t="inlineStr">
        <is>
          <t>COVID-19|normal</t>
        </is>
      </c>
      <c r="P52" s="23" t="inlineStr">
        <is>
          <t>10x 3' v3</t>
        </is>
      </c>
      <c r="Q52" s="23" t="inlineStr">
        <is>
          <t>nucleus</t>
        </is>
      </c>
      <c r="R52" s="25" t="n">
        <v>116313</v>
      </c>
      <c r="S52" s="23" t="inlineStr">
        <is>
          <t>neuron</t>
        </is>
      </c>
      <c r="T52" s="23" t="inlineStr">
        <is>
          <t>RBFOX3;TUBB3;SNAP25;PRPH;PHOX2B</t>
        </is>
      </c>
      <c r="U52" s="23" t="inlineStr">
        <is>
          <t>神经-免疫通讯;炎症</t>
        </is>
      </c>
      <c r="V52" s="23" t="inlineStr">
        <is>
          <t>https://datasets.cellxgene.cziscience.com/1792df55-7cfe-4564-afcf-4bb3ffb73bc0.h5ad</t>
        </is>
      </c>
      <c r="W52" s="23" t="inlineStr">
        <is>
          <t>https://cellxgene.cziscience.com/collections/e4c9ed14-e560-4900-a3bf-b0f8d2ce6a10</t>
        </is>
      </c>
      <c r="X52" s="23" t="n">
        <v>1</v>
      </c>
    </row>
    <row r="53">
      <c r="A53" s="23" t="inlineStr">
        <is>
          <t>人 Human</t>
        </is>
      </c>
      <c r="B53" s="29" t="inlineStr">
        <is>
          <t>呼吸系统</t>
        </is>
      </c>
      <c r="C53" s="23" t="inlineStr">
        <is>
          <t>lung epithelium</t>
        </is>
      </c>
      <c r="D53" s="23" t="inlineStr">
        <is>
          <t>Homo sapiens</t>
        </is>
      </c>
      <c r="E53" s="23" t="inlineStr">
        <is>
          <t>L4</t>
        </is>
      </c>
      <c r="F53" s="23" t="inlineStr">
        <is>
          <t>L4:Pulmonary neuroendocrine cell</t>
        </is>
      </c>
      <c r="G53" s="23" t="inlineStr"/>
      <c r="H53" s="23" t="inlineStr">
        <is>
          <t>2d42fb2f-e635-466e-a2f4-9ea34f2e0feb</t>
        </is>
      </c>
      <c r="I53" s="23" t="inlineStr">
        <is>
          <t>CELLxGENE:43a1506b-aa9e-46a3-b288-d210f4595ddf</t>
        </is>
      </c>
      <c r="J53" s="23" t="inlineStr">
        <is>
          <t>Organoid modeling of human fetal lung alveolar development reveals mechanisms of cell fate patterning and neonatal respiratory disease</t>
        </is>
      </c>
      <c r="K53" s="23" t="inlineStr">
        <is>
          <t>人胎肺肺泡发育的类器官模型揭示细胞命运模式化及新生儿呼吸疾病的机制</t>
        </is>
      </c>
      <c r="L53" s="23" t="inlineStr">
        <is>
          <t>2025</t>
        </is>
      </c>
      <c r="M53" s="23" t="inlineStr">
        <is>
          <t>10.1016/j.stem.2022.11.013</t>
        </is>
      </c>
      <c r="N53" s="23" t="inlineStr">
        <is>
          <t>lung epithelium</t>
        </is>
      </c>
      <c r="O53" s="23" t="inlineStr">
        <is>
          <t>normal</t>
        </is>
      </c>
      <c r="P53" s="23" t="inlineStr">
        <is>
          <t>10x 5' v1</t>
        </is>
      </c>
      <c r="Q53" s="23" t="inlineStr">
        <is>
          <t>cell</t>
        </is>
      </c>
      <c r="R53" s="25" t="n">
        <v>20475</v>
      </c>
      <c r="S53" s="23" t="inlineStr">
        <is>
          <t>neuroendocrine cell of epithelium of lobar bronchus|pulmonary neuroendocrine cell</t>
        </is>
      </c>
      <c r="T53" s="23" t="inlineStr">
        <is>
          <t>CHGA;CHGB;ASCL1;SYP;NCAM1</t>
        </is>
      </c>
      <c r="U53" s="23" t="inlineStr">
        <is>
          <t>general peripheral neurobiology</t>
        </is>
      </c>
      <c r="V53" s="23" t="inlineStr">
        <is>
          <t>https://datasets.cellxgene.cziscience.com/8dfa9273-352e-4b67-aea0-67a108f39a0f.h5ad</t>
        </is>
      </c>
      <c r="W53" s="23" t="inlineStr">
        <is>
          <t>https://cellxgene.cziscience.com/collections/2d42fb2f-e635-466e-a2f4-9ea34f2e0feb</t>
        </is>
      </c>
      <c r="X53" s="23" t="n">
        <v>1</v>
      </c>
    </row>
    <row r="54">
      <c r="A54" s="23" t="inlineStr">
        <is>
          <t>人 Human</t>
        </is>
      </c>
      <c r="B54" s="29" t="inlineStr">
        <is>
          <t>呼吸系统</t>
        </is>
      </c>
      <c r="C54" s="23" t="inlineStr">
        <is>
          <t>middle lobe of right lung</t>
        </is>
      </c>
      <c r="D54" s="23" t="inlineStr">
        <is>
          <t>Homo sapiens</t>
        </is>
      </c>
      <c r="E54" s="23" t="inlineStr">
        <is>
          <t>L4</t>
        </is>
      </c>
      <c r="F54" s="23" t="inlineStr">
        <is>
          <t>L4:Pulmonary neuroendocrine cell</t>
        </is>
      </c>
      <c r="G54" s="23" t="inlineStr"/>
      <c r="H54" s="23" t="inlineStr">
        <is>
          <t>3a5dbf8a-9b3e-4309-b4c5-d8a024f83734</t>
        </is>
      </c>
      <c r="I54" s="23" t="inlineStr">
        <is>
          <t>CELLxGENE:d68a8b48-abf0-4bd5-8834-155d34ec448a</t>
        </is>
      </c>
      <c r="J54" s="23" t="inlineStr">
        <is>
          <t>Bronchopulmonary Dysplasia</t>
        </is>
      </c>
      <c r="K54" s="23" t="inlineStr">
        <is>
          <t>支气管肺发育不良</t>
        </is>
      </c>
      <c r="L54" s="23" t="inlineStr">
        <is>
          <t>2025</t>
        </is>
      </c>
      <c r="M54" s="23" t="inlineStr">
        <is>
          <t>not reported in repository metadata</t>
        </is>
      </c>
      <c r="N54" s="23" t="inlineStr">
        <is>
          <t>middle lobe of right lung</t>
        </is>
      </c>
      <c r="O54" s="23" t="inlineStr">
        <is>
          <t>bronchopulmonary dysplasia|normal</t>
        </is>
      </c>
      <c r="P54" s="23" t="inlineStr">
        <is>
          <t>10x 3' v3</t>
        </is>
      </c>
      <c r="Q54" s="23" t="inlineStr">
        <is>
          <t>nucleus</t>
        </is>
      </c>
      <c r="R54" s="25" t="n">
        <v>271381</v>
      </c>
      <c r="S54" s="23" t="inlineStr">
        <is>
          <t>pulmonary neuroendocrine cell</t>
        </is>
      </c>
      <c r="T54" s="23" t="inlineStr">
        <is>
          <t>CHGA;CHGB;ASCL1;SYP;NCAM1</t>
        </is>
      </c>
      <c r="U54" s="23" t="inlineStr">
        <is>
          <t>general peripheral neurobiology</t>
        </is>
      </c>
      <c r="V54" s="23" t="inlineStr">
        <is>
          <t>https://datasets.cellxgene.cziscience.com/83bbeaaf-f5e0-42ac-be8a-dbc4e0c0d433.h5ad</t>
        </is>
      </c>
      <c r="W54" s="23" t="inlineStr">
        <is>
          <t>https://cellxgene.cziscience.com/collections/3a5dbf8a-9b3e-4309-b4c5-d8a024f83734</t>
        </is>
      </c>
      <c r="X54" s="23" t="n">
        <v>1</v>
      </c>
    </row>
    <row r="55">
      <c r="A55" s="23" t="inlineStr">
        <is>
          <t>人 Human</t>
        </is>
      </c>
      <c r="B55" s="29" t="inlineStr">
        <is>
          <t>呼吸系统</t>
        </is>
      </c>
      <c r="C55" s="23" t="inlineStr">
        <is>
          <t>nasopharynx</t>
        </is>
      </c>
      <c r="D55" s="23" t="inlineStr">
        <is>
          <t>Homo sapiens</t>
        </is>
      </c>
      <c r="E55" s="23" t="inlineStr">
        <is>
          <t>L4</t>
        </is>
      </c>
      <c r="F55" s="23" t="inlineStr">
        <is>
          <t>L4:Enteroendocrine cell</t>
        </is>
      </c>
      <c r="G55" s="23" t="inlineStr"/>
      <c r="H55" s="23" t="inlineStr">
        <is>
          <t>35d0b748-3eed-43a5-a1c4-1dade5ec5ca0</t>
        </is>
      </c>
      <c r="I55" s="23" t="inlineStr">
        <is>
          <t>CELLxGENE:13b61a7d-5605-4948-ba48-02c588960143</t>
        </is>
      </c>
      <c r="J55" s="23" t="inlineStr">
        <is>
          <t>Impaired local intrinsic immunity to SARS-CoV-2 infection in severe COVID-19</t>
        </is>
      </c>
      <c r="K55" s="23" t="inlineStr">
        <is>
          <t>重症COVID-19中SARS-CoV-2感染时局部固有免疫受损</t>
        </is>
      </c>
      <c r="L55" s="23" t="inlineStr">
        <is>
          <t>2022</t>
        </is>
      </c>
      <c r="M55" s="23" t="inlineStr">
        <is>
          <t>10.1016/j.cell.2021.07.023</t>
        </is>
      </c>
      <c r="N55" s="23" t="inlineStr">
        <is>
          <t>nasopharynx</t>
        </is>
      </c>
      <c r="O55" s="23" t="inlineStr">
        <is>
          <t>COVID-19|long COVID-19|normal|respiratory failure</t>
        </is>
      </c>
      <c r="P55" s="23" t="inlineStr">
        <is>
          <t>Seq-Well S3</t>
        </is>
      </c>
      <c r="Q55" s="23" t="inlineStr">
        <is>
          <t>cell</t>
        </is>
      </c>
      <c r="R55" s="25" t="n">
        <v>32588</v>
      </c>
      <c r="S55" s="23" t="inlineStr">
        <is>
          <t>enteroendocrine cell</t>
        </is>
      </c>
      <c r="T55" s="23" t="inlineStr">
        <is>
          <t>CHGA;CHGB;NEUROD1;PAX6;GCG</t>
        </is>
      </c>
      <c r="U55" s="23" t="inlineStr">
        <is>
          <t>神经-免疫通讯;炎症</t>
        </is>
      </c>
      <c r="V55" s="23" t="inlineStr">
        <is>
          <t>https://datasets.cellxgene.cziscience.com/6a6db93e-901f-4054-90e0-14af5207978a.h5ad</t>
        </is>
      </c>
      <c r="W55" s="23" t="inlineStr">
        <is>
          <t>https://cellxgene.cziscience.com/collections/35d0b748-3eed-43a5-a1c4-1dade5ec5ca0</t>
        </is>
      </c>
      <c r="X55" s="23" t="n">
        <v>1</v>
      </c>
    </row>
    <row r="56">
      <c r="A56" s="23" t="inlineStr">
        <is>
          <t>人 Human</t>
        </is>
      </c>
      <c r="B56" s="30" t="inlineStr">
        <is>
          <t>泌尿系统</t>
        </is>
      </c>
      <c r="C56" s="23" t="inlineStr">
        <is>
          <t>dome of urinary bladder</t>
        </is>
      </c>
      <c r="D56" s="23" t="inlineStr">
        <is>
          <t>Homo sapiens</t>
        </is>
      </c>
      <c r="E56" s="23" t="inlineStr">
        <is>
          <t>L2</t>
        </is>
      </c>
      <c r="F56" s="23" t="inlineStr">
        <is>
          <t>L2:Schwann cell</t>
        </is>
      </c>
      <c r="G56" s="23" t="inlineStr"/>
      <c r="H56" s="23" t="inlineStr">
        <is>
          <t>afd343f4-bb60-4632-9902-73a4a1ff1557</t>
        </is>
      </c>
      <c r="I56" s="23" t="inlineStr">
        <is>
          <t>CELLxGENE:fb5eeccf-3c2a-473c-b6e3-7a1dda18d42d</t>
        </is>
      </c>
      <c r="J56" s="23" t="inlineStr">
        <is>
          <t>A poly(A) isoform–aware single-cell and spatial atlas defines fibroblast niches in the human bladder</t>
        </is>
      </c>
      <c r="K56" s="23" t="inlineStr">
        <is>
          <t>一种多聚腺苷酸异构体感知的单细胞与空间图谱定义了人类膀胱中的成纤维细胞微环境</t>
        </is>
      </c>
      <c r="L56" s="23" t="inlineStr">
        <is>
          <t>2026</t>
        </is>
      </c>
      <c r="M56" s="23" t="inlineStr">
        <is>
          <t>10.64898/2025.12.18.695268</t>
        </is>
      </c>
      <c r="N56" s="23" t="inlineStr">
        <is>
          <t>dome of urinary bladder|neck of urinary bladder|ureteral orifice|ureterovesical junction</t>
        </is>
      </c>
      <c r="O56" s="23" t="inlineStr">
        <is>
          <t>normal</t>
        </is>
      </c>
      <c r="P56" s="23" t="inlineStr">
        <is>
          <t>10x 3' v3</t>
        </is>
      </c>
      <c r="Q56" s="23" t="inlineStr">
        <is>
          <t>nucleus</t>
        </is>
      </c>
      <c r="R56" s="25" t="n">
        <v>74694</v>
      </c>
      <c r="S56" s="23" t="inlineStr">
        <is>
          <t>Schwann cell</t>
        </is>
      </c>
      <c r="T56" s="23" t="inlineStr">
        <is>
          <t>SOX10;MPZ;PLP1;MBP;PMP22</t>
        </is>
      </c>
      <c r="U56" s="23" t="inlineStr">
        <is>
          <t>外周神经再生</t>
        </is>
      </c>
      <c r="V56" s="23" t="inlineStr">
        <is>
          <t>https://datasets.cellxgene.cziscience.com/1352a8d5-e392-4e1d-8acd-c47f3c93f22e.h5ad</t>
        </is>
      </c>
      <c r="W56" s="23" t="inlineStr">
        <is>
          <t>https://cellxgene.cziscience.com/collections/afd343f4-bb60-4632-9902-73a4a1ff1557</t>
        </is>
      </c>
      <c r="X56" s="23" t="n">
        <v>1</v>
      </c>
    </row>
    <row r="57">
      <c r="A57" s="23" t="inlineStr">
        <is>
          <t>人 Human</t>
        </is>
      </c>
      <c r="B57" s="30" t="inlineStr">
        <is>
          <t>泌尿系统</t>
        </is>
      </c>
      <c r="C57" s="23" t="inlineStr">
        <is>
          <t>kidney</t>
        </is>
      </c>
      <c r="D57" s="23" t="inlineStr">
        <is>
          <t>Homo sapiens</t>
        </is>
      </c>
      <c r="E57" s="23" t="inlineStr">
        <is>
          <t>待定(泛神经)</t>
        </is>
      </c>
      <c r="F57" s="23" t="inlineStr">
        <is>
          <t>—</t>
        </is>
      </c>
      <c r="G57" s="23" t="inlineStr">
        <is>
          <t>含泛neuron(器官图谱→疑中枢/噪声,待裁定)</t>
        </is>
      </c>
      <c r="H57" s="23" t="inlineStr">
        <is>
          <t>120e86b4-1195-48c5-845b-b98054105eec</t>
        </is>
      </c>
      <c r="I57" s="23" t="inlineStr">
        <is>
          <t>CELLxGENE:d7dcfd8f-2ee7-4385-b9ac-e074c23ed190</t>
        </is>
      </c>
      <c r="J57" s="23" t="inlineStr">
        <is>
          <t>Spatiotemporal immune zonation of the human kidney</t>
        </is>
      </c>
      <c r="K57" s="23" t="inlineStr">
        <is>
          <t>人肾脏的时空免疫分区</t>
        </is>
      </c>
      <c r="L57" s="23" t="inlineStr">
        <is>
          <t>2022</t>
        </is>
      </c>
      <c r="M57" s="23" t="inlineStr">
        <is>
          <t>10.1126/science.aat5031</t>
        </is>
      </c>
      <c r="N57" s="23" t="inlineStr">
        <is>
          <t>kidney</t>
        </is>
      </c>
      <c r="O57" s="23" t="inlineStr">
        <is>
          <t>normal</t>
        </is>
      </c>
      <c r="P57" s="23" t="inlineStr">
        <is>
          <t>10x 3' v2</t>
        </is>
      </c>
      <c r="Q57" s="23" t="inlineStr">
        <is>
          <t>cell</t>
        </is>
      </c>
      <c r="R57" s="25" t="n">
        <v>27197</v>
      </c>
      <c r="S57" s="23" t="inlineStr">
        <is>
          <t>neuron</t>
        </is>
      </c>
      <c r="T57" s="23" t="inlineStr">
        <is>
          <t>RBFOX3;TUBB3;SNAP25;PRPH;PHOX2B</t>
        </is>
      </c>
      <c r="U57" s="23" t="inlineStr">
        <is>
          <t>神经-免疫通讯</t>
        </is>
      </c>
      <c r="V57" s="23" t="inlineStr">
        <is>
          <t>https://datasets.cellxgene.cziscience.com/4ae88372-a0dc-4f9e-b93a-18ade11be813.h5ad</t>
        </is>
      </c>
      <c r="W57" s="23" t="inlineStr">
        <is>
          <t>https://cellxgene.cziscience.com/collections/120e86b4-1195-48c5-845b-b98054105eec</t>
        </is>
      </c>
      <c r="X57" s="23" t="n">
        <v>2</v>
      </c>
    </row>
    <row r="58">
      <c r="A58" s="23" t="inlineStr">
        <is>
          <t>人 Human</t>
        </is>
      </c>
      <c r="B58" s="30" t="inlineStr">
        <is>
          <t>泌尿系统</t>
        </is>
      </c>
      <c r="C58" s="23" t="inlineStr">
        <is>
          <t>urinary bladder</t>
        </is>
      </c>
      <c r="D58" s="23" t="inlineStr">
        <is>
          <t>Homo sapiens</t>
        </is>
      </c>
      <c r="E58" s="23" t="inlineStr">
        <is>
          <t>L2</t>
        </is>
      </c>
      <c r="F58" s="23" t="inlineStr">
        <is>
          <t>L2:Schwann cell</t>
        </is>
      </c>
      <c r="G58" s="23" t="inlineStr"/>
      <c r="H58" s="23" t="inlineStr">
        <is>
          <t>0e54d4de-44f0-4d50-8649-b5c2bbe8f5d1</t>
        </is>
      </c>
      <c r="I58" s="23" t="inlineStr">
        <is>
          <t>CELLxGENE:2dd9d7a2-4bee-4c3f-a1f5-89bc3271c4f0</t>
        </is>
      </c>
      <c r="J58" s="23" t="inlineStr">
        <is>
          <t>Exploring the Utility of snRNA-seq in Profiling Human Bladder Tissue: A Comprehensive Comparison with scRNA-seq</t>
        </is>
      </c>
      <c r="K58" s="23" t="inlineStr">
        <is>
          <t>探索snRNA-seq在人类膀胱组织分析中的效用：与scRNA-seq的全面比较</t>
        </is>
      </c>
      <c r="L58" s="23" t="inlineStr">
        <is>
          <t>2024</t>
        </is>
      </c>
      <c r="M58" s="23" t="inlineStr">
        <is>
          <t>10.1016/j.isci.2024.111628</t>
        </is>
      </c>
      <c r="N58" s="23" t="inlineStr">
        <is>
          <t>urinary bladder</t>
        </is>
      </c>
      <c r="O58" s="23" t="inlineStr">
        <is>
          <t>normal</t>
        </is>
      </c>
      <c r="P58" s="23" t="inlineStr">
        <is>
          <t>10x 3' v3</t>
        </is>
      </c>
      <c r="Q58" s="23" t="inlineStr">
        <is>
          <t>cell|nucleus</t>
        </is>
      </c>
      <c r="R58" s="25" t="n">
        <v>12964</v>
      </c>
      <c r="S58" s="23" t="inlineStr">
        <is>
          <t>Schwann cell</t>
        </is>
      </c>
      <c r="T58" s="23" t="inlineStr">
        <is>
          <t>SOX10;MPZ;PLP1;MBP;PMP22</t>
        </is>
      </c>
      <c r="U58" s="23" t="inlineStr">
        <is>
          <t>外周神经再生</t>
        </is>
      </c>
      <c r="V58" s="23" t="inlineStr">
        <is>
          <t>https://datasets.cellxgene.cziscience.com/ac25d153-eb19-4e0e-ba4f-dd5be7295994.h5ad</t>
        </is>
      </c>
      <c r="W58" s="23" t="inlineStr">
        <is>
          <t>https://cellxgene.cziscience.com/collections/0e54d4de-44f0-4d50-8649-b5c2bbe8f5d1</t>
        </is>
      </c>
      <c r="X58" s="23" t="n">
        <v>1</v>
      </c>
    </row>
    <row r="59">
      <c r="A59" s="23" t="inlineStr">
        <is>
          <t>人 Human</t>
        </is>
      </c>
      <c r="B59" s="31" t="inlineStr">
        <is>
          <t>生殖/乳腺</t>
        </is>
      </c>
      <c r="C59" s="23" t="inlineStr">
        <is>
          <t>peripheral zone of prostate</t>
        </is>
      </c>
      <c r="D59" s="23" t="inlineStr">
        <is>
          <t>Homo sapiens</t>
        </is>
      </c>
      <c r="E59" s="23" t="inlineStr">
        <is>
          <t>L4</t>
        </is>
      </c>
      <c r="F59" s="23" t="inlineStr">
        <is>
          <t>L4:Neuroendocrine cell</t>
        </is>
      </c>
      <c r="G59" s="23" t="inlineStr"/>
      <c r="H59" s="23" t="inlineStr">
        <is>
          <t>fbc5881f-1ee3-4ffe-8095-35e15e1a08fc</t>
        </is>
      </c>
      <c r="I59" s="23" t="inlineStr">
        <is>
          <t>CELLxGENE:8b2e5453-faf7-46ea-9073-aea69b283cb7</t>
        </is>
      </c>
      <c r="J59" s="23" t="inlineStr">
        <is>
          <t>Urethral luminal epithelia are castration-insensitive cells of the proximal prostate</t>
        </is>
      </c>
      <c r="K59" s="23" t="inlineStr">
        <is>
          <t>尿道腔上皮是前列腺近端的不受去势影响的细胞</t>
        </is>
      </c>
      <c r="L59" s="23" t="inlineStr">
        <is>
          <t>2021</t>
        </is>
      </c>
      <c r="M59" s="23" t="inlineStr">
        <is>
          <t>10.1002/pros.24020</t>
        </is>
      </c>
      <c r="N59" s="23" t="inlineStr">
        <is>
          <t>peripheral zone of prostate|transition zone of prostate</t>
        </is>
      </c>
      <c r="O59" s="23" t="inlineStr">
        <is>
          <t>benign prostatic hyperplasia|normal</t>
        </is>
      </c>
      <c r="P59" s="23" t="inlineStr">
        <is>
          <t>10x 3' v2</t>
        </is>
      </c>
      <c r="Q59" s="23" t="inlineStr">
        <is>
          <t>cell</t>
        </is>
      </c>
      <c r="R59" s="25" t="n">
        <v>28847</v>
      </c>
      <c r="S59" s="23" t="inlineStr">
        <is>
          <t>neuroendocrine cell</t>
        </is>
      </c>
      <c r="T59" s="23" t="inlineStr">
        <is>
          <t>CHGA;CHGB;ASCL1;SYP;NCAM1</t>
        </is>
      </c>
      <c r="U59" s="23" t="inlineStr">
        <is>
          <t>general peripheral neurobiology</t>
        </is>
      </c>
      <c r="V59" s="23" t="inlineStr">
        <is>
          <t>https://datasets.cellxgene.cziscience.com/b11b78b1-af0f-45d2-986c-bfaaa96d1291.h5ad</t>
        </is>
      </c>
      <c r="W59" s="23" t="inlineStr">
        <is>
          <t>https://cellxgene.cziscience.com/collections/fbc5881f-1ee3-4ffe-8095-35e15e1a08fc</t>
        </is>
      </c>
      <c r="X59" s="23" t="n">
        <v>2</v>
      </c>
    </row>
    <row r="60">
      <c r="A60" s="23" t="inlineStr">
        <is>
          <t>人 Human</t>
        </is>
      </c>
      <c r="B60" s="31" t="inlineStr">
        <is>
          <t>生殖/乳腺</t>
        </is>
      </c>
      <c r="C60" s="23" t="inlineStr">
        <is>
          <t>peripheral zone of prostate</t>
        </is>
      </c>
      <c r="D60" s="23" t="inlineStr">
        <is>
          <t>Homo sapiens</t>
        </is>
      </c>
      <c r="E60" s="23" t="inlineStr">
        <is>
          <t>L4</t>
        </is>
      </c>
      <c r="F60" s="23" t="inlineStr">
        <is>
          <t>L4:Neuroendocrine cell</t>
        </is>
      </c>
      <c r="G60" s="23" t="inlineStr"/>
      <c r="H60" s="23" t="inlineStr">
        <is>
          <t>e2a4a67f-6a18-431a-ab9c-6e77dd31cc80</t>
        </is>
      </c>
      <c r="I60" s="23" t="inlineStr">
        <is>
          <t>CELLxGENE:c3fe3c1e-5bf8-4678-b74a-79899243ad41</t>
        </is>
      </c>
      <c r="J60" s="23" t="inlineStr">
        <is>
          <t>A Cellular Anatomy of the Normal Adult Human Prostate and Prostatic Urethra</t>
        </is>
      </c>
      <c r="K60" s="23" t="inlineStr">
        <is>
          <t>正常成人前列腺和前列腺尿道的细胞解剖学</t>
        </is>
      </c>
      <c r="L60" s="23" t="inlineStr">
        <is>
          <t>2021</t>
        </is>
      </c>
      <c r="M60" s="23" t="inlineStr">
        <is>
          <t>10.1016/j.celrep.2018.11.086</t>
        </is>
      </c>
      <c r="N60" s="23" t="inlineStr">
        <is>
          <t>peripheral zone of prostate|transition zone of prostate</t>
        </is>
      </c>
      <c r="O60" s="23" t="inlineStr">
        <is>
          <t>normal</t>
        </is>
      </c>
      <c r="P60" s="23" t="inlineStr">
        <is>
          <t>10x 3' v2</t>
        </is>
      </c>
      <c r="Q60" s="23" t="inlineStr">
        <is>
          <t>cell</t>
        </is>
      </c>
      <c r="R60" s="25" t="n">
        <v>28702</v>
      </c>
      <c r="S60" s="23" t="inlineStr">
        <is>
          <t>neuroendocrine cell</t>
        </is>
      </c>
      <c r="T60" s="23" t="inlineStr">
        <is>
          <t>CHGA;CHGB;ASCL1;SYP;NCAM1</t>
        </is>
      </c>
      <c r="U60" s="23" t="inlineStr">
        <is>
          <t>general peripheral neurobiology</t>
        </is>
      </c>
      <c r="V60" s="23" t="inlineStr">
        <is>
          <t>https://datasets.cellxgene.cziscience.com/13907b46-3c3c-4092-bb6d-7b3cdb0cf7a6.h5ad</t>
        </is>
      </c>
      <c r="W60" s="23" t="inlineStr">
        <is>
          <t>https://cellxgene.cziscience.com/collections/e2a4a67f-6a18-431a-ab9c-6e77dd31cc80</t>
        </is>
      </c>
      <c r="X60" s="23" t="n">
        <v>2</v>
      </c>
    </row>
    <row r="61">
      <c r="A61" s="23" t="inlineStr">
        <is>
          <t>人 Human</t>
        </is>
      </c>
      <c r="B61" s="31" t="inlineStr">
        <is>
          <t>生殖/乳腺</t>
        </is>
      </c>
      <c r="C61" s="23" t="inlineStr">
        <is>
          <t>prostate gland</t>
        </is>
      </c>
      <c r="D61" s="23" t="inlineStr">
        <is>
          <t>Homo sapiens</t>
        </is>
      </c>
      <c r="E61" s="23" t="inlineStr">
        <is>
          <t>L2</t>
        </is>
      </c>
      <c r="F61" s="23" t="inlineStr">
        <is>
          <t>L2:Myelinating Schwann cell</t>
        </is>
      </c>
      <c r="G61" s="23" t="inlineStr">
        <is>
          <t>含泛glial(疑中枢胶质,慎收)</t>
        </is>
      </c>
      <c r="H61" s="23" t="inlineStr">
        <is>
          <t>bdac7a53-fe34-4f04-8c46-f9bd5297c099</t>
        </is>
      </c>
      <c r="I61" s="23" t="inlineStr">
        <is>
          <t>CELLxGENE:881e0e6b-a185-45f1-9b56-81606e91e7ff</t>
        </is>
      </c>
      <c r="J61" s="23" t="inlineStr">
        <is>
          <t>Profiling of epithelial functional states and fibroblast phenotypes in hormone therapy-naïve localised prostate cancer</t>
        </is>
      </c>
      <c r="K61" s="23" t="inlineStr">
        <is>
          <t>激素治疗初治局限性前列腺癌中上皮功能状态与成纤维细胞表型的分析</t>
        </is>
      </c>
      <c r="L61" s="23" t="inlineStr">
        <is>
          <t>2025</t>
        </is>
      </c>
      <c r="M61" s="23" t="inlineStr">
        <is>
          <t>10.1101/2024.10.23.619925</t>
        </is>
      </c>
      <c r="N61" s="23" t="inlineStr">
        <is>
          <t>prostate gland</t>
        </is>
      </c>
      <c r="O61" s="23" t="inlineStr">
        <is>
          <t>prostatic acinar adenocarcinoma</t>
        </is>
      </c>
      <c r="P61" s="23" t="inlineStr">
        <is>
          <t>10x 3' v3</t>
        </is>
      </c>
      <c r="Q61" s="23" t="inlineStr">
        <is>
          <t>cell</t>
        </is>
      </c>
      <c r="R61" s="25" t="n">
        <v>68322</v>
      </c>
      <c r="S61" s="23" t="inlineStr">
        <is>
          <t>glial cell|myelinating Schwann cell|prostate neuroendocrine cell</t>
        </is>
      </c>
      <c r="T61" s="23" t="inlineStr">
        <is>
          <t>SOX10;MPZ;PLP1;MBP;PMP22</t>
        </is>
      </c>
      <c r="U61" s="23" t="inlineStr">
        <is>
          <t>神经-免疫通讯;外周神经再生</t>
        </is>
      </c>
      <c r="V61" s="23" t="inlineStr">
        <is>
          <t>https://datasets.cellxgene.cziscience.com/68b23fda-7191-46a5-8870-819feca3e66e.h5ad</t>
        </is>
      </c>
      <c r="W61" s="23" t="inlineStr">
        <is>
          <t>https://cellxgene.cziscience.com/collections/bdac7a53-fe34-4f04-8c46-f9bd5297c099</t>
        </is>
      </c>
      <c r="X61" s="23" t="n">
        <v>2</v>
      </c>
    </row>
    <row r="62">
      <c r="A62" s="23" t="inlineStr">
        <is>
          <t>人 Human</t>
        </is>
      </c>
      <c r="B62" s="32" t="inlineStr">
        <is>
          <t>内分泌/胰岛</t>
        </is>
      </c>
      <c r="C62" s="23" t="inlineStr">
        <is>
          <t>islet of Langerhans</t>
        </is>
      </c>
      <c r="D62" s="23" t="inlineStr">
        <is>
          <t>Homo sapiens</t>
        </is>
      </c>
      <c r="E62" s="23" t="inlineStr">
        <is>
          <t>L2</t>
        </is>
      </c>
      <c r="F62" s="23" t="inlineStr">
        <is>
          <t>L2:Schwann cell</t>
        </is>
      </c>
      <c r="G62" s="23" t="inlineStr"/>
      <c r="H62" s="23" t="inlineStr">
        <is>
          <t>58e85c2f-d52e-4c19-8393-b854b84d516e</t>
        </is>
      </c>
      <c r="I62" s="23" t="inlineStr">
        <is>
          <t>CELLxGENE:e51bae9a-c747-4b64-904a-4da7cda218ab</t>
        </is>
      </c>
      <c r="J62" s="23" t="inlineStr">
        <is>
          <t>A pancreatic islet scRNA-seq atlas from 48 non-diabetic, prediabetic and type 2 diabetic individuals of matched demographic and ethnic backgrounds</t>
        </is>
      </c>
      <c r="K62" s="23" t="inlineStr">
        <is>
          <t>来自48名非糖尿病、前驱糖尿病和2型糖尿病个体（具有匹配的人口统计学和种族背景）的胰岛scRNA-seq图谱</t>
        </is>
      </c>
      <c r="L62" s="23" t="inlineStr">
        <is>
          <t>2025</t>
        </is>
      </c>
      <c r="M62" s="23" t="inlineStr">
        <is>
          <t>10.1101/2025.01.17.633590</t>
        </is>
      </c>
      <c r="N62" s="23" t="inlineStr">
        <is>
          <t>islet of Langerhans</t>
        </is>
      </c>
      <c r="O62" s="23" t="inlineStr">
        <is>
          <t>normal|prediabetes syndrome|type 2 diabetes mellitus</t>
        </is>
      </c>
      <c r="P62" s="23" t="inlineStr">
        <is>
          <t>10x 3' v2|10x 3' v3</t>
        </is>
      </c>
      <c r="Q62" s="23" t="inlineStr">
        <is>
          <t>cell</t>
        </is>
      </c>
      <c r="R62" s="25" t="n">
        <v>245878</v>
      </c>
      <c r="S62" s="23" t="inlineStr">
        <is>
          <t>Schwann cell</t>
        </is>
      </c>
      <c r="T62" s="23" t="inlineStr">
        <is>
          <t>SOX10;MPZ;PLP1;MBP;PMP22</t>
        </is>
      </c>
      <c r="U62" s="23" t="inlineStr">
        <is>
          <t>外周神经再生</t>
        </is>
      </c>
      <c r="V62" s="23" t="inlineStr">
        <is>
          <t>https://datasets.cellxgene.cziscience.com/3a4e48e2-9e80-4ea8-ac63-87fdf70f1a97.h5ad</t>
        </is>
      </c>
      <c r="W62" s="23" t="inlineStr">
        <is>
          <t>https://cellxgene.cziscience.com/collections/58e85c2f-d52e-4c19-8393-b854b84d516e</t>
        </is>
      </c>
      <c r="X62" s="23" t="n">
        <v>1</v>
      </c>
    </row>
    <row r="63">
      <c r="A63" s="23" t="inlineStr">
        <is>
          <t>人 Human</t>
        </is>
      </c>
      <c r="B63" s="32" t="inlineStr">
        <is>
          <t>内分泌/胰岛</t>
        </is>
      </c>
      <c r="C63" s="23" t="inlineStr">
        <is>
          <t>islet of Langerhans</t>
        </is>
      </c>
      <c r="D63" s="23" t="inlineStr">
        <is>
          <t>Homo sapiens</t>
        </is>
      </c>
      <c r="E63" s="23" t="inlineStr">
        <is>
          <t>L4</t>
        </is>
      </c>
      <c r="F63" s="23" t="inlineStr">
        <is>
          <t>L4:Type D enteroendocrine cell</t>
        </is>
      </c>
      <c r="G63" s="23" t="inlineStr"/>
      <c r="H63" s="23" t="inlineStr">
        <is>
          <t>a238e9fa-2bdf-41df-8522-69046f99baff</t>
        </is>
      </c>
      <c r="I63" s="23" t="inlineStr">
        <is>
          <t>CELLxGENE:66d15835-5dc8-4e96-b0eb-f48971cb65e8</t>
        </is>
      </c>
      <c r="J63" s="23" t="inlineStr">
        <is>
          <t>Single-Cell Analysis of Human Pancreas Reveals Transcriptional Signatures of Aging and Somatic Mutation Patterns</t>
        </is>
      </c>
      <c r="K63" s="23" t="inlineStr">
        <is>
          <t>人类胰腺单细胞分析揭示衰老的转录特征与体细胞突变模式</t>
        </is>
      </c>
      <c r="L63" s="23" t="inlineStr">
        <is>
          <t>2021</t>
        </is>
      </c>
      <c r="M63" s="23" t="inlineStr">
        <is>
          <t>10.1016/j.cell.2017.09.004</t>
        </is>
      </c>
      <c r="N63" s="23" t="inlineStr">
        <is>
          <t>islet of Langerhans</t>
        </is>
      </c>
      <c r="O63" s="23" t="inlineStr">
        <is>
          <t>normal</t>
        </is>
      </c>
      <c r="P63" s="23" t="inlineStr">
        <is>
          <t>Smart-seq2</t>
        </is>
      </c>
      <c r="Q63" s="23" t="inlineStr">
        <is>
          <t>cell</t>
        </is>
      </c>
      <c r="R63" s="25" t="n">
        <v>2544</v>
      </c>
      <c r="S63" s="23" t="inlineStr">
        <is>
          <t>type A enteroendocrine cell|type D enteroendocrine cell</t>
        </is>
      </c>
      <c r="T63" s="23" t="inlineStr">
        <is>
          <t>CHGA;CHGB;NEUROD1;PAX6;GCG</t>
        </is>
      </c>
      <c r="U63" s="23" t="inlineStr">
        <is>
          <t>general peripheral neurobiology</t>
        </is>
      </c>
      <c r="V63" s="23" t="inlineStr">
        <is>
          <t>https://datasets.cellxgene.cziscience.com/08d4b9cf-3425-4413-a30f-8f97fe87b1e1.h5ad</t>
        </is>
      </c>
      <c r="W63" s="23" t="inlineStr">
        <is>
          <t>https://cellxgene.cziscience.com/collections/a238e9fa-2bdf-41df-8522-69046f99baff</t>
        </is>
      </c>
      <c r="X63" s="23" t="n">
        <v>1</v>
      </c>
    </row>
    <row r="64">
      <c r="A64" s="23" t="inlineStr">
        <is>
          <t>人 Human</t>
        </is>
      </c>
      <c r="B64" s="33" t="inlineStr">
        <is>
          <t>肌肉骨骼</t>
        </is>
      </c>
      <c r="C64" s="23" t="inlineStr">
        <is>
          <t>intercostal muscle</t>
        </is>
      </c>
      <c r="D64" s="23" t="inlineStr">
        <is>
          <t>Homo sapiens</t>
        </is>
      </c>
      <c r="E64" s="23" t="inlineStr">
        <is>
          <t>L2;L3</t>
        </is>
      </c>
      <c r="F64" s="23" t="inlineStr">
        <is>
          <t>L2:Myelinating Schwann cell/Non-myelinating Schwann cell | L3:Perineurial cell</t>
        </is>
      </c>
      <c r="G64" s="23" t="inlineStr"/>
      <c r="H64" s="23" t="inlineStr">
        <is>
          <t>2d40e6a7-f2fd-49ba-9db9-6b97e4c6dad5</t>
        </is>
      </c>
      <c r="I64" s="23" t="inlineStr">
        <is>
          <t>CELLxGENE:b3c9904b-2ffd-4038-8620-ee1c5b072e9c</t>
        </is>
      </c>
      <c r="J64" s="23" t="inlineStr">
        <is>
          <t>Human skeletal muscle ageing atlas</t>
        </is>
      </c>
      <c r="K64" s="23" t="inlineStr">
        <is>
          <t>人类骨骼肌衰老图谱</t>
        </is>
      </c>
      <c r="L64" s="23" t="inlineStr">
        <is>
          <t>2024</t>
        </is>
      </c>
      <c r="M64" s="23" t="inlineStr">
        <is>
          <t>10.1038/s43587-024-00613-3</t>
        </is>
      </c>
      <c r="N64" s="23" t="inlineStr">
        <is>
          <t>intercostal muscle</t>
        </is>
      </c>
      <c r="O64" s="23" t="inlineStr">
        <is>
          <t>normal</t>
        </is>
      </c>
      <c r="P64" s="23" t="inlineStr">
        <is>
          <t>10x 3' v2|10x 3' v3</t>
        </is>
      </c>
      <c r="Q64" s="23" t="inlineStr">
        <is>
          <t>cell|nucleus</t>
        </is>
      </c>
      <c r="R64" s="25" t="n">
        <v>183161</v>
      </c>
      <c r="S64" s="23" t="inlineStr">
        <is>
          <t>myelinating Schwann cell|non-myelinating Schwann cell|perineurial cell</t>
        </is>
      </c>
      <c r="T64" s="23" t="inlineStr">
        <is>
          <t>SOX10;MPZ;PLP1;MBP;PMP22</t>
        </is>
      </c>
      <c r="U64" s="23" t="inlineStr">
        <is>
          <t>外周神经再生</t>
        </is>
      </c>
      <c r="V64" s="23" t="inlineStr">
        <is>
          <t>https://datasets.cellxgene.cziscience.com/5fd93c55-8047-48fb-905c-6ef2f7767483.h5ad</t>
        </is>
      </c>
      <c r="W64" s="23" t="inlineStr">
        <is>
          <t>https://cellxgene.cziscience.com/collections/2d40e6a7-f2fd-49ba-9db9-6b97e4c6dad5</t>
        </is>
      </c>
      <c r="X64" s="23" t="n">
        <v>3</v>
      </c>
    </row>
    <row r="65">
      <c r="A65" s="23" t="inlineStr">
        <is>
          <t>人 Human</t>
        </is>
      </c>
      <c r="B65" s="34" t="inlineStr">
        <is>
          <t>口腔牙齿</t>
        </is>
      </c>
      <c r="C65" s="23" t="inlineStr">
        <is>
          <t>dental pulp</t>
        </is>
      </c>
      <c r="D65" s="23" t="inlineStr">
        <is>
          <t>Homo sapiens</t>
        </is>
      </c>
      <c r="E65" s="23" t="inlineStr">
        <is>
          <t>L2</t>
        </is>
      </c>
      <c r="F65" s="23" t="inlineStr">
        <is>
          <t>L2:Schwann cell</t>
        </is>
      </c>
      <c r="G65" s="23" t="inlineStr">
        <is>
          <t>含泛glial(疑中枢胶质,慎收)</t>
        </is>
      </c>
      <c r="H65" s="23" t="inlineStr">
        <is>
          <t>bd3f7d45-43a0-4944-8327-62d6c89e2ae1</t>
        </is>
      </c>
      <c r="I65" s="23" t="inlineStr">
        <is>
          <t>CELLxGENE:bdd109f1-ca27-45dc-bb9f-473008449428</t>
        </is>
      </c>
      <c r="J65" s="23" t="inlineStr">
        <is>
          <t>Single-Cell Transcriptomic Profiling of Human Dental Pulp in Sound and Carious Teeth: A Pilot Study</t>
        </is>
      </c>
      <c r="K65" s="23" t="inlineStr">
        <is>
          <t>单细胞转录组学分析健康与龋齿人牙髓：一项初步研究</t>
        </is>
      </c>
      <c r="L65" s="23" t="inlineStr">
        <is>
          <t>2024</t>
        </is>
      </c>
      <c r="M65" s="23" t="inlineStr">
        <is>
          <t>10.3389/fdmed.2021.806294</t>
        </is>
      </c>
      <c r="N65" s="23" t="inlineStr">
        <is>
          <t>dental pulp</t>
        </is>
      </c>
      <c r="O65" s="23" t="inlineStr">
        <is>
          <t>enamel caries|normal|pulpitis</t>
        </is>
      </c>
      <c r="P65" s="23" t="inlineStr">
        <is>
          <t>10x 3' v2</t>
        </is>
      </c>
      <c r="Q65" s="23" t="inlineStr">
        <is>
          <t>cell</t>
        </is>
      </c>
      <c r="R65" s="25" t="n">
        <v>6560</v>
      </c>
      <c r="S65" s="23" t="inlineStr">
        <is>
          <t>Schwann cell|glial cell</t>
        </is>
      </c>
      <c r="T65" s="23" t="inlineStr">
        <is>
          <t>SOX10;MPZ;PLP1;MBP;PMP22</t>
        </is>
      </c>
      <c r="U65" s="23" t="inlineStr">
        <is>
          <t>外周神经再生</t>
        </is>
      </c>
      <c r="V65" s="23" t="inlineStr">
        <is>
          <t>https://datasets.cellxgene.cziscience.com/c184cf5a-2c44-4908-96d9-165dd5e07f07.h5ad</t>
        </is>
      </c>
      <c r="W65" s="23" t="inlineStr">
        <is>
          <t>https://cellxgene.cziscience.com/collections/bd3f7d45-43a0-4944-8327-62d6c89e2ae1</t>
        </is>
      </c>
      <c r="X65" s="23" t="n">
        <v>1</v>
      </c>
    </row>
    <row r="66">
      <c r="A66" s="23" t="inlineStr">
        <is>
          <t>人 Human</t>
        </is>
      </c>
      <c r="B66" s="35" t="inlineStr">
        <is>
          <t>肝胆</t>
        </is>
      </c>
      <c r="C66" s="23" t="inlineStr">
        <is>
          <t>liver</t>
        </is>
      </c>
      <c r="D66" s="23" t="inlineStr">
        <is>
          <t>Homo sapiens</t>
        </is>
      </c>
      <c r="E66" s="23" t="inlineStr">
        <is>
          <t>待定(泛神经)</t>
        </is>
      </c>
      <c r="F66" s="23" t="inlineStr">
        <is>
          <t>—</t>
        </is>
      </c>
      <c r="G66" s="23" t="inlineStr">
        <is>
          <t>含泛neuron(器官图谱→疑中枢/噪声,待裁定)</t>
        </is>
      </c>
      <c r="H66" s="23" t="inlineStr">
        <is>
          <t>a96133de-e951-4e2d-ace6-59db8b3bfb1d</t>
        </is>
      </c>
      <c r="I66" s="23" t="inlineStr">
        <is>
          <t>CELLxGENE:71513028-e4a0-4c62-a435-16598791690a</t>
        </is>
      </c>
      <c r="J66" s="23" t="inlineStr">
        <is>
          <t>HTAN/HTAPP Broad - Spatio-molecular dissection of the breast cancer metastatic microenvironment</t>
        </is>
      </c>
      <c r="K66" s="23" t="inlineStr">
        <is>
          <t>HTAN/HTAPP Broad - 乳腺癌转移微环境的时空分子解析</t>
        </is>
      </c>
      <c r="L66" s="23" t="inlineStr">
        <is>
          <t>2024</t>
        </is>
      </c>
      <c r="M66" s="23" t="inlineStr">
        <is>
          <t>10.1038/s41591-024-03215-z</t>
        </is>
      </c>
      <c r="N66" s="23" t="inlineStr">
        <is>
          <t>liver</t>
        </is>
      </c>
      <c r="O66" s="23" t="inlineStr">
        <is>
          <t>breast cancer</t>
        </is>
      </c>
      <c r="P66" s="23" t="inlineStr">
        <is>
          <t>10x 3' v3</t>
        </is>
      </c>
      <c r="Q66" s="23" t="inlineStr">
        <is>
          <t>nucleus</t>
        </is>
      </c>
      <c r="R66" s="25" t="n">
        <v>12258</v>
      </c>
      <c r="S66" s="23" t="inlineStr">
        <is>
          <t>neuron</t>
        </is>
      </c>
      <c r="T66" s="23" t="inlineStr">
        <is>
          <t>RBFOX3;TUBB3;SNAP25;PRPH;PHOX2B</t>
        </is>
      </c>
      <c r="U66" s="23" t="inlineStr">
        <is>
          <t>神经-免疫通讯</t>
        </is>
      </c>
      <c r="V66" s="23" t="inlineStr">
        <is>
          <t>https://datasets.cellxgene.cziscience.com/79a15872-c7b9-402b-8e0c-a9dd669c366b.h5ad</t>
        </is>
      </c>
      <c r="W66" s="23" t="inlineStr">
        <is>
          <t>https://cellxgene.cziscience.com/collections/a96133de-e951-4e2d-ace6-59db8b3bfb1d</t>
        </is>
      </c>
      <c r="X66" s="23" t="n">
        <v>1</v>
      </c>
    </row>
    <row r="67">
      <c r="A67" s="23" t="inlineStr">
        <is>
          <t>人 Human</t>
        </is>
      </c>
      <c r="B67" s="35" t="inlineStr">
        <is>
          <t>肝胆</t>
        </is>
      </c>
      <c r="C67" s="23" t="inlineStr">
        <is>
          <t>liver</t>
        </is>
      </c>
      <c r="D67" s="23" t="inlineStr">
        <is>
          <t>Homo sapiens</t>
        </is>
      </c>
      <c r="E67" s="23" t="inlineStr">
        <is>
          <t>待定(泛神经)</t>
        </is>
      </c>
      <c r="F67" s="23" t="inlineStr">
        <is>
          <t>—</t>
        </is>
      </c>
      <c r="G67" s="23" t="inlineStr">
        <is>
          <t>含泛neuron(器官图谱→疑中枢/噪声,待裁定)</t>
        </is>
      </c>
      <c r="H67" s="23" t="inlineStr">
        <is>
          <t>a261413d-835b-4f1e-ab0c-dada55ea6afd</t>
        </is>
      </c>
      <c r="I67" s="23" t="inlineStr">
        <is>
          <t>CELLxGENE:ec6ceff8-c8bc-488d-b6bf-30df2fa92169</t>
        </is>
      </c>
      <c r="J67" s="23" t="inlineStr">
        <is>
          <t>Identification of distinct tumor cell populations and key genetic mechanisms through single cell sequencing in hepatoblastoma</t>
        </is>
      </c>
      <c r="K67" s="23" t="inlineStr">
        <is>
          <t>通过单细胞测序鉴定肝母细胞瘤中不同的肿瘤细胞群体及关键遗传机制</t>
        </is>
      </c>
      <c r="L67" s="23" t="inlineStr">
        <is>
          <t>2022</t>
        </is>
      </c>
      <c r="M67" s="23" t="inlineStr">
        <is>
          <t>10.1038/s42003-021-02562-8</t>
        </is>
      </c>
      <c r="N67" s="23" t="inlineStr">
        <is>
          <t>liver</t>
        </is>
      </c>
      <c r="O67" s="23" t="inlineStr">
        <is>
          <t>blastoma|normal</t>
        </is>
      </c>
      <c r="P67" s="23" t="inlineStr">
        <is>
          <t>10x 3' v3</t>
        </is>
      </c>
      <c r="Q67" s="23" t="inlineStr">
        <is>
          <t>nucleus</t>
        </is>
      </c>
      <c r="R67" s="25" t="n">
        <v>67110</v>
      </c>
      <c r="S67" s="23" t="inlineStr">
        <is>
          <t>neuron</t>
        </is>
      </c>
      <c r="T67" s="23" t="inlineStr">
        <is>
          <t>RBFOX3;TUBB3;SNAP25;PRPH;PHOX2B</t>
        </is>
      </c>
      <c r="U67" s="23" t="inlineStr">
        <is>
          <t>神经-免疫通讯</t>
        </is>
      </c>
      <c r="V67" s="23" t="inlineStr">
        <is>
          <t>https://datasets.cellxgene.cziscience.com/d66d154b-5ff6-4b1a-b25e-376cf4784bb7.h5ad</t>
        </is>
      </c>
      <c r="W67" s="23" t="inlineStr">
        <is>
          <t>https://cellxgene.cziscience.com/collections/a261413d-835b-4f1e-ab0c-dada55ea6afd</t>
        </is>
      </c>
      <c r="X67" s="23" t="n">
        <v>1</v>
      </c>
    </row>
    <row r="68">
      <c r="A68" s="23" t="inlineStr">
        <is>
          <t>人 Human</t>
        </is>
      </c>
      <c r="B68" s="36" t="inlineStr">
        <is>
          <t>淋巴/免疫/血液</t>
        </is>
      </c>
      <c r="C68" s="23" t="inlineStr">
        <is>
          <t>abdomen</t>
        </is>
      </c>
      <c r="D68" s="23" t="inlineStr">
        <is>
          <t>Homo sapiens</t>
        </is>
      </c>
      <c r="E68" s="23" t="inlineStr">
        <is>
          <t>L2</t>
        </is>
      </c>
      <c r="F68" s="23" t="inlineStr">
        <is>
          <t>L2:Schwann cell</t>
        </is>
      </c>
      <c r="G68" s="23" t="inlineStr"/>
      <c r="H68" s="23" t="inlineStr">
        <is>
          <t>cee845e3-ec04-4781-9e2a-28734bb4f7ba</t>
        </is>
      </c>
      <c r="I68" s="23" t="inlineStr">
        <is>
          <t>CELLxGENE:afae4675-434d-4e89-b5ce-2854c9dc38a3</t>
        </is>
      </c>
      <c r="J68" s="23" t="inlineStr">
        <is>
          <t>HTAN CHOP - Longitudinal single-cell multiomic atlas of high-risk neuroblastoma reveals chemotherapy-induced tumor microenvironment rewiring</t>
        </is>
      </c>
      <c r="K68" s="23" t="inlineStr">
        <is>
          <t>HTAN CHOP - 高风险神经母细胞瘤的纵向单细胞多组学图谱揭示化疗诱导的肿瘤微环境重塑</t>
        </is>
      </c>
      <c r="L68" s="23" t="inlineStr">
        <is>
          <t>2025</t>
        </is>
      </c>
      <c r="M68" s="23" t="inlineStr">
        <is>
          <t>10.1038/s41588-025-02158-6</t>
        </is>
      </c>
      <c r="N68" s="23" t="inlineStr">
        <is>
          <t>abdomen|adrenal gland|cervical lymph node|chest|liver|lymph node|neck</t>
        </is>
      </c>
      <c r="O68" s="23" t="inlineStr">
        <is>
          <t>neuroblastoma</t>
        </is>
      </c>
      <c r="P68" s="23" t="inlineStr">
        <is>
          <t>10x 3' v3</t>
        </is>
      </c>
      <c r="Q68" s="23" t="inlineStr">
        <is>
          <t>nucleus</t>
        </is>
      </c>
      <c r="R68" s="25" t="n">
        <v>372619</v>
      </c>
      <c r="S68" s="23" t="inlineStr">
        <is>
          <t>Schwann cell</t>
        </is>
      </c>
      <c r="T68" s="23" t="inlineStr">
        <is>
          <t>SOX10;MPZ;PLP1;MBP;PMP22</t>
        </is>
      </c>
      <c r="U68" s="23" t="inlineStr">
        <is>
          <t>神经-免疫通讯;外周神经再生</t>
        </is>
      </c>
      <c r="V68" s="23" t="inlineStr">
        <is>
          <t>https://datasets.cellxgene.cziscience.com/c477b5ea-3848-49f2-96a3-bbbcc95a3e14.h5ad</t>
        </is>
      </c>
      <c r="W68" s="23" t="inlineStr">
        <is>
          <t>https://cellxgene.cziscience.com/collections/cee845e3-ec04-4781-9e2a-28734bb4f7ba</t>
        </is>
      </c>
      <c r="X68" s="23" t="n">
        <v>2</v>
      </c>
    </row>
    <row r="69">
      <c r="A69" s="23" t="inlineStr">
        <is>
          <t>人 Human</t>
        </is>
      </c>
      <c r="B69" s="36" t="inlineStr">
        <is>
          <t>淋巴/免疫/血液</t>
        </is>
      </c>
      <c r="C69" s="23" t="inlineStr">
        <is>
          <t>bone marrow</t>
        </is>
      </c>
      <c r="D69" s="23" t="inlineStr">
        <is>
          <t>Homo sapiens</t>
        </is>
      </c>
      <c r="E69" s="23" t="inlineStr">
        <is>
          <t>L2</t>
        </is>
      </c>
      <c r="F69" s="23" t="inlineStr">
        <is>
          <t>L2:Schwann cell</t>
        </is>
      </c>
      <c r="G69" s="23" t="inlineStr"/>
      <c r="H69" s="23" t="inlineStr">
        <is>
          <t>793fdaec-5067-428a-a9db-ecefe135c945</t>
        </is>
      </c>
      <c r="I69" s="23" t="inlineStr">
        <is>
          <t>CELLxGENE:1a2e3350-28a8-4f49-b33c-5b67ceb001f6</t>
        </is>
      </c>
      <c r="J69" s="23" t="inlineStr">
        <is>
          <t>Blood and immune development in human fetal bone marrow and Down syndrome</t>
        </is>
      </c>
      <c r="K69" s="23" t="inlineStr">
        <is>
          <t>人类胎儿骨髓及唐氏综合征中的血液与免疫发育</t>
        </is>
      </c>
      <c r="L69" s="23" t="inlineStr">
        <is>
          <t>2022</t>
        </is>
      </c>
      <c r="M69" s="23" t="inlineStr">
        <is>
          <t>10.1038/s41586-021-03929-x</t>
        </is>
      </c>
      <c r="N69" s="23" t="inlineStr">
        <is>
          <t>bone marrow</t>
        </is>
      </c>
      <c r="O69" s="23" t="inlineStr">
        <is>
          <t>normal</t>
        </is>
      </c>
      <c r="P69" s="23" t="inlineStr">
        <is>
          <t>10x 3' v2|10x 5' v1</t>
        </is>
      </c>
      <c r="Q69" s="23" t="inlineStr">
        <is>
          <t>cell</t>
        </is>
      </c>
      <c r="R69" s="25" t="n">
        <v>103228</v>
      </c>
      <c r="S69" s="23" t="inlineStr">
        <is>
          <t>Schwann cell</t>
        </is>
      </c>
      <c r="T69" s="23" t="inlineStr">
        <is>
          <t>SOX10;MPZ;PLP1;MBP;PMP22</t>
        </is>
      </c>
      <c r="U69" s="23" t="inlineStr">
        <is>
          <t>神经-免疫通讯;外周神经再生</t>
        </is>
      </c>
      <c r="V69" s="23" t="inlineStr">
        <is>
          <t>https://datasets.cellxgene.cziscience.com/47362a52-4a8c-48ae-8968-00d4e57d1dfc.h5ad</t>
        </is>
      </c>
      <c r="W69" s="23" t="inlineStr">
        <is>
          <t>https://cellxgene.cziscience.com/collections/793fdaec-5067-428a-a9db-ecefe135c945</t>
        </is>
      </c>
      <c r="X69" s="23" t="n">
        <v>1</v>
      </c>
    </row>
    <row r="70">
      <c r="A70" s="23" t="inlineStr">
        <is>
          <t>人 Human</t>
        </is>
      </c>
      <c r="B70" s="37" t="inlineStr">
        <is>
          <t>多器官图谱/全身</t>
        </is>
      </c>
      <c r="C70" s="23" t="inlineStr">
        <is>
          <t>alveolar sac</t>
        </is>
      </c>
      <c r="D70" s="23" t="inlineStr">
        <is>
          <t>Homo sapiens</t>
        </is>
      </c>
      <c r="E70" s="23" t="inlineStr">
        <is>
          <t>L2;L4</t>
        </is>
      </c>
      <c r="F70" s="23" t="inlineStr">
        <is>
          <t>L2:Schwann cell | L4:Enteroendocrine cell/Neuroendocrine cell</t>
        </is>
      </c>
      <c r="G70" s="23" t="inlineStr">
        <is>
          <t>含泛neuron(肠,待裁定)</t>
        </is>
      </c>
      <c r="H70" s="23" t="inlineStr">
        <is>
          <t>6282a908-f162-44a2-99a3-8a942e4271b2</t>
        </is>
      </c>
      <c r="I70" s="23" t="inlineStr">
        <is>
          <t>CELLxGENE:6725ee8e-ef5b-4e68-8901-61bd14a1fe73</t>
        </is>
      </c>
      <c r="J70" s="23" t="inlineStr">
        <is>
          <t>Integrated human endoderm-derived organoids cell atlas (HEOCA)</t>
        </is>
      </c>
      <c r="K70" s="23" t="inlineStr">
        <is>
          <t>整合人内胚层来源类器官细胞图谱（HEOCA）</t>
        </is>
      </c>
      <c r="L70" s="23" t="inlineStr">
        <is>
          <t>2024</t>
        </is>
      </c>
      <c r="M70" s="23" t="inlineStr">
        <is>
          <t>10.1038/s41588-025-02182-6</t>
        </is>
      </c>
      <c r="N70" s="23" t="inlineStr">
        <is>
          <t>alveolar sac|biliary system|bronchus|colon|common bile duct|corpus|duodenum|gallbladder|ileum|intestine|intrahepatic bile duct|liver|lung|lung epithelium|nasopharynx|pancreas|prostate gland|pyloric antrum|salivary gland epithelium|stomach|thyroid gland</t>
        </is>
      </c>
      <c r="O70" s="23" t="inlineStr">
        <is>
          <t>normal</t>
        </is>
      </c>
      <c r="P70" s="23" t="inlineStr">
        <is>
          <t>10x 3' v2|10x 3' v3|10x 5' v1|10x multiome|CEL-seq2|SORT-seq|Seq-Well S3|Smart-seq</t>
        </is>
      </c>
      <c r="Q70" s="23" t="inlineStr">
        <is>
          <t>cell|nucleus</t>
        </is>
      </c>
      <c r="R70" s="25" t="n">
        <v>806646</v>
      </c>
      <c r="S70" s="23" t="inlineStr">
        <is>
          <t>Schwann cell|enteroendocrine cell|neuroendocrine cell|neuron</t>
        </is>
      </c>
      <c r="T70" s="23" t="inlineStr">
        <is>
          <t>SOX10;MPZ;PLP1;MBP;PMP22</t>
        </is>
      </c>
      <c r="U70" s="23" t="inlineStr">
        <is>
          <t>外周神经再生</t>
        </is>
      </c>
      <c r="V70" s="23" t="inlineStr">
        <is>
          <t>https://datasets.cellxgene.cziscience.com/40f7635e-7fcd-4ede-82e9-0d32753a6b82.h5ad</t>
        </is>
      </c>
      <c r="W70" s="23" t="inlineStr">
        <is>
          <t>https://cellxgene.cziscience.com/collections/6282a908-f162-44a2-99a3-8a942e4271b2</t>
        </is>
      </c>
      <c r="X70" s="23" t="n">
        <v>3</v>
      </c>
    </row>
    <row r="71">
      <c r="A71" s="23" t="inlineStr">
        <is>
          <t>人 Human</t>
        </is>
      </c>
      <c r="B71" s="37" t="inlineStr">
        <is>
          <t>多器官图谱/全身</t>
        </is>
      </c>
      <c r="C71" s="23" t="inlineStr">
        <is>
          <t>anterior wall of left ventricle</t>
        </is>
      </c>
      <c r="D71" s="23" t="inlineStr">
        <is>
          <t>Homo sapiens</t>
        </is>
      </c>
      <c r="E71" s="23" t="inlineStr">
        <is>
          <t>L2;L4</t>
        </is>
      </c>
      <c r="F71" s="23" t="inlineStr">
        <is>
          <t>L2:Schwann cell | L4:Neuroendocrine cell</t>
        </is>
      </c>
      <c r="G71" s="23" t="inlineStr">
        <is>
          <t>含泛neuron(肠,待裁定)</t>
        </is>
      </c>
      <c r="H71" s="23" t="inlineStr">
        <is>
          <t>a3ffde6c-7ad2-498a-903c-d58e732f7470</t>
        </is>
      </c>
      <c r="I71" s="23" t="inlineStr">
        <is>
          <t>CELLxGENE:4ed927e9-c099-49af-b8ce-a2652d069333</t>
        </is>
      </c>
      <c r="J71" s="23" t="inlineStr">
        <is>
          <t>Single-nucleus cross-tissue molecular reference maps to decipher disease gene function</t>
        </is>
      </c>
      <c r="K71" s="23" t="inlineStr">
        <is>
          <t>单细胞核跨组织分子参考图谱解析疾病基因功能</t>
        </is>
      </c>
      <c r="L71" s="23" t="inlineStr">
        <is>
          <t>2022</t>
        </is>
      </c>
      <c r="M71" s="23" t="inlineStr">
        <is>
          <t>10.1126/science.abl4290</t>
        </is>
      </c>
      <c r="N71" s="23" t="inlineStr">
        <is>
          <t>anterior wall of left ventricle|breast|esophagus muscularis mucosa|gastrocnemius|lingula of left lung|mucosa|prostate gland|skin of leg</t>
        </is>
      </c>
      <c r="O71" s="23" t="inlineStr">
        <is>
          <t>normal</t>
        </is>
      </c>
      <c r="P71" s="23" t="inlineStr">
        <is>
          <t>10x 3' v2</t>
        </is>
      </c>
      <c r="Q71" s="23" t="inlineStr">
        <is>
          <t>nucleus</t>
        </is>
      </c>
      <c r="R71" s="25" t="n">
        <v>209126</v>
      </c>
      <c r="S71" s="23" t="inlineStr">
        <is>
          <t>Schwann cell|neuroendocrine cell|neuron</t>
        </is>
      </c>
      <c r="T71" s="23" t="inlineStr">
        <is>
          <t>SOX10;MPZ;PLP1;MBP;PMP22</t>
        </is>
      </c>
      <c r="U71" s="23" t="inlineStr">
        <is>
          <t>外周神经再生</t>
        </is>
      </c>
      <c r="V71" s="23" t="inlineStr">
        <is>
          <t>https://datasets.cellxgene.cziscience.com/9130af6d-b035-4c2c-868a-ef9a572270be.h5ad</t>
        </is>
      </c>
      <c r="W71" s="23" t="inlineStr">
        <is>
          <t>https://cellxgene.cziscience.com/collections/a3ffde6c-7ad2-498a-903c-d58e732f7470</t>
        </is>
      </c>
      <c r="X71" s="23" t="n">
        <v>1</v>
      </c>
    </row>
    <row r="72">
      <c r="A72" s="23" t="inlineStr">
        <is>
          <t>人 Human</t>
        </is>
      </c>
      <c r="B72" s="37" t="inlineStr">
        <is>
          <t>多器官图谱/全身</t>
        </is>
      </c>
      <c r="C72" s="23" t="inlineStr">
        <is>
          <t>bone marrow</t>
        </is>
      </c>
      <c r="D72" s="23" t="inlineStr">
        <is>
          <t>Homo sapiens</t>
        </is>
      </c>
      <c r="E72" s="23" t="inlineStr">
        <is>
          <t>L4</t>
        </is>
      </c>
      <c r="F72" s="23" t="inlineStr">
        <is>
          <t>L4:Enteroendocrine cell</t>
        </is>
      </c>
      <c r="G72" s="23" t="inlineStr">
        <is>
          <t>含泛neuron(肠,待裁定) ; 含泛glial(疑肠胶质,可能L2)</t>
        </is>
      </c>
      <c r="H72" s="23" t="inlineStr">
        <is>
          <t>b1a879f6-5638-48d3-8f64-f6592c1b1561</t>
        </is>
      </c>
      <c r="I72" s="23" t="inlineStr">
        <is>
          <t>CELLxGENE:fd072bc3-2dfb-46f8-b4e3-467cb3223182</t>
        </is>
      </c>
      <c r="J72" s="23" t="inlineStr">
        <is>
          <t>Mapping the developing human immune system across organs</t>
        </is>
      </c>
      <c r="K72" s="23" t="inlineStr">
        <is>
          <t>跨器官绘制发育中的人类免疫系统图谱</t>
        </is>
      </c>
      <c r="L72" s="23" t="inlineStr">
        <is>
          <t>2022</t>
        </is>
      </c>
      <c r="M72" s="23" t="inlineStr">
        <is>
          <t>10.1126/science.abo0510</t>
        </is>
      </c>
      <c r="N72" s="23" t="inlineStr">
        <is>
          <t>bone marrow|gut wall|kidney|liver|mesenteric lymph node|skin of body|spleen|thymus|yolk sac</t>
        </is>
      </c>
      <c r="O72" s="23" t="inlineStr">
        <is>
          <t>normal</t>
        </is>
      </c>
      <c r="P72" s="23" t="inlineStr">
        <is>
          <t>10x 3' v2|10x 5' v1</t>
        </is>
      </c>
      <c r="Q72" s="23" t="inlineStr">
        <is>
          <t>cell</t>
        </is>
      </c>
      <c r="R72" s="25" t="n">
        <v>908046</v>
      </c>
      <c r="S72" s="23" t="inlineStr">
        <is>
          <t>enteroendocrine cell|glial cell|neuron</t>
        </is>
      </c>
      <c r="T72" s="23" t="inlineStr">
        <is>
          <t>SOX10;PLP1;S100B;GFRA3;FABP7</t>
        </is>
      </c>
      <c r="U72" s="23" t="inlineStr">
        <is>
          <t>神经-免疫通讯</t>
        </is>
      </c>
      <c r="V72" s="23" t="inlineStr">
        <is>
          <t>https://datasets.cellxgene.cziscience.com/df38503b-8dba-4800-957d-6613747924bb.h5ad</t>
        </is>
      </c>
      <c r="W72" s="23" t="inlineStr">
        <is>
          <t>https://cellxgene.cziscience.com/collections/b1a879f6-5638-48d3-8f64-f6592c1b1561</t>
        </is>
      </c>
      <c r="X72" s="23" t="n">
        <v>2</v>
      </c>
    </row>
  </sheetData>
  <autoFilter ref="A1:X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6" customWidth="1" min="2" max="2"/>
    <col width="22" customWidth="1" min="3" max="3"/>
    <col width="13" customWidth="1" min="4" max="4"/>
    <col width="10" customWidth="1" min="5" max="5"/>
    <col width="40" customWidth="1" min="6" max="6"/>
    <col width="14" customWidth="1" min="7" max="7"/>
    <col width="16" customWidth="1" min="8" max="8"/>
    <col width="24" customWidth="1" min="9" max="9"/>
    <col width="40" customWidth="1" min="10" max="10"/>
    <col width="30" customWidth="1" min="11" max="11"/>
    <col width="7" customWidth="1" min="12" max="12"/>
    <col width="22" customWidth="1" min="13" max="13"/>
    <col width="40" customWidth="1" min="14" max="14"/>
    <col width="30" customWidth="1" min="15" max="15"/>
    <col width="24" customWidth="1" min="16" max="16"/>
    <col width="9" customWidth="1" min="17" max="17"/>
    <col width="12" customWidth="1" min="18" max="18"/>
    <col width="34" customWidth="1" min="19" max="19"/>
    <col width="24" customWidth="1" min="20" max="20"/>
    <col width="22" customWidth="1" min="21" max="21"/>
    <col width="22" customWidth="1" min="22" max="22"/>
    <col width="22" customWidth="1" min="23" max="23"/>
    <col width="8" customWidth="1" min="24" max="24"/>
  </cols>
  <sheetData>
    <row r="1">
      <c r="A1" s="3" t="inlineStr">
        <is>
          <t>物种(中文)</t>
        </is>
      </c>
      <c r="B1" s="3" t="inlineStr">
        <is>
          <t>组织系统大类</t>
        </is>
      </c>
      <c r="C1" s="3" t="inlineStr">
        <is>
          <t>主组织</t>
        </is>
      </c>
      <c r="D1" s="3" t="inlineStr">
        <is>
          <t>Species</t>
        </is>
      </c>
      <c r="E1" s="3" t="inlineStr">
        <is>
          <t>细胞分层</t>
        </is>
      </c>
      <c r="F1" s="3" t="inlineStr">
        <is>
          <t>分层依据(具体细胞)</t>
        </is>
      </c>
      <c r="G1" s="3" t="inlineStr">
        <is>
          <t>泛化提示</t>
        </is>
      </c>
      <c r="H1" s="3" t="inlineStr">
        <is>
          <t>collection_id</t>
        </is>
      </c>
      <c r="I1" s="3" t="inlineStr">
        <is>
          <t>代表Dataset_ID</t>
        </is>
      </c>
      <c r="J1" s="3" t="inlineStr">
        <is>
          <t>Publication_Title</t>
        </is>
      </c>
      <c r="K1" s="3" t="inlineStr">
        <is>
          <t>中文标题</t>
        </is>
      </c>
      <c r="L1" s="3" t="inlineStr">
        <is>
          <t>Year</t>
        </is>
      </c>
      <c r="M1" s="3" t="inlineStr">
        <is>
          <t>PMID/DOI</t>
        </is>
      </c>
      <c r="N1" s="3" t="inlineStr">
        <is>
          <t>Tissue</t>
        </is>
      </c>
      <c r="O1" s="3" t="inlineStr">
        <is>
          <t>Disease</t>
        </is>
      </c>
      <c r="P1" s="3" t="inlineStr">
        <is>
          <t>Technology</t>
        </is>
      </c>
      <c r="Q1" s="3" t="inlineStr">
        <is>
          <t>悬浮susp</t>
        </is>
      </c>
      <c r="R1" s="3" t="inlineStr">
        <is>
          <t>Cell_Number</t>
        </is>
      </c>
      <c r="S1" s="3" t="inlineStr">
        <is>
          <t>外周相关细胞(规范)</t>
        </is>
      </c>
      <c r="T1" s="3" t="inlineStr">
        <is>
          <t>Marker_Genes</t>
        </is>
      </c>
      <c r="U1" s="3" t="inlineStr">
        <is>
          <t>Application_Tags</t>
        </is>
      </c>
      <c r="V1" s="3" t="inlineStr">
        <is>
          <t>h5ad下载</t>
        </is>
      </c>
      <c r="W1" s="3" t="inlineStr">
        <is>
          <t>collection链接</t>
        </is>
      </c>
      <c r="X1" s="3" t="inlineStr">
        <is>
          <t>折叠ds数</t>
        </is>
      </c>
    </row>
    <row r="2">
      <c r="A2" s="23" t="inlineStr">
        <is>
          <t>鼠 Mouse</t>
        </is>
      </c>
      <c r="B2" s="24" t="inlineStr">
        <is>
          <t>周围神经节/神经干</t>
        </is>
      </c>
      <c r="C2" s="23" t="inlineStr">
        <is>
          <t>dorsal root ganglion</t>
        </is>
      </c>
      <c r="D2" s="23" t="inlineStr">
        <is>
          <t>Mus musculus</t>
        </is>
      </c>
      <c r="E2" s="23" t="inlineStr">
        <is>
          <t>L1</t>
        </is>
      </c>
      <c r="F2" s="23" t="inlineStr">
        <is>
          <t>L1:Sensory neuron (DRG)</t>
        </is>
      </c>
      <c r="G2" s="23" t="inlineStr">
        <is>
          <t>含泛glial(疑中枢胶质,慎收)</t>
        </is>
      </c>
      <c r="H2" s="23" t="inlineStr">
        <is>
          <t>03608e22-227a-4492-910b-3cb3f16f952e</t>
        </is>
      </c>
      <c r="I2" s="23" t="inlineStr">
        <is>
          <t>CELLxGENE:b6f472f1-a58d-43a7-a898-2d6822a0b2b2</t>
        </is>
      </c>
      <c r="J2" s="23" t="inlineStr">
        <is>
          <t>iPain atlas</t>
        </is>
      </c>
      <c r="K2" s="23" t="inlineStr">
        <is>
          <t>iPain图谱</t>
        </is>
      </c>
      <c r="L2" s="23" t="inlineStr">
        <is>
          <t>2024</t>
        </is>
      </c>
      <c r="M2" s="23" t="inlineStr">
        <is>
          <t>10.1038/s41467-024-52052-8</t>
        </is>
      </c>
      <c r="N2" s="23" t="inlineStr">
        <is>
          <t>dorsal root ganglion</t>
        </is>
      </c>
      <c r="O2" s="23" t="inlineStr">
        <is>
          <t>normal|peripheral neuropathy</t>
        </is>
      </c>
      <c r="P2" s="23" t="inlineStr">
        <is>
          <t>10x 3' v2|10x 3' v3|10x multiome|Smart-seq2|Smart-seq3|inDrop</t>
        </is>
      </c>
      <c r="Q2" s="23" t="inlineStr">
        <is>
          <t>nucleus|cell</t>
        </is>
      </c>
      <c r="R2" s="25" t="n">
        <v>191798</v>
      </c>
      <c r="S2" s="23" t="inlineStr">
        <is>
          <t>glial cell|sensory neuron of dorsal root ganglion</t>
        </is>
      </c>
      <c r="T2" s="23" t="inlineStr">
        <is>
          <t>SOX10;PLP1;S100B;GFRA3;FABP7</t>
        </is>
      </c>
      <c r="U2" s="23" t="inlineStr">
        <is>
          <t>针灸作用相关</t>
        </is>
      </c>
      <c r="V2" s="23" t="inlineStr">
        <is>
          <t>https://datasets.cellxgene.cziscience.com/9e592a91-b992-4f54-9bbe-2f53dd3308da.h5ad</t>
        </is>
      </c>
      <c r="W2" s="23" t="inlineStr">
        <is>
          <t>https://cellxgene.cziscience.com/collections/03608e22-227a-4492-910b-3cb3f16f952e</t>
        </is>
      </c>
      <c r="X2" s="23" t="n">
        <v>6</v>
      </c>
    </row>
    <row r="3">
      <c r="A3" s="23" t="inlineStr">
        <is>
          <t>鼠 Mouse</t>
        </is>
      </c>
      <c r="B3" s="24" t="inlineStr">
        <is>
          <t>周围神经节/神经干</t>
        </is>
      </c>
      <c r="C3" s="23" t="inlineStr">
        <is>
          <t>lumbar dorsal root ganglia L3-L5</t>
        </is>
      </c>
      <c r="D3" s="23" t="inlineStr">
        <is>
          <t>Mus musculus</t>
        </is>
      </c>
      <c r="E3" s="23" t="inlineStr">
        <is>
          <t>L1</t>
        </is>
      </c>
      <c r="F3" s="23" t="inlineStr">
        <is>
          <t>GEO补充(未规范化)</t>
        </is>
      </c>
      <c r="G3" s="23" t="inlineStr"/>
      <c r="H3" s="23" t="inlineStr">
        <is>
          <t>NA</t>
        </is>
      </c>
      <c r="I3" s="23" t="inlineStr">
        <is>
          <t>GSE198485</t>
        </is>
      </c>
      <c r="J3" s="23" t="inlineStr">
        <is>
          <t>Single cell RNAseq Adult Mouse Lumbar Dorsal Root Ganglia (DRG)</t>
        </is>
      </c>
      <c r="K3" s="23" t="inlineStr">
        <is>
          <t>单细胞RNA测序成年小鼠腰椎背根神经节(DRG)</t>
        </is>
      </c>
      <c r="L3" s="23" t="inlineStr">
        <is>
          <t>2023</t>
        </is>
      </c>
      <c r="M3" s="23" t="inlineStr">
        <is>
          <t>PMID:37120427; PMID:37664243</t>
        </is>
      </c>
      <c r="N3" s="23" t="inlineStr">
        <is>
          <t>lumbar dorsal root ganglia L3-L5</t>
        </is>
      </c>
      <c r="O3" s="23" t="inlineStr">
        <is>
          <t>naive adult male mouse</t>
        </is>
      </c>
      <c r="P3" s="23" t="inlineStr">
        <is>
          <t>scRNA-seq</t>
        </is>
      </c>
      <c r="Q3" s="23" t="inlineStr">
        <is>
          <t>NA</t>
        </is>
      </c>
      <c r="R3" s="25" t="inlineStr">
        <is>
          <t>not reported in GEO summary; processed TAR 114.2 Mb</t>
        </is>
      </c>
      <c r="S3" s="23" t="inlineStr">
        <is>
          <t>sensory neuron; non-neuronal DRG cells</t>
        </is>
      </c>
      <c r="T3" s="23" t="inlineStr">
        <is>
          <t>RBFOX3;TUBB3;PRPH;SCN10A;TRPV1;SOX10;PLP1</t>
        </is>
      </c>
      <c r="U3" s="23" t="inlineStr">
        <is>
          <t>针灸作用相关</t>
        </is>
      </c>
      <c r="V3" s="23" t="inlineStr">
        <is>
          <t>NA</t>
        </is>
      </c>
      <c r="W3" s="23" t="inlineStr">
        <is>
          <t>https://www.ncbi.nlm.nih.gov/geo/query/acc.cgi?acc=GSE198485</t>
        </is>
      </c>
      <c r="X3" s="23" t="n">
        <v>1</v>
      </c>
    </row>
    <row r="4">
      <c r="A4" s="23" t="inlineStr">
        <is>
          <t>鼠 Mouse</t>
        </is>
      </c>
      <c r="B4" s="24" t="inlineStr">
        <is>
          <t>周围神经节/神经干</t>
        </is>
      </c>
      <c r="C4" s="23" t="inlineStr">
        <is>
          <t>sciatic nerve</t>
        </is>
      </c>
      <c r="D4" s="23" t="inlineStr">
        <is>
          <t>Mus musculus</t>
        </is>
      </c>
      <c r="E4" s="23" t="inlineStr">
        <is>
          <t>L2</t>
        </is>
      </c>
      <c r="F4" s="23" t="inlineStr">
        <is>
          <t>GEO补充(未规范化)</t>
        </is>
      </c>
      <c r="G4" s="23" t="inlineStr"/>
      <c r="H4" s="23" t="inlineStr">
        <is>
          <t>NA</t>
        </is>
      </c>
      <c r="I4" s="23" t="inlineStr">
        <is>
          <t>GSE182098</t>
        </is>
      </c>
      <c r="J4" s="23" t="inlineStr">
        <is>
          <t>Disentangling glial diversity in peripheral nerves at single-nuclei resolution</t>
        </is>
      </c>
      <c r="K4" s="23" t="inlineStr">
        <is>
          <t>单核分辨率下解析外周神经胶质细胞多样性</t>
        </is>
      </c>
      <c r="L4" s="23" t="inlineStr">
        <is>
          <t>2022</t>
        </is>
      </c>
      <c r="M4" s="23" t="inlineStr">
        <is>
          <t>PMID:35115729</t>
        </is>
      </c>
      <c r="N4" s="23" t="inlineStr">
        <is>
          <t>sciatic nerve; peroneal nerve; sural nerve; vagus nerve</t>
        </is>
      </c>
      <c r="O4" s="23" t="inlineStr">
        <is>
          <t>normal; ALS model comparison in associated study</t>
        </is>
      </c>
      <c r="P4" s="23" t="inlineStr">
        <is>
          <t>snRNA-seq; scRNA-seq</t>
        </is>
      </c>
      <c r="Q4" s="23" t="inlineStr">
        <is>
          <t>NA</t>
        </is>
      </c>
      <c r="R4" s="25" t="inlineStr">
        <is>
          <t>not reported in GEO summary; 12 sc/sn libraries</t>
        </is>
      </c>
      <c r="S4" s="23" t="inlineStr">
        <is>
          <t>Schwann cell; myelinating Schwann cell; non-myelinating Schwann cell; stromal/immune nerve cells</t>
        </is>
      </c>
      <c r="T4" s="23" t="inlineStr">
        <is>
          <t>SOX10;MPZ;PLP1;MBP;PMP22;CLDN14;ADAMTSL1;PMP2</t>
        </is>
      </c>
      <c r="U4" s="23" t="inlineStr">
        <is>
          <t>针灸作用相关;神经-免疫通讯;外周神经再生</t>
        </is>
      </c>
      <c r="V4" s="23" t="inlineStr">
        <is>
          <t>NA</t>
        </is>
      </c>
      <c r="W4" s="23" t="inlineStr">
        <is>
          <t>https://milbrandtlab.wustl.edu/glia-portal/</t>
        </is>
      </c>
      <c r="X4" s="23" t="n">
        <v>1</v>
      </c>
    </row>
    <row r="5">
      <c r="A5" s="23" t="inlineStr">
        <is>
          <t>鼠 Mouse</t>
        </is>
      </c>
      <c r="B5" s="26" t="inlineStr">
        <is>
          <t>肠神经/消化道</t>
        </is>
      </c>
      <c r="C5" s="23" t="inlineStr">
        <is>
          <t>small intestine</t>
        </is>
      </c>
      <c r="D5" s="23" t="inlineStr">
        <is>
          <t>Mus musculus</t>
        </is>
      </c>
      <c r="E5" s="23" t="inlineStr">
        <is>
          <t>L1;L2</t>
        </is>
      </c>
      <c r="F5" s="23" t="inlineStr">
        <is>
          <t>GEO补充(未规范化)</t>
        </is>
      </c>
      <c r="G5" s="23" t="inlineStr"/>
      <c r="H5" s="23" t="inlineStr">
        <is>
          <t>NA</t>
        </is>
      </c>
      <c r="I5" s="23" t="inlineStr">
        <is>
          <t>GSE149524</t>
        </is>
      </c>
      <c r="J5" s="23" t="inlineStr">
        <is>
          <t>Single Cell RNA-sequencing analysis of the juvenile and embryonic mouse enteric nervous system (ENS) of the small intestine</t>
        </is>
      </c>
      <c r="K5" s="23" t="inlineStr">
        <is>
          <t>幼年和胚胎小鼠小肠肠神经系统（ENS）的单细胞RNA测序分析</t>
        </is>
      </c>
      <c r="L5" s="23" t="inlineStr">
        <is>
          <t>2020</t>
        </is>
      </c>
      <c r="M5" s="23" t="inlineStr">
        <is>
          <t>PMID:33288908</t>
        </is>
      </c>
      <c r="N5" s="23" t="inlineStr">
        <is>
          <t>small intestine; enteric nervous system</t>
        </is>
      </c>
      <c r="O5" s="23" t="inlineStr">
        <is>
          <t>juvenile and embryonic development</t>
        </is>
      </c>
      <c r="P5" s="23" t="inlineStr">
        <is>
          <t>scRNA-seq</t>
        </is>
      </c>
      <c r="Q5" s="23" t="inlineStr">
        <is>
          <t>NA</t>
        </is>
      </c>
      <c r="R5" s="25" t="inlineStr">
        <is>
          <t>not reported in GEO summary; 4 samples</t>
        </is>
      </c>
      <c r="S5" s="23" t="inlineStr">
        <is>
          <t>enteric neuron; enteric glia; enteric progenitor</t>
        </is>
      </c>
      <c r="T5" s="23" t="inlineStr">
        <is>
          <t>RBFOX3;TUBB3;PHOX2B;RET;SOX10;PLP1</t>
        </is>
      </c>
      <c r="U5" s="23" t="inlineStr">
        <is>
          <t>general peripheral neurobiology</t>
        </is>
      </c>
      <c r="V5" s="23" t="inlineStr">
        <is>
          <t>NA</t>
        </is>
      </c>
      <c r="W5" s="23" t="inlineStr">
        <is>
          <t>https://www.ncbi.nlm.nih.gov/geo/query/acc.cgi?acc=GSE149524</t>
        </is>
      </c>
      <c r="X5" s="23" t="n">
        <v>1</v>
      </c>
    </row>
    <row r="6">
      <c r="A6" s="23" t="inlineStr">
        <is>
          <t>鼠 Mouse</t>
        </is>
      </c>
      <c r="B6" s="26" t="inlineStr">
        <is>
          <t>肠神经/消化道</t>
        </is>
      </c>
      <c r="C6" s="23" t="inlineStr">
        <is>
          <t>small intestine</t>
        </is>
      </c>
      <c r="D6" s="23" t="inlineStr">
        <is>
          <t>Mus musculus</t>
        </is>
      </c>
      <c r="E6" s="23" t="inlineStr">
        <is>
          <t>L1;L2</t>
        </is>
      </c>
      <c r="F6" s="23" t="inlineStr">
        <is>
          <t>GEO补充(未规范化)</t>
        </is>
      </c>
      <c r="G6" s="23" t="inlineStr"/>
      <c r="H6" s="23" t="inlineStr">
        <is>
          <t>NA</t>
        </is>
      </c>
      <c r="I6" s="23" t="inlineStr">
        <is>
          <t>GSE156905</t>
        </is>
      </c>
      <c r="J6" s="23" t="inlineStr">
        <is>
          <t>scRNA-sequencing reveals new enteric nervous system roles for GDNF, NRTN, and TBX3</t>
        </is>
      </c>
      <c r="K6" s="23" t="inlineStr">
        <is>
          <t>scRNA-测序揭示GDNF、NRTN和TBX3在肠神经系统中的新作用</t>
        </is>
      </c>
      <c r="L6" s="23" t="inlineStr">
        <is>
          <t>2020</t>
        </is>
      </c>
      <c r="M6" s="23" t="inlineStr">
        <is>
          <t>not reported in repository metadata</t>
        </is>
      </c>
      <c r="N6" s="23" t="inlineStr">
        <is>
          <t>small intestine; enteric nervous system</t>
        </is>
      </c>
      <c r="O6" s="23" t="inlineStr">
        <is>
          <t>juvenile/adolescent ENS development</t>
        </is>
      </c>
      <c r="P6" s="23" t="inlineStr">
        <is>
          <t>scRNA-seq</t>
        </is>
      </c>
      <c r="Q6" s="23" t="inlineStr">
        <is>
          <t>NA</t>
        </is>
      </c>
      <c r="R6" s="25" t="inlineStr">
        <is>
          <t>not reported in repository metadata</t>
        </is>
      </c>
      <c r="S6" s="23" t="inlineStr">
        <is>
          <t>enteric neuron; enteric glia</t>
        </is>
      </c>
      <c r="T6" s="23" t="inlineStr">
        <is>
          <t>RBFOX3;TUBB3;PHOX2B;RET;SOX10;PLP1</t>
        </is>
      </c>
      <c r="U6" s="23" t="inlineStr">
        <is>
          <t>general peripheral neurobiology</t>
        </is>
      </c>
      <c r="V6" s="23" t="inlineStr">
        <is>
          <t>NA</t>
        </is>
      </c>
      <c r="W6" s="23" t="inlineStr">
        <is>
          <t>https://www.omicsdi.org/dataset/geo/GSE156905</t>
        </is>
      </c>
      <c r="X6" s="23" t="n">
        <v>1</v>
      </c>
    </row>
    <row r="7">
      <c r="A7" s="23" t="inlineStr">
        <is>
          <t>鼠 Mouse</t>
        </is>
      </c>
      <c r="B7" s="26" t="inlineStr">
        <is>
          <t>肠神经/消化道</t>
        </is>
      </c>
      <c r="C7" s="23" t="inlineStr">
        <is>
          <t>small intestine</t>
        </is>
      </c>
      <c r="D7" s="23" t="inlineStr">
        <is>
          <t>Mus musculus</t>
        </is>
      </c>
      <c r="E7" s="23" t="inlineStr">
        <is>
          <t>L2</t>
        </is>
      </c>
      <c r="F7" s="23" t="inlineStr">
        <is>
          <t>GEO补充(未规范化)</t>
        </is>
      </c>
      <c r="G7" s="23" t="inlineStr"/>
      <c r="H7" s="23" t="inlineStr">
        <is>
          <t>NA</t>
        </is>
      </c>
      <c r="I7" s="23" t="inlineStr">
        <is>
          <t>GSE184981</t>
        </is>
      </c>
      <c r="J7" s="23" t="inlineStr">
        <is>
          <t>Single-cell transcriptomic and epigenetic profiling of mouse myenteric plexus glial cells</t>
        </is>
      </c>
      <c r="K7" s="23" t="inlineStr">
        <is>
          <t>小鼠肌间神经丛胶质细胞的单细胞转录组与表观遗传学分析</t>
        </is>
      </c>
      <c r="L7" s="23" t="inlineStr">
        <is>
          <t>2023</t>
        </is>
      </c>
      <c r="M7" s="23" t="inlineStr">
        <is>
          <t>not reported in repository metadata</t>
        </is>
      </c>
      <c r="N7" s="23" t="inlineStr">
        <is>
          <t>small intestine; myenteric plexus</t>
        </is>
      </c>
      <c r="O7" s="23" t="inlineStr">
        <is>
          <t>normal; glial neurogenesis / neurosphere culture</t>
        </is>
      </c>
      <c r="P7" s="23" t="inlineStr">
        <is>
          <t>scRNA-seq; snATAC-seq</t>
        </is>
      </c>
      <c r="Q7" s="23" t="inlineStr">
        <is>
          <t>NA</t>
        </is>
      </c>
      <c r="R7" s="25" t="inlineStr">
        <is>
          <t>not reported in repository metadata</t>
        </is>
      </c>
      <c r="S7" s="23" t="inlineStr">
        <is>
          <t>enteric glia; neurogenic glia</t>
        </is>
      </c>
      <c r="T7" s="23" t="inlineStr">
        <is>
          <t>SOX10;PLP1;S100B;GFAP;FABP7;ELAVL4</t>
        </is>
      </c>
      <c r="U7" s="23" t="inlineStr">
        <is>
          <t>general peripheral neurobiology</t>
        </is>
      </c>
      <c r="V7" s="23" t="inlineStr">
        <is>
          <t>NA</t>
        </is>
      </c>
      <c r="W7" s="23" t="inlineStr">
        <is>
          <t>https://www.omicsdi.org/dataset/geo/GSE156905</t>
        </is>
      </c>
      <c r="X7" s="23" t="n">
        <v>1</v>
      </c>
    </row>
    <row r="8">
      <c r="A8" s="23" t="inlineStr">
        <is>
          <t>鼠 Mouse</t>
        </is>
      </c>
      <c r="B8" s="26" t="inlineStr">
        <is>
          <t>肠神经/消化道</t>
        </is>
      </c>
      <c r="C8" s="23" t="inlineStr">
        <is>
          <t>small intestine</t>
        </is>
      </c>
      <c r="D8" s="23" t="inlineStr">
        <is>
          <t>Mus musculus</t>
        </is>
      </c>
      <c r="E8" s="23" t="inlineStr">
        <is>
          <t>L4</t>
        </is>
      </c>
      <c r="F8" s="23" t="inlineStr">
        <is>
          <t>L4:Enteroendocrine cell of small intestine</t>
        </is>
      </c>
      <c r="G8" s="23" t="inlineStr"/>
      <c r="H8" s="23" t="inlineStr">
        <is>
          <t>3db5617e-9f12-4eb4-8416-94893a0d7c46</t>
        </is>
      </c>
      <c r="I8" s="23" t="inlineStr">
        <is>
          <t>CELLxGENE:a5ab6cde-46d4-4667-9b32-cfce54fa7a4e</t>
        </is>
      </c>
      <c r="J8" s="23" t="inlineStr">
        <is>
          <t>Epithelial zonation along the mammalian small intestine defines five discrete metabolic domains</t>
        </is>
      </c>
      <c r="K8" s="23" t="inlineStr">
        <is>
          <t>哺乳动物小肠沿线的上皮分区定义了五个离散的代谢区域</t>
        </is>
      </c>
      <c r="L8" s="23" t="inlineStr">
        <is>
          <t>2024</t>
        </is>
      </c>
      <c r="M8" s="23" t="inlineStr">
        <is>
          <t>10.1038/s41556-023-01337-z</t>
        </is>
      </c>
      <c r="N8" s="23" t="inlineStr">
        <is>
          <t>small intestine</t>
        </is>
      </c>
      <c r="O8" s="23" t="inlineStr">
        <is>
          <t>normal</t>
        </is>
      </c>
      <c r="P8" s="23" t="inlineStr">
        <is>
          <t>10x 3' v3</t>
        </is>
      </c>
      <c r="Q8" s="23" t="inlineStr">
        <is>
          <t>cell</t>
        </is>
      </c>
      <c r="R8" s="25" t="n">
        <v>19847</v>
      </c>
      <c r="S8" s="23" t="inlineStr">
        <is>
          <t>enteroendocrine cell of small intestine</t>
        </is>
      </c>
      <c r="T8" s="23" t="inlineStr">
        <is>
          <t>CHGA;CHGB;NEUROD1;PAX6;GCG</t>
        </is>
      </c>
      <c r="U8" s="23" t="inlineStr">
        <is>
          <t>general peripheral neurobiology</t>
        </is>
      </c>
      <c r="V8" s="23" t="inlineStr">
        <is>
          <t>https://datasets.cellxgene.cziscience.com/3dfc4a1f-5683-4f2a-8a19-bedf27daa3e5.h5ad</t>
        </is>
      </c>
      <c r="W8" s="23" t="inlineStr">
        <is>
          <t>https://cellxgene.cziscience.com/collections/3db5617e-9f12-4eb4-8416-94893a0d7c46</t>
        </is>
      </c>
      <c r="X8" s="23" t="n">
        <v>2</v>
      </c>
    </row>
    <row r="9">
      <c r="A9" s="23" t="inlineStr">
        <is>
          <t>鼠 Mouse</t>
        </is>
      </c>
      <c r="B9" s="27" t="inlineStr">
        <is>
          <t>皮肤</t>
        </is>
      </c>
      <c r="C9" s="23" t="inlineStr">
        <is>
          <t>autopod skin</t>
        </is>
      </c>
      <c r="D9" s="23" t="inlineStr">
        <is>
          <t>Mus musculus</t>
        </is>
      </c>
      <c r="E9" s="23" t="inlineStr">
        <is>
          <t>L2</t>
        </is>
      </c>
      <c r="F9" s="23" t="inlineStr">
        <is>
          <t>L2:Schwann cell</t>
        </is>
      </c>
      <c r="G9" s="23" t="inlineStr"/>
      <c r="H9" s="23" t="inlineStr">
        <is>
          <t>f5af7a2f-ab4c-4728-829e-48efb9562105</t>
        </is>
      </c>
      <c r="I9" s="23" t="inlineStr">
        <is>
          <t>CELLxGENE:7be2824e-d62a-42ef-9169-084555c6df87</t>
        </is>
      </c>
      <c r="J9" s="23" t="inlineStr">
        <is>
          <t>Single cell RNA sequencing of paw skin from healthy and Col7a1 knockout (RDEB) mice</t>
        </is>
      </c>
      <c r="K9" s="23" t="inlineStr">
        <is>
          <t>健康与Col7a1基因敲除（RDEB）小鼠爪垫皮肤的单细胞RNA测序</t>
        </is>
      </c>
      <c r="L9" s="23" t="inlineStr">
        <is>
          <t>2024</t>
        </is>
      </c>
      <c r="M9" s="23" t="inlineStr">
        <is>
          <t>10.3389/fimmu.2023.1211505</t>
        </is>
      </c>
      <c r="N9" s="23" t="inlineStr">
        <is>
          <t>autopod skin</t>
        </is>
      </c>
      <c r="O9" s="23" t="inlineStr">
        <is>
          <t>epidermolysis bullosa|normal</t>
        </is>
      </c>
      <c r="P9" s="23" t="inlineStr">
        <is>
          <t>10x 3' v3</t>
        </is>
      </c>
      <c r="Q9" s="23" t="inlineStr">
        <is>
          <t>cell</t>
        </is>
      </c>
      <c r="R9" s="25" t="n">
        <v>9816</v>
      </c>
      <c r="S9" s="23" t="inlineStr">
        <is>
          <t>Schwann cell</t>
        </is>
      </c>
      <c r="T9" s="23" t="inlineStr">
        <is>
          <t>SOX10;MPZ;PLP1;MBP;PMP22</t>
        </is>
      </c>
      <c r="U9" s="23" t="inlineStr">
        <is>
          <t>外周神经再生</t>
        </is>
      </c>
      <c r="V9" s="23" t="inlineStr">
        <is>
          <t>https://datasets.cellxgene.cziscience.com/2965d8bb-05c5-40a1-bb03-c0b568cb1919.h5ad</t>
        </is>
      </c>
      <c r="W9" s="23" t="inlineStr">
        <is>
          <t>https://cellxgene.cziscience.com/collections/f5af7a2f-ab4c-4728-829e-48efb9562105</t>
        </is>
      </c>
      <c r="X9" s="23" t="n">
        <v>2</v>
      </c>
    </row>
    <row r="10">
      <c r="A10" s="23" t="inlineStr">
        <is>
          <t>鼠 Mouse</t>
        </is>
      </c>
      <c r="B10" s="28" t="inlineStr">
        <is>
          <t>心血管</t>
        </is>
      </c>
      <c r="C10" s="23" t="inlineStr">
        <is>
          <t>heart</t>
        </is>
      </c>
      <c r="D10" s="23" t="inlineStr">
        <is>
          <t>Mus musculus</t>
        </is>
      </c>
      <c r="E10" s="23" t="inlineStr">
        <is>
          <t>L2</t>
        </is>
      </c>
      <c r="F10" s="23" t="inlineStr">
        <is>
          <t>L2:Schwann cell</t>
        </is>
      </c>
      <c r="G10" s="23" t="inlineStr">
        <is>
          <t>含泛neuron(器官图谱→疑中枢/噪声,待裁定)</t>
        </is>
      </c>
      <c r="H10" s="23" t="inlineStr">
        <is>
          <t>613f5480-4957-4f80-b804-0e2b85ac454c</t>
        </is>
      </c>
      <c r="I10" s="23" t="inlineStr">
        <is>
          <t>CELLxGENE:731e0ae7-e600-470f-a6dc-8c35c28d6c3d</t>
        </is>
      </c>
      <c r="J10" s="23" t="inlineStr">
        <is>
          <t>Mouse perinatal heart maturation scRNA-seq</t>
        </is>
      </c>
      <c r="K10" s="23" t="inlineStr">
        <is>
          <t>小鼠围产期心脏成熟scRNA-seq</t>
        </is>
      </c>
      <c r="L10" s="23" t="inlineStr">
        <is>
          <t>2024</t>
        </is>
      </c>
      <c r="M10" s="23" t="inlineStr">
        <is>
          <t>10.1101/2024.03.05.583423</t>
        </is>
      </c>
      <c r="N10" s="23" t="inlineStr">
        <is>
          <t>heart</t>
        </is>
      </c>
      <c r="O10" s="23" t="inlineStr">
        <is>
          <t>normal</t>
        </is>
      </c>
      <c r="P10" s="23" t="inlineStr">
        <is>
          <t>Drop-seq</t>
        </is>
      </c>
      <c r="Q10" s="23" t="inlineStr">
        <is>
          <t>cell</t>
        </is>
      </c>
      <c r="R10" s="25" t="n">
        <v>49769</v>
      </c>
      <c r="S10" s="23" t="inlineStr">
        <is>
          <t>Schwann cell|neuron</t>
        </is>
      </c>
      <c r="T10" s="23" t="inlineStr">
        <is>
          <t>SOX10;MPZ;PLP1;MBP;PMP22</t>
        </is>
      </c>
      <c r="U10" s="23" t="inlineStr">
        <is>
          <t>外周神经再生</t>
        </is>
      </c>
      <c r="V10" s="23" t="inlineStr">
        <is>
          <t>https://datasets.cellxgene.cziscience.com/287a43aa-a1bd-41bd-925e-0ac43fdb1228.h5ad</t>
        </is>
      </c>
      <c r="W10" s="23" t="inlineStr">
        <is>
          <t>https://cellxgene.cziscience.com/collections/613f5480-4957-4f80-b804-0e2b85ac454c</t>
        </is>
      </c>
      <c r="X10" s="23" t="n">
        <v>1</v>
      </c>
    </row>
    <row r="11">
      <c r="A11" s="23" t="inlineStr">
        <is>
          <t>鼠 Mouse</t>
        </is>
      </c>
      <c r="B11" s="30" t="inlineStr">
        <is>
          <t>泌尿系统</t>
        </is>
      </c>
      <c r="C11" s="23" t="inlineStr">
        <is>
          <t>kidney</t>
        </is>
      </c>
      <c r="D11" s="23" t="inlineStr">
        <is>
          <t>Mus musculus</t>
        </is>
      </c>
      <c r="E11" s="23" t="inlineStr">
        <is>
          <t>L2</t>
        </is>
      </c>
      <c r="F11" s="23" t="inlineStr">
        <is>
          <t>L2:Schwann cell</t>
        </is>
      </c>
      <c r="G11" s="23" t="inlineStr"/>
      <c r="H11" s="23" t="inlineStr">
        <is>
          <t>9c9d04c4-8899-417f-bb6f-6107dcadf14f</t>
        </is>
      </c>
      <c r="I11" s="23" t="inlineStr">
        <is>
          <t>CELLxGENE:9ac3d74d-1d94-4ff9-abf9-fe5abe4bd2a6</t>
        </is>
      </c>
      <c r="J11" s="23" t="inlineStr">
        <is>
          <t>Cellular and Spatial Drivers of Unresolved Injury and Functional Decline in the Human Kidney</t>
        </is>
      </c>
      <c r="K11" s="23" t="inlineStr">
        <is>
          <t>人类肾脏中未消退损伤与功能衰退的细胞及空间驱动因素</t>
        </is>
      </c>
      <c r="L11" s="23" t="inlineStr">
        <is>
          <t>2025</t>
        </is>
      </c>
      <c r="M11" s="23" t="inlineStr">
        <is>
          <t>10.1101/2025.09.26.678707</t>
        </is>
      </c>
      <c r="N11" s="23" t="inlineStr">
        <is>
          <t>kidney</t>
        </is>
      </c>
      <c r="O11" s="23" t="inlineStr">
        <is>
          <t>acute kidney injury|normal</t>
        </is>
      </c>
      <c r="P11" s="23" t="inlineStr">
        <is>
          <t>10x 3' v2|10x multiome</t>
        </is>
      </c>
      <c r="Q11" s="23" t="inlineStr">
        <is>
          <t>nucleus</t>
        </is>
      </c>
      <c r="R11" s="25" t="n">
        <v>315764</v>
      </c>
      <c r="S11" s="23" t="inlineStr">
        <is>
          <t>Schwann cell</t>
        </is>
      </c>
      <c r="T11" s="23" t="inlineStr">
        <is>
          <t>SOX10;MPZ;PLP1;MBP;PMP22</t>
        </is>
      </c>
      <c r="U11" s="23" t="inlineStr">
        <is>
          <t>外周神经再生;伤口修复</t>
        </is>
      </c>
      <c r="V11" s="23" t="inlineStr">
        <is>
          <t>https://datasets.cellxgene.cziscience.com/19aab2ef-654a-4047-8f60-3529c041851d.h5ad</t>
        </is>
      </c>
      <c r="W11" s="23" t="inlineStr">
        <is>
          <t>https://cellxgene.cziscience.com/collections/9c9d04c4-8899-417f-bb6f-6107dcadf14f</t>
        </is>
      </c>
      <c r="X11" s="23" t="n">
        <v>1</v>
      </c>
    </row>
    <row r="12">
      <c r="A12" s="23" t="inlineStr">
        <is>
          <t>鼠 Mouse</t>
        </is>
      </c>
      <c r="B12" s="31" t="inlineStr">
        <is>
          <t>生殖/乳腺</t>
        </is>
      </c>
      <c r="C12" s="23" t="inlineStr">
        <is>
          <t>mammary gland</t>
        </is>
      </c>
      <c r="D12" s="23" t="inlineStr">
        <is>
          <t>Mus musculus</t>
        </is>
      </c>
      <c r="E12" s="23" t="inlineStr">
        <is>
          <t>L2</t>
        </is>
      </c>
      <c r="F12" s="23" t="inlineStr">
        <is>
          <t>L2:Schwann cell</t>
        </is>
      </c>
      <c r="G12" s="23" t="inlineStr"/>
      <c r="H12" s="23" t="inlineStr">
        <is>
          <t>bae2ee8c-b49c-41d0-9097-960d18a39e20</t>
        </is>
      </c>
      <c r="I12" s="23" t="inlineStr">
        <is>
          <t>CELLxGENE:6c6b4c47-096d-4084-97e7-714ee10c556c</t>
        </is>
      </c>
      <c r="J12" s="23" t="inlineStr">
        <is>
          <t>Time-resolved single-cell analysis of Brca1 associated mammary tumourigenesis reveals aberrant differentiation of luminal progenitors</t>
        </is>
      </c>
      <c r="K12" s="23" t="inlineStr">
        <is>
          <t>时间分辨单细胞分析揭示Brca1相关乳腺肿瘤发生中腔祖细胞的异常分化</t>
        </is>
      </c>
      <c r="L12" s="23" t="inlineStr">
        <is>
          <t>2025</t>
        </is>
      </c>
      <c r="M12" s="23" t="inlineStr">
        <is>
          <t>10.1038/s41467-021-21783-3</t>
        </is>
      </c>
      <c r="N12" s="23" t="inlineStr">
        <is>
          <t>mammary gland</t>
        </is>
      </c>
      <c r="O12" s="23" t="inlineStr">
        <is>
          <t>neoplasm|normal</t>
        </is>
      </c>
      <c r="P12" s="23" t="inlineStr">
        <is>
          <t>10x 3' v2|10x 3' v3</t>
        </is>
      </c>
      <c r="Q12" s="23" t="inlineStr">
        <is>
          <t>cell</t>
        </is>
      </c>
      <c r="R12" s="25" t="n">
        <v>197896</v>
      </c>
      <c r="S12" s="23" t="inlineStr">
        <is>
          <t>Schwann cell</t>
        </is>
      </c>
      <c r="T12" s="23" t="inlineStr">
        <is>
          <t>SOX10;MPZ;PLP1;MBP;PMP22</t>
        </is>
      </c>
      <c r="U12" s="23" t="inlineStr">
        <is>
          <t>外周神经再生</t>
        </is>
      </c>
      <c r="V12" s="23" t="inlineStr">
        <is>
          <t>https://datasets.cellxgene.cziscience.com/e05a1540-f925-412d-919c-8e0116c1b4be.h5ad</t>
        </is>
      </c>
      <c r="W12" s="23" t="inlineStr">
        <is>
          <t>https://cellxgene.cziscience.com/collections/bae2ee8c-b49c-41d0-9097-960d18a39e20</t>
        </is>
      </c>
      <c r="X12" s="23" t="n">
        <v>1</v>
      </c>
    </row>
    <row r="13">
      <c r="A13" s="23" t="inlineStr">
        <is>
          <t>鼠 Mouse</t>
        </is>
      </c>
      <c r="B13" s="32" t="inlineStr">
        <is>
          <t>内分泌/胰岛</t>
        </is>
      </c>
      <c r="C13" s="23" t="inlineStr">
        <is>
          <t>islet of Langerhans</t>
        </is>
      </c>
      <c r="D13" s="23" t="inlineStr">
        <is>
          <t>Mus musculus</t>
        </is>
      </c>
      <c r="E13" s="23" t="inlineStr">
        <is>
          <t>L2</t>
        </is>
      </c>
      <c r="F13" s="23" t="inlineStr">
        <is>
          <t>L2:Schwann cell</t>
        </is>
      </c>
      <c r="G13" s="23" t="inlineStr"/>
      <c r="H13" s="23" t="inlineStr">
        <is>
          <t>296237e2-393d-4e31-b590-b03f74ac5070</t>
        </is>
      </c>
      <c r="I13" s="23" t="inlineStr">
        <is>
          <t>CELLxGENE:49e4ffcc-5444-406d-bdee-577127404ba8</t>
        </is>
      </c>
      <c r="J13" s="23" t="inlineStr">
        <is>
          <t>Mouse pancreatic islet scRNA-seq atlas across sexes, ages, and stress conditions including diabetes</t>
        </is>
      </c>
      <c r="K13" s="23" t="inlineStr">
        <is>
          <t>小鼠胰岛scRNA-seq图谱：涵盖性别、年龄及包括糖尿病在内的应激条件</t>
        </is>
      </c>
      <c r="L13" s="23" t="inlineStr">
        <is>
          <t>2023</t>
        </is>
      </c>
      <c r="M13" s="23" t="inlineStr">
        <is>
          <t>10.1038/s42255-023-00876-x</t>
        </is>
      </c>
      <c r="N13" s="23" t="inlineStr">
        <is>
          <t>islet of Langerhans|pancreas</t>
        </is>
      </c>
      <c r="O13" s="23" t="inlineStr">
        <is>
          <t>endocrine pancreas disorder|normal|type 1 diabetes mellitus|type 2 diabetes mellitus</t>
        </is>
      </c>
      <c r="P13" s="23" t="inlineStr">
        <is>
          <t>10x 3' v2|10x 3' v3</t>
        </is>
      </c>
      <c r="Q13" s="23" t="inlineStr">
        <is>
          <t>cell</t>
        </is>
      </c>
      <c r="R13" s="25" t="n">
        <v>301796</v>
      </c>
      <c r="S13" s="23" t="inlineStr">
        <is>
          <t>Schwann cell</t>
        </is>
      </c>
      <c r="T13" s="23" t="inlineStr">
        <is>
          <t>SOX10;MPZ;PLP1;MBP;PMP22</t>
        </is>
      </c>
      <c r="U13" s="23" t="inlineStr">
        <is>
          <t>外周神经再生</t>
        </is>
      </c>
      <c r="V13" s="23" t="inlineStr">
        <is>
          <t>https://datasets.cellxgene.cziscience.com/2cf0b367-e31b-4ab3-8557-8f2c4ac2a31a.h5ad</t>
        </is>
      </c>
      <c r="W13" s="23" t="inlineStr">
        <is>
          <t>https://cellxgene.cziscience.com/collections/296237e2-393d-4e31-b590-b03f74ac5070</t>
        </is>
      </c>
      <c r="X13" s="23" t="n">
        <v>1</v>
      </c>
    </row>
    <row r="14">
      <c r="A14" s="23" t="inlineStr">
        <is>
          <t>鼠 Mouse</t>
        </is>
      </c>
      <c r="B14" s="33" t="inlineStr">
        <is>
          <t>肌肉骨骼</t>
        </is>
      </c>
      <c r="C14" s="23" t="inlineStr">
        <is>
          <t>gastrocnemius</t>
        </is>
      </c>
      <c r="D14" s="23" t="inlineStr">
        <is>
          <t>Mus musculus</t>
        </is>
      </c>
      <c r="E14" s="23" t="inlineStr">
        <is>
          <t>L2;L3</t>
        </is>
      </c>
      <c r="F14" s="23" t="inlineStr">
        <is>
          <t>L2:Schwann cell | L3:Perineurial cell</t>
        </is>
      </c>
      <c r="G14" s="23" t="inlineStr"/>
      <c r="H14" s="23" t="inlineStr">
        <is>
          <t>ef9f0fae-c12c-4f1a-bb67-63346c2ae0f1</t>
        </is>
      </c>
      <c r="I14" s="23" t="inlineStr">
        <is>
          <t>CELLxGENE:a48343a2-7570-49d0-8849-9db6c21dffcb</t>
        </is>
      </c>
      <c r="J14" s="23" t="inlineStr">
        <is>
          <t>Single Nuclei Atlas of Innervated and Denervated Mouse Muscle</t>
        </is>
      </c>
      <c r="K14" s="23" t="inlineStr">
        <is>
          <t>小鼠肌肉神经支配与去神经支配的单细胞核图谱</t>
        </is>
      </c>
      <c r="L14" s="23" t="inlineStr">
        <is>
          <t>2025</t>
        </is>
      </c>
      <c r="M14" s="23" t="inlineStr">
        <is>
          <t>10.1038/s41467-025-57487-1</t>
        </is>
      </c>
      <c r="N14" s="23" t="inlineStr">
        <is>
          <t>gastrocnemius|skeletal muscle tissue of tibialis anterior</t>
        </is>
      </c>
      <c r="O14" s="23" t="inlineStr">
        <is>
          <t>lesion of sciatic nerve|neuromuscular junction disease|normal|toxin-mediated infectious botulism</t>
        </is>
      </c>
      <c r="P14" s="23" t="inlineStr">
        <is>
          <t>10x 3' v3</t>
        </is>
      </c>
      <c r="Q14" s="23" t="inlineStr">
        <is>
          <t>nucleus</t>
        </is>
      </c>
      <c r="R14" s="25" t="n">
        <v>102688</v>
      </c>
      <c r="S14" s="23" t="inlineStr">
        <is>
          <t>Schwann cell|perineurial cell</t>
        </is>
      </c>
      <c r="T14" s="23" t="inlineStr">
        <is>
          <t>SOX10;MPZ;PLP1;MBP;PMP22</t>
        </is>
      </c>
      <c r="U14" s="23" t="inlineStr">
        <is>
          <t>针灸作用相关;外周神经再生</t>
        </is>
      </c>
      <c r="V14" s="23" t="inlineStr">
        <is>
          <t>https://datasets.cellxgene.cziscience.com/f991c1a9-d2ff-488e-bd18-d75e0e1d2d7b.h5ad</t>
        </is>
      </c>
      <c r="W14" s="23" t="inlineStr">
        <is>
          <t>https://cellxgene.cziscience.com/collections/ef9f0fae-c12c-4f1a-bb67-63346c2ae0f1</t>
        </is>
      </c>
      <c r="X14" s="23" t="n">
        <v>3</v>
      </c>
    </row>
    <row r="15">
      <c r="A15" s="23" t="inlineStr">
        <is>
          <t>鼠 Mouse</t>
        </is>
      </c>
      <c r="B15" s="38" t="inlineStr">
        <is>
          <t>胚胎/发育</t>
        </is>
      </c>
      <c r="C15" s="23" t="inlineStr">
        <is>
          <t>embryo</t>
        </is>
      </c>
      <c r="D15" s="23" t="inlineStr">
        <is>
          <t>Mus musculus</t>
        </is>
      </c>
      <c r="E15" s="23" t="inlineStr">
        <is>
          <t>L1;L2;L4</t>
        </is>
      </c>
      <c r="F15" s="23" t="inlineStr">
        <is>
          <t>L1:Efferent neuron/Enteric neuron/Parasympathetic neuron/Peripheral nervous system neuron/Sensory neuron (DRG)/Sympathetic neuron | L2:Schwann cell precursor/Myelinating Schwann cell/Satellite glial cell | L4:Intestinal enteroendocrine cell</t>
        </is>
      </c>
      <c r="G15" s="23" t="inlineStr">
        <is>
          <t>含泛neuron(器官图谱→疑中枢/噪声,待裁定)</t>
        </is>
      </c>
      <c r="H15" s="23" t="inlineStr">
        <is>
          <t>45d5d2c3-bc28-4814-aed6-0bb6f0e11c82</t>
        </is>
      </c>
      <c r="I15" s="23" t="inlineStr">
        <is>
          <t>CELLxGENE:dcfd4feb-18a3-4b30-81d7-1b0c544a8ab3</t>
        </is>
      </c>
      <c r="J15" s="23" t="inlineStr">
        <is>
          <t>A single-cell transcriptional timelapse of mouse embryonic development, from gastrula to pup</t>
        </is>
      </c>
      <c r="K15" s="23" t="inlineStr">
        <is>
          <t>NA</t>
        </is>
      </c>
      <c r="L15" s="23" t="inlineStr">
        <is>
          <t>NA</t>
        </is>
      </c>
      <c r="M15" s="23" t="inlineStr">
        <is>
          <t>10.1038/s41586-024-07069-w</t>
        </is>
      </c>
      <c r="N15" s="23" t="inlineStr">
        <is>
          <t>embryo</t>
        </is>
      </c>
      <c r="O15" s="23" t="inlineStr">
        <is>
          <t>normal</t>
        </is>
      </c>
      <c r="P15" s="23" t="inlineStr">
        <is>
          <t>sci-RNA-seq3</t>
        </is>
      </c>
      <c r="Q15" s="23" t="inlineStr">
        <is>
          <t>nucleus</t>
        </is>
      </c>
      <c r="R15" s="25" t="n">
        <v>11441407</v>
      </c>
      <c r="S15" s="23" t="inlineStr">
        <is>
          <t>GABAergic neuron|Schwann cell precursor|cerebral cortex GABAergic interneuron|cranial motor neuron|efferent neuron|enteric neuron|glutamatergic neuron|intestinal enteroendocrine cell|microglial cell|myelinating Schwann cell|neuron|parasympathetic neuron|perineuronal satellite cell|peripheral nervous system neuron|retinal bipolar neuron|sensory neuron of dorsal root ganglion|spinal cord motor neuron|spiral ganglion neuron|sympathetic neuron|thalamic excitatory neuron</t>
        </is>
      </c>
      <c r="T15" s="23" t="inlineStr">
        <is>
          <t>NA</t>
        </is>
      </c>
      <c r="U15" s="23" t="inlineStr">
        <is>
          <t>NA</t>
        </is>
      </c>
      <c r="V15" s="23" t="inlineStr">
        <is>
          <t>https://datasets.cellxgene.cziscience.com/1bc30289-9565-4099-abf9-3326328c11ac.h5ad</t>
        </is>
      </c>
      <c r="W15" s="23" t="inlineStr">
        <is>
          <t>https://cellxgene.cziscience.com/collections/45d5d2c3-bc28-4814-aed6-0bb6f0e11c82</t>
        </is>
      </c>
      <c r="X15" s="23" t="n">
        <v>11</v>
      </c>
    </row>
    <row r="16">
      <c r="A16" s="23" t="inlineStr">
        <is>
          <t>鼠 Mouse</t>
        </is>
      </c>
      <c r="B16" s="37" t="inlineStr">
        <is>
          <t>多器官图谱/全身</t>
        </is>
      </c>
      <c r="C16" s="23" t="inlineStr">
        <is>
          <t>adipose tissue</t>
        </is>
      </c>
      <c r="D16" s="23" t="inlineStr">
        <is>
          <t>Mus musculus</t>
        </is>
      </c>
      <c r="E16" s="23" t="inlineStr">
        <is>
          <t>L1;L2;L4</t>
        </is>
      </c>
      <c r="F16" s="23" t="inlineStr">
        <is>
          <t>L1:Cardiac neuron | L2:Schwann cell | L4:Neuroendocrine cell/Pulmonary neuroendocrine cell</t>
        </is>
      </c>
      <c r="G16" s="23" t="inlineStr"/>
      <c r="H16" s="23" t="inlineStr">
        <is>
          <t>0b9d8a04-bb9d-44da-aa27-705bb65b54eb</t>
        </is>
      </c>
      <c r="I16" s="23" t="inlineStr">
        <is>
          <t>CELLxGENE:48b37086-25f7-4ecd-be66-f5bb378e3aea</t>
        </is>
      </c>
      <c r="J16" s="23" t="inlineStr">
        <is>
          <t>Tabula Muris Senis</t>
        </is>
      </c>
      <c r="K16" s="23" t="inlineStr">
        <is>
          <t>Tabula Muris Senis</t>
        </is>
      </c>
      <c r="L16" s="23" t="inlineStr">
        <is>
          <t>2021</t>
        </is>
      </c>
      <c r="M16" s="23" t="inlineStr">
        <is>
          <t>10.1038/s41586-020-2496-1</t>
        </is>
      </c>
      <c r="N16" s="23" t="inlineStr">
        <is>
          <t>adipose tissue|bladder lumen|bone marrow|heart|kidney|large intestine|limb muscle|liver|lung|mammary gland|pancreas|skin of body|spleen|thymus|tongue|trachea</t>
        </is>
      </c>
      <c r="O16" s="23" t="inlineStr">
        <is>
          <t>normal</t>
        </is>
      </c>
      <c r="P16" s="23" t="inlineStr">
        <is>
          <t>10x 3' v2</t>
        </is>
      </c>
      <c r="Q16" s="23" t="inlineStr">
        <is>
          <t>cell</t>
        </is>
      </c>
      <c r="R16" s="25" t="n">
        <v>245389</v>
      </c>
      <c r="S16" s="23" t="inlineStr">
        <is>
          <t>Schwann cell|cardiac neuron|neuroendocrine cell|pulmonary neuroendocrine cell</t>
        </is>
      </c>
      <c r="T16" s="23" t="inlineStr">
        <is>
          <t>SOX10;MPZ;PLP1;MBP;PMP22</t>
        </is>
      </c>
      <c r="U16" s="23" t="inlineStr">
        <is>
          <t>外周神经再生</t>
        </is>
      </c>
      <c r="V16" s="23" t="inlineStr">
        <is>
          <t>https://datasets.cellxgene.cziscience.com/084058cc-4f17-43ce-b14e-1278df074013.h5ad</t>
        </is>
      </c>
      <c r="W16" s="23" t="inlineStr">
        <is>
          <t>https://cellxgene.cziscience.com/collections/0b9d8a04-bb9d-44da-aa27-705bb65b54eb</t>
        </is>
      </c>
      <c r="X16" s="23" t="n">
        <v>5</v>
      </c>
    </row>
    <row r="17">
      <c r="A17" s="23" t="inlineStr">
        <is>
          <t>鼠 Mouse</t>
        </is>
      </c>
      <c r="B17" s="37" t="inlineStr">
        <is>
          <t>多器官图谱/全身</t>
        </is>
      </c>
      <c r="C17" s="23" t="inlineStr">
        <is>
          <t>blood</t>
        </is>
      </c>
      <c r="D17" s="23" t="inlineStr">
        <is>
          <t>Mus musculus</t>
        </is>
      </c>
      <c r="E17" s="23" t="inlineStr">
        <is>
          <t>L2</t>
        </is>
      </c>
      <c r="F17" s="23" t="inlineStr">
        <is>
          <t>L2:Schwann cell</t>
        </is>
      </c>
      <c r="G17" s="23" t="inlineStr"/>
      <c r="H17" s="23" t="inlineStr">
        <is>
          <t>24e324a1-b42d-4438-9bb5-cf5233fa90b0</t>
        </is>
      </c>
      <c r="I17" s="23" t="inlineStr">
        <is>
          <t>CELLxGENE:7b6bab5a-f9c4-4a56-9ed4-3b9079b14867</t>
        </is>
      </c>
      <c r="J17" s="23" t="inlineStr">
        <is>
          <t>Single cell transcriptomic analyses of the dynamic local and systemic response to cardiac injury in mice and zebrafish.</t>
        </is>
      </c>
      <c r="K17" s="23" t="inlineStr">
        <is>
          <t>小鼠和斑马鱼心脏损伤后动态局部及全身反应的单细胞转录组分析</t>
        </is>
      </c>
      <c r="L17" s="23" t="inlineStr">
        <is>
          <t>2024</t>
        </is>
      </c>
      <c r="M17" s="23" t="inlineStr">
        <is>
          <t>10.1038/s42003-024-07315-x</t>
        </is>
      </c>
      <c r="N17" s="23" t="inlineStr">
        <is>
          <t>blood|heart|kidney|liver|pancreas</t>
        </is>
      </c>
      <c r="O17" s="23" t="inlineStr">
        <is>
          <t>myocardial infarction|normal</t>
        </is>
      </c>
      <c r="P17" s="23" t="inlineStr">
        <is>
          <t>10x 3' v3</t>
        </is>
      </c>
      <c r="Q17" s="23" t="inlineStr">
        <is>
          <t>cell</t>
        </is>
      </c>
      <c r="R17" s="25" t="n">
        <v>194315</v>
      </c>
      <c r="S17" s="23" t="inlineStr">
        <is>
          <t>Schwann cell</t>
        </is>
      </c>
      <c r="T17" s="23" t="inlineStr">
        <is>
          <t>SOX10;MPZ;PLP1;MBP;PMP22</t>
        </is>
      </c>
      <c r="U17" s="23" t="inlineStr">
        <is>
          <t>针灸作用相关;外周神经再生;伤口修复</t>
        </is>
      </c>
      <c r="V17" s="23" t="inlineStr">
        <is>
          <t>https://datasets.cellxgene.cziscience.com/3ae58a8e-a64e-44b5-94c6-af55c88e02d3.h5ad</t>
        </is>
      </c>
      <c r="W17" s="23" t="inlineStr">
        <is>
          <t>https://cellxgene.cziscience.com/collections/24e324a1-b42d-4438-9bb5-cf5233fa90b0</t>
        </is>
      </c>
      <c r="X17" s="23" t="n">
        <v>1</v>
      </c>
    </row>
  </sheetData>
  <autoFilter ref="A1:X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6" customWidth="1" min="2" max="2"/>
    <col width="22" customWidth="1" min="3" max="3"/>
    <col width="13" customWidth="1" min="4" max="4"/>
    <col width="10" customWidth="1" min="5" max="5"/>
    <col width="40" customWidth="1" min="6" max="6"/>
    <col width="14" customWidth="1" min="7" max="7"/>
    <col width="16" customWidth="1" min="8" max="8"/>
    <col width="24" customWidth="1" min="9" max="9"/>
    <col width="40" customWidth="1" min="10" max="10"/>
    <col width="30" customWidth="1" min="11" max="11"/>
    <col width="7" customWidth="1" min="12" max="12"/>
    <col width="22" customWidth="1" min="13" max="13"/>
    <col width="40" customWidth="1" min="14" max="14"/>
    <col width="30" customWidth="1" min="15" max="15"/>
    <col width="24" customWidth="1" min="16" max="16"/>
    <col width="9" customWidth="1" min="17" max="17"/>
    <col width="12" customWidth="1" min="18" max="18"/>
    <col width="34" customWidth="1" min="19" max="19"/>
    <col width="24" customWidth="1" min="20" max="20"/>
    <col width="22" customWidth="1" min="21" max="21"/>
    <col width="22" customWidth="1" min="22" max="22"/>
    <col width="22" customWidth="1" min="23" max="23"/>
    <col width="8" customWidth="1" min="24" max="24"/>
  </cols>
  <sheetData>
    <row r="1">
      <c r="A1" s="3" t="inlineStr">
        <is>
          <t>物种(中文)</t>
        </is>
      </c>
      <c r="B1" s="3" t="inlineStr">
        <is>
          <t>组织系统大类</t>
        </is>
      </c>
      <c r="C1" s="3" t="inlineStr">
        <is>
          <t>主组织</t>
        </is>
      </c>
      <c r="D1" s="3" t="inlineStr">
        <is>
          <t>Species</t>
        </is>
      </c>
      <c r="E1" s="3" t="inlineStr">
        <is>
          <t>细胞分层</t>
        </is>
      </c>
      <c r="F1" s="3" t="inlineStr">
        <is>
          <t>分层依据(具体细胞)</t>
        </is>
      </c>
      <c r="G1" s="3" t="inlineStr">
        <is>
          <t>泛化提示</t>
        </is>
      </c>
      <c r="H1" s="3" t="inlineStr">
        <is>
          <t>collection_id</t>
        </is>
      </c>
      <c r="I1" s="3" t="inlineStr">
        <is>
          <t>代表Dataset_ID</t>
        </is>
      </c>
      <c r="J1" s="3" t="inlineStr">
        <is>
          <t>Publication_Title</t>
        </is>
      </c>
      <c r="K1" s="3" t="inlineStr">
        <is>
          <t>中文标题</t>
        </is>
      </c>
      <c r="L1" s="3" t="inlineStr">
        <is>
          <t>Year</t>
        </is>
      </c>
      <c r="M1" s="3" t="inlineStr">
        <is>
          <t>PMID/DOI</t>
        </is>
      </c>
      <c r="N1" s="3" t="inlineStr">
        <is>
          <t>Tissue</t>
        </is>
      </c>
      <c r="O1" s="3" t="inlineStr">
        <is>
          <t>Disease</t>
        </is>
      </c>
      <c r="P1" s="3" t="inlineStr">
        <is>
          <t>Technology</t>
        </is>
      </c>
      <c r="Q1" s="3" t="inlineStr">
        <is>
          <t>悬浮susp</t>
        </is>
      </c>
      <c r="R1" s="3" t="inlineStr">
        <is>
          <t>Cell_Number</t>
        </is>
      </c>
      <c r="S1" s="3" t="inlineStr">
        <is>
          <t>外周相关细胞(规范)</t>
        </is>
      </c>
      <c r="T1" s="3" t="inlineStr">
        <is>
          <t>Marker_Genes</t>
        </is>
      </c>
      <c r="U1" s="3" t="inlineStr">
        <is>
          <t>Application_Tags</t>
        </is>
      </c>
      <c r="V1" s="3" t="inlineStr">
        <is>
          <t>h5ad下载</t>
        </is>
      </c>
      <c r="W1" s="3" t="inlineStr">
        <is>
          <t>collection链接</t>
        </is>
      </c>
      <c r="X1" s="3" t="inlineStr">
        <is>
          <t>折叠ds数</t>
        </is>
      </c>
    </row>
    <row r="2">
      <c r="A2" s="23" t="inlineStr">
        <is>
          <t>人鼠 Human;Mouse</t>
        </is>
      </c>
      <c r="B2" s="26" t="inlineStr">
        <is>
          <t>肠神经/消化道</t>
        </is>
      </c>
      <c r="C2" s="23" t="inlineStr">
        <is>
          <t>colon</t>
        </is>
      </c>
      <c r="D2" s="23" t="inlineStr">
        <is>
          <t>Homo sapiens; Mus musculus</t>
        </is>
      </c>
      <c r="E2" s="23" t="inlineStr">
        <is>
          <t>L1;L2</t>
        </is>
      </c>
      <c r="F2" s="23" t="inlineStr">
        <is>
          <t>GEO补充(未规范化)</t>
        </is>
      </c>
      <c r="G2" s="23" t="inlineStr"/>
      <c r="H2" s="23" t="inlineStr">
        <is>
          <t>NA</t>
        </is>
      </c>
      <c r="I2" s="23" t="inlineStr">
        <is>
          <t>SCP1038</t>
        </is>
      </c>
      <c r="J2" s="23" t="inlineStr">
        <is>
          <t>The human and mouse enteric nervous system at single cell resolution</t>
        </is>
      </c>
      <c r="K2" s="23" t="inlineStr">
        <is>
          <t>单细胞分辨率下的人类和小鼠肠神经系统</t>
        </is>
      </c>
      <c r="L2" s="23" t="inlineStr">
        <is>
          <t>2020</t>
        </is>
      </c>
      <c r="M2" s="23" t="inlineStr">
        <is>
          <t>DOI:10.1016/j.cell.2020.08.003</t>
        </is>
      </c>
      <c r="N2" s="23" t="inlineStr">
        <is>
          <t>colon; ileum; enteric nervous system/myenteric plexus</t>
        </is>
      </c>
      <c r="O2" s="23" t="inlineStr">
        <is>
          <t>normal adult/fetal/reference ENS</t>
        </is>
      </c>
      <c r="P2" s="23" t="inlineStr">
        <is>
          <t>snRNA-seq; scRNA-seq</t>
        </is>
      </c>
      <c r="Q2" s="23" t="inlineStr">
        <is>
          <t>NA</t>
        </is>
      </c>
      <c r="R2" s="25" t="inlineStr">
        <is>
          <t>586460 total cells in portal; includes neuron/glia subsets</t>
        </is>
      </c>
      <c r="S2" s="23" t="inlineStr">
        <is>
          <t>enteric neuron; enteric glia</t>
        </is>
      </c>
      <c r="T2" s="23" t="inlineStr">
        <is>
          <t>RBFOX3;TUBB3;SNAP25;PHOX2B;SOX10;PLP1;S100B</t>
        </is>
      </c>
      <c r="U2" s="23" t="inlineStr">
        <is>
          <t>general peripheral neurobiology</t>
        </is>
      </c>
      <c r="V2" s="23" t="inlineStr">
        <is>
          <t>NA</t>
        </is>
      </c>
      <c r="W2" s="23" t="inlineStr">
        <is>
          <t>https://singlecell.broadinstitute.org/single_cell/study/SCP1038/the-human-and-mouse-enteric-nervous-system-at-single-cell-resolution</t>
        </is>
      </c>
      <c r="X2" s="23" t="n">
        <v>1</v>
      </c>
    </row>
  </sheetData>
  <autoFilter ref="A1:X2"/>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2026-06-14T04:00:09Z</dcterms:created>
  <dcterms:modified xmlns:dcterms="http://purl.org/dc/terms/" xmlns:xsi="http://www.w3.org/2001/XMLSchema-instance" xsi:type="dcterms:W3CDTF">2026-07-13T06:35:49Z</dcterms:modified>
</cp:coreProperties>
</file>