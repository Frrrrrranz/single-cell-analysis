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rav/Documents/GitHub/HCA/Analysis/output/"/>
    </mc:Choice>
  </mc:AlternateContent>
  <xr:revisionPtr revIDLastSave="0" documentId="13_ncr:40009_{FF1B8C76-FCA6-F844-B72A-8E2D2B99CB95}" xr6:coauthVersionLast="45" xr6:coauthVersionMax="45" xr10:uidLastSave="{00000000-0000-0000-0000-000000000000}"/>
  <bookViews>
    <workbookView xWindow="0" yWindow="460" windowWidth="16800" windowHeight="19020"/>
  </bookViews>
  <sheets>
    <sheet name="mouse_s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0" i="1" l="1"/>
  <c r="L50" i="1"/>
  <c r="M50" i="1"/>
  <c r="N50" i="1"/>
  <c r="O50" i="1"/>
  <c r="AI6" i="1"/>
  <c r="C50" i="1"/>
  <c r="D50" i="1"/>
  <c r="E50" i="1"/>
  <c r="F50" i="1"/>
  <c r="G50" i="1"/>
  <c r="H50" i="1"/>
  <c r="I50" i="1"/>
  <c r="J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K35" i="1"/>
  <c r="AK39" i="1"/>
  <c r="AI41" i="1"/>
  <c r="AJ4" i="1"/>
  <c r="AJ5" i="1"/>
  <c r="AJ6" i="1"/>
  <c r="AK6" i="1" s="1"/>
  <c r="AJ7" i="1"/>
  <c r="AJ8" i="1"/>
  <c r="AJ9" i="1"/>
  <c r="AJ12" i="1"/>
  <c r="AJ13" i="1"/>
  <c r="AJ14" i="1"/>
  <c r="AJ15" i="1"/>
  <c r="AK15" i="1" s="1"/>
  <c r="AJ16" i="1"/>
  <c r="AK16" i="1" s="1"/>
  <c r="AJ19" i="1"/>
  <c r="AJ20" i="1"/>
  <c r="AJ21" i="1"/>
  <c r="AJ22" i="1"/>
  <c r="AJ23" i="1"/>
  <c r="AJ24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3" i="1"/>
  <c r="AI30" i="1"/>
  <c r="AI31" i="1"/>
  <c r="AI32" i="1"/>
  <c r="AI33" i="1"/>
  <c r="AI34" i="1"/>
  <c r="AI36" i="1"/>
  <c r="AI37" i="1"/>
  <c r="AI38" i="1"/>
  <c r="AI39" i="1"/>
  <c r="AI40" i="1"/>
  <c r="AI42" i="1"/>
  <c r="AI43" i="1"/>
  <c r="AI44" i="1"/>
  <c r="AI45" i="1"/>
  <c r="AI46" i="1"/>
  <c r="AI47" i="1"/>
  <c r="AI48" i="1"/>
  <c r="AI49" i="1"/>
  <c r="AI29" i="1"/>
  <c r="AI9" i="1"/>
  <c r="AI12" i="1"/>
  <c r="AI13" i="1"/>
  <c r="AI14" i="1"/>
  <c r="AI15" i="1"/>
  <c r="AI16" i="1"/>
  <c r="AI19" i="1"/>
  <c r="AI20" i="1"/>
  <c r="AI21" i="1"/>
  <c r="AI22" i="1"/>
  <c r="AI23" i="1"/>
  <c r="AI24" i="1"/>
  <c r="AI27" i="1"/>
  <c r="AI28" i="1"/>
  <c r="AI8" i="1"/>
  <c r="AI7" i="1"/>
  <c r="AK7" i="1" s="1"/>
  <c r="AI4" i="1"/>
  <c r="AI5" i="1"/>
  <c r="AI3" i="1"/>
  <c r="AK3" i="1" s="1"/>
  <c r="AK33" i="1" l="1"/>
  <c r="AK13" i="1"/>
  <c r="AK19" i="1"/>
  <c r="AK40" i="1"/>
  <c r="AK28" i="1"/>
  <c r="AK12" i="1"/>
  <c r="AK44" i="1"/>
  <c r="AK32" i="1"/>
  <c r="AK45" i="1"/>
  <c r="AK20" i="1"/>
  <c r="AK43" i="1"/>
  <c r="AK30" i="1"/>
  <c r="AK31" i="1"/>
  <c r="AK42" i="1"/>
  <c r="AK29" i="1"/>
  <c r="AK14" i="1"/>
  <c r="AK9" i="1"/>
  <c r="AK38" i="1"/>
  <c r="AK37" i="1"/>
  <c r="AK23" i="1"/>
  <c r="AK49" i="1"/>
  <c r="AK36" i="1"/>
  <c r="AK41" i="1"/>
  <c r="AJ50" i="1"/>
  <c r="AK22" i="1"/>
  <c r="AK48" i="1"/>
  <c r="AK34" i="1"/>
  <c r="AK27" i="1"/>
  <c r="AK21" i="1"/>
  <c r="AK47" i="1"/>
  <c r="AK46" i="1"/>
  <c r="AI50" i="1"/>
  <c r="AK5" i="1"/>
  <c r="AK4" i="1"/>
  <c r="AK24" i="1"/>
  <c r="AK8" i="1"/>
  <c r="AK50" i="1" l="1"/>
</calcChain>
</file>

<file path=xl/sharedStrings.xml><?xml version="1.0" encoding="utf-8"?>
<sst xmlns="http://schemas.openxmlformats.org/spreadsheetml/2006/main" count="123" uniqueCount="119">
  <si>
    <t>Adventitial Fibroblast</t>
  </si>
  <si>
    <t>Alox5+ Lymphocyte</t>
  </si>
  <si>
    <t>Alveolar Epithelial Type 1</t>
  </si>
  <si>
    <t>Alveolar Epithelial Type 2</t>
  </si>
  <si>
    <t>Alveolar Fibroblast</t>
  </si>
  <si>
    <t>Alveolar Macrophage</t>
  </si>
  <si>
    <t>Artery</t>
  </si>
  <si>
    <t>B</t>
  </si>
  <si>
    <t>Basal</t>
  </si>
  <si>
    <t>Basophil</t>
  </si>
  <si>
    <t>Capillary</t>
  </si>
  <si>
    <t>Capillary Aerocyte</t>
  </si>
  <si>
    <t>Ccr7+ Dendritic</t>
  </si>
  <si>
    <t>CD4+ T</t>
  </si>
  <si>
    <t>CD8+ T</t>
  </si>
  <si>
    <t>Ciliated</t>
  </si>
  <si>
    <t>Classical Monocyte</t>
  </si>
  <si>
    <t>Club</t>
  </si>
  <si>
    <t>Goblet</t>
  </si>
  <si>
    <t>Intermediate Monocyte</t>
  </si>
  <si>
    <t>Interstitial Macrophage</t>
  </si>
  <si>
    <t>Ly6g5b+ T</t>
  </si>
  <si>
    <t>Lymphatic</t>
  </si>
  <si>
    <t>Mesothelial</t>
  </si>
  <si>
    <t>Myeloid Dendritic Type 1</t>
  </si>
  <si>
    <t>Myeloid Dendritic Type 2</t>
  </si>
  <si>
    <t>Myofibroblast</t>
  </si>
  <si>
    <t>Natural Killer</t>
  </si>
  <si>
    <t>Neuroendocrine</t>
  </si>
  <si>
    <t>Neutrophil</t>
  </si>
  <si>
    <t>Nonclassical Monocyte</t>
  </si>
  <si>
    <t>Pericyte</t>
  </si>
  <si>
    <t>Plasma</t>
  </si>
  <si>
    <t>Plasmacytoid Dendritic</t>
  </si>
  <si>
    <t>Regulatory T</t>
  </si>
  <si>
    <t>Smooth Muscle</t>
  </si>
  <si>
    <t>Vein</t>
  </si>
  <si>
    <t>Zbtb32+ B</t>
  </si>
  <si>
    <t>Total</t>
  </si>
  <si>
    <t>24_58_M (SS2)</t>
  </si>
  <si>
    <t>24_59_M (SS2)</t>
  </si>
  <si>
    <t>24_60_M (SS2)</t>
  </si>
  <si>
    <t>24_61_M (SS2)</t>
  </si>
  <si>
    <t>18_45_M (SS2)</t>
  </si>
  <si>
    <t>18_46_F (SS2)</t>
  </si>
  <si>
    <t>18_47_F (SS2)</t>
  </si>
  <si>
    <t>18_53_M (SS2)</t>
  </si>
  <si>
    <t>3_10_M (SS2)</t>
  </si>
  <si>
    <t>3_11_M (SS2)</t>
  </si>
  <si>
    <t>3_38_F (SS2)</t>
  </si>
  <si>
    <t>3_39_F (SS2)</t>
  </si>
  <si>
    <t>3_8_M (SS2)</t>
  </si>
  <si>
    <t>3_9_M (SS2)</t>
  </si>
  <si>
    <t>ANN (SS2)</t>
  </si>
  <si>
    <t>KJT (SS2)</t>
  </si>
  <si>
    <t>Total (SS2)</t>
  </si>
  <si>
    <t>Proliferating Alveolar Macrophage</t>
  </si>
  <si>
    <t>Natural Killer T</t>
  </si>
  <si>
    <t>30_M_5 (10x)</t>
  </si>
  <si>
    <t>30_M_4 (10x)</t>
  </si>
  <si>
    <t>30_M_3 (10x)</t>
  </si>
  <si>
    <t>30_M_2 (10x)</t>
  </si>
  <si>
    <t>3_M_7/8 (10x)</t>
  </si>
  <si>
    <t>3_M_5/6 (10x)</t>
  </si>
  <si>
    <t>3_F_57 (10x)</t>
  </si>
  <si>
    <t>3_F_56 (10x)</t>
  </si>
  <si>
    <t>21_F_55 (10x)</t>
  </si>
  <si>
    <t>21_F_54 (10x)</t>
  </si>
  <si>
    <t>18_M_53 (10x)</t>
  </si>
  <si>
    <t>18_M_52 (10x)</t>
  </si>
  <si>
    <t>18_F_51 (10x)</t>
  </si>
  <si>
    <t>18_F_50 (10x)</t>
  </si>
  <si>
    <t>1_M_63 (10x)</t>
  </si>
  <si>
    <t>1_M_62 (10x)</t>
  </si>
  <si>
    <t>Proliferating NK/T</t>
  </si>
  <si>
    <t>Total (10x)</t>
  </si>
  <si>
    <t>Epothelium</t>
  </si>
  <si>
    <t>Endothelium</t>
  </si>
  <si>
    <t>Stroma</t>
  </si>
  <si>
    <t>Immune</t>
  </si>
  <si>
    <t>Markers</t>
  </si>
  <si>
    <t>Scgb3a2, Cyp2f2, Cckar</t>
  </si>
  <si>
    <t>Foxj1, Ccdc78, Fam183b</t>
  </si>
  <si>
    <t>Krt5, Trp63, Dapl1</t>
  </si>
  <si>
    <t>Tff2, Muc5b, Spdef</t>
  </si>
  <si>
    <t>Chga, Calca, Ascl1</t>
  </si>
  <si>
    <t>Ager, Clib5, Pdpn</t>
  </si>
  <si>
    <t>Sftpc, Muc1, Etv5</t>
  </si>
  <si>
    <t>Dkk2, Gja5, Bmx</t>
  </si>
  <si>
    <t>Slc6a2, Amigo2, Vegfc</t>
  </si>
  <si>
    <t>Ednrb, Car4, Prx</t>
  </si>
  <si>
    <t>Pvalp, Pgihbp1, Cd93</t>
  </si>
  <si>
    <t>Prox1, Pdpn, Mmrn1</t>
  </si>
  <si>
    <t>Acta2, Cnn1, Tagln</t>
  </si>
  <si>
    <t>Wif1, Fgf18, Aspn</t>
  </si>
  <si>
    <t>Serpinf1, Pi16, Entpd2</t>
  </si>
  <si>
    <t>Fgfr4, Slc7a10, Slc38a5</t>
  </si>
  <si>
    <t>Trpc6, Higd1b, Vtn</t>
  </si>
  <si>
    <t>Msln, Wt1, Upk3b</t>
  </si>
  <si>
    <t>Cd79a, Cd19, Ms4a1</t>
  </si>
  <si>
    <t>Cd79a, Cd27, Slamf7</t>
  </si>
  <si>
    <t>Cd3e, Lck, Cd8a</t>
  </si>
  <si>
    <t>Cd3e, Lck, Cd4</t>
  </si>
  <si>
    <t>Cd3e, Lck</t>
  </si>
  <si>
    <t>Cd3e, Lck, Ctla4</t>
  </si>
  <si>
    <t>Cd3e, Nkg7, Cxcr6</t>
  </si>
  <si>
    <t>Klrb1a, Tyrobp, Gzma</t>
  </si>
  <si>
    <t>Mki67, Top2a, Cdk1</t>
  </si>
  <si>
    <t>Retnlg, S100a8, S100a9</t>
  </si>
  <si>
    <t>Cpa3, Ms4a2, Mcpt8</t>
  </si>
  <si>
    <t>Marco, Msr1, Mcr1</t>
  </si>
  <si>
    <t>Siglech, Cd300c, Klk1</t>
  </si>
  <si>
    <t>MHCII, Cd24a, Clec9a</t>
  </si>
  <si>
    <t>MHCII, Sirpa, Itgam</t>
  </si>
  <si>
    <t>MHCII, Ccr7</t>
  </si>
  <si>
    <t>MHCII, C1qa, Trem2</t>
  </si>
  <si>
    <t>Cd14, F13a1, Ly6c2</t>
  </si>
  <si>
    <t>Emr4, Itgax, Treml4</t>
  </si>
  <si>
    <t>Cd14, Itgax, Treml4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</si>
</sst>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tabSelected="1" workbookViewId="0">
      <selection activeCell="B50" sqref="B50"/>
    </sheetView>
  </sheetViews>
  <sheetFormatPr baseColWidth="10" defaultRowHeight="16" x14ac:dyDescent="0.2"/>
  <cols>
    <col min="1" max="2" width="28.33203125" customWidth="1"/>
  </cols>
  <sheetData>
    <row r="1" spans="1:37" x14ac:dyDescent="0.2">
      <c r="B1" t="s">
        <v>80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73</v>
      </c>
      <c r="T1" t="s">
        <v>72</v>
      </c>
      <c r="U1" t="s">
        <v>71</v>
      </c>
      <c r="V1" t="s">
        <v>70</v>
      </c>
      <c r="W1" t="s">
        <v>69</v>
      </c>
      <c r="X1" t="s">
        <v>68</v>
      </c>
      <c r="Y1" t="s">
        <v>67</v>
      </c>
      <c r="Z1" t="s">
        <v>66</v>
      </c>
      <c r="AA1" t="s">
        <v>65</v>
      </c>
      <c r="AB1" t="s">
        <v>64</v>
      </c>
      <c r="AC1" t="s">
        <v>63</v>
      </c>
      <c r="AD1" t="s">
        <v>62</v>
      </c>
      <c r="AE1" t="s">
        <v>61</v>
      </c>
      <c r="AF1" t="s">
        <v>60</v>
      </c>
      <c r="AG1" t="s">
        <v>59</v>
      </c>
      <c r="AH1" t="s">
        <v>58</v>
      </c>
      <c r="AI1" t="s">
        <v>55</v>
      </c>
      <c r="AJ1" t="s">
        <v>75</v>
      </c>
      <c r="AK1" t="s">
        <v>38</v>
      </c>
    </row>
    <row r="2" spans="1:37" x14ac:dyDescent="0.2">
      <c r="A2" t="s">
        <v>76</v>
      </c>
    </row>
    <row r="3" spans="1:37" x14ac:dyDescent="0.2">
      <c r="A3" t="s">
        <v>17</v>
      </c>
      <c r="B3" t="s">
        <v>81</v>
      </c>
      <c r="C3">
        <v>2</v>
      </c>
      <c r="D3">
        <v>2</v>
      </c>
      <c r="E3">
        <v>1</v>
      </c>
      <c r="F3">
        <v>0</v>
      </c>
      <c r="G3">
        <v>1</v>
      </c>
      <c r="H3">
        <v>3</v>
      </c>
      <c r="I3">
        <v>0</v>
      </c>
      <c r="J3">
        <v>1</v>
      </c>
      <c r="K3">
        <v>0</v>
      </c>
      <c r="L3">
        <v>1</v>
      </c>
      <c r="M3">
        <v>1</v>
      </c>
      <c r="N3">
        <v>2</v>
      </c>
      <c r="O3">
        <v>0</v>
      </c>
      <c r="P3">
        <v>2</v>
      </c>
      <c r="Q3">
        <v>4</v>
      </c>
      <c r="R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2</v>
      </c>
      <c r="Y3">
        <v>2</v>
      </c>
      <c r="Z3">
        <v>3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2</v>
      </c>
      <c r="AH3">
        <v>0</v>
      </c>
      <c r="AI3">
        <f>SUM(G3:R3)</f>
        <v>15</v>
      </c>
      <c r="AJ3">
        <f>SUM(S3:AH3)</f>
        <v>15</v>
      </c>
      <c r="AK3">
        <f>SUM(AI3:AJ3)</f>
        <v>30</v>
      </c>
    </row>
    <row r="4" spans="1:37" x14ac:dyDescent="0.2">
      <c r="A4" t="s">
        <v>15</v>
      </c>
      <c r="B4" t="s">
        <v>82</v>
      </c>
      <c r="C4">
        <v>3</v>
      </c>
      <c r="D4">
        <v>0</v>
      </c>
      <c r="E4">
        <v>6</v>
      </c>
      <c r="F4">
        <v>7</v>
      </c>
      <c r="G4">
        <v>1</v>
      </c>
      <c r="H4">
        <v>7</v>
      </c>
      <c r="I4">
        <v>6</v>
      </c>
      <c r="J4">
        <v>0</v>
      </c>
      <c r="K4">
        <v>1</v>
      </c>
      <c r="L4">
        <v>2</v>
      </c>
      <c r="M4">
        <v>7</v>
      </c>
      <c r="N4">
        <v>7</v>
      </c>
      <c r="O4">
        <v>4</v>
      </c>
      <c r="P4">
        <v>3</v>
      </c>
      <c r="Q4">
        <v>96</v>
      </c>
      <c r="R4">
        <v>6</v>
      </c>
      <c r="S4">
        <v>5</v>
      </c>
      <c r="T4">
        <v>5</v>
      </c>
      <c r="U4">
        <v>0</v>
      </c>
      <c r="V4">
        <v>3</v>
      </c>
      <c r="W4">
        <v>2</v>
      </c>
      <c r="X4">
        <v>4</v>
      </c>
      <c r="Y4">
        <v>2</v>
      </c>
      <c r="Z4">
        <v>2</v>
      </c>
      <c r="AA4">
        <v>0</v>
      </c>
      <c r="AB4">
        <v>0</v>
      </c>
      <c r="AC4">
        <v>10</v>
      </c>
      <c r="AD4">
        <v>21</v>
      </c>
      <c r="AE4">
        <v>1</v>
      </c>
      <c r="AF4">
        <v>0</v>
      </c>
      <c r="AG4">
        <v>1</v>
      </c>
      <c r="AH4">
        <v>1</v>
      </c>
      <c r="AI4">
        <f>SUM(G4:R4)</f>
        <v>140</v>
      </c>
      <c r="AJ4">
        <f t="shared" ref="AJ4:AJ49" si="0">SUM(S4:AH4)</f>
        <v>57</v>
      </c>
      <c r="AK4">
        <f t="shared" ref="AK4:AK16" si="1">SUM(AI4:AJ4)</f>
        <v>197</v>
      </c>
    </row>
    <row r="5" spans="1:37" x14ac:dyDescent="0.2">
      <c r="A5" t="s">
        <v>8</v>
      </c>
      <c r="B5" t="s">
        <v>83</v>
      </c>
      <c r="C5">
        <v>0</v>
      </c>
      <c r="D5">
        <v>0</v>
      </c>
      <c r="E5">
        <v>0</v>
      </c>
      <c r="F5">
        <v>0</v>
      </c>
      <c r="G5">
        <v>0</v>
      </c>
      <c r="H5">
        <v>21</v>
      </c>
      <c r="I5">
        <v>9</v>
      </c>
      <c r="J5">
        <v>0</v>
      </c>
      <c r="K5">
        <v>0</v>
      </c>
      <c r="L5">
        <v>0</v>
      </c>
      <c r="M5">
        <v>3</v>
      </c>
      <c r="N5">
        <v>2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>SUM(G5:R5)</f>
        <v>37</v>
      </c>
      <c r="AJ5">
        <f t="shared" si="0"/>
        <v>0</v>
      </c>
      <c r="AK5">
        <f t="shared" si="1"/>
        <v>37</v>
      </c>
    </row>
    <row r="6" spans="1:37" x14ac:dyDescent="0.2">
      <c r="A6" t="s">
        <v>18</v>
      </c>
      <c r="B6" t="s">
        <v>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>SUM(G6:R6)</f>
        <v>1</v>
      </c>
      <c r="AJ6">
        <f t="shared" si="0"/>
        <v>0</v>
      </c>
      <c r="AK6">
        <f t="shared" si="1"/>
        <v>1</v>
      </c>
    </row>
    <row r="7" spans="1:37" x14ac:dyDescent="0.2">
      <c r="A7" t="s">
        <v>28</v>
      </c>
      <c r="B7" t="s">
        <v>85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3</v>
      </c>
      <c r="AE7">
        <v>0</v>
      </c>
      <c r="AF7">
        <v>0</v>
      </c>
      <c r="AG7">
        <v>0</v>
      </c>
      <c r="AH7">
        <v>0</v>
      </c>
      <c r="AI7">
        <f>SUM(G7:R7)</f>
        <v>6</v>
      </c>
      <c r="AJ7">
        <f t="shared" si="0"/>
        <v>4</v>
      </c>
      <c r="AK7">
        <f t="shared" si="1"/>
        <v>10</v>
      </c>
    </row>
    <row r="8" spans="1:37" x14ac:dyDescent="0.2">
      <c r="A8" t="s">
        <v>2</v>
      </c>
      <c r="B8" t="s">
        <v>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1</v>
      </c>
      <c r="N8">
        <v>1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>SUM(G8:R8)</f>
        <v>7</v>
      </c>
      <c r="AJ8">
        <f t="shared" si="0"/>
        <v>0</v>
      </c>
      <c r="AK8">
        <f t="shared" si="1"/>
        <v>7</v>
      </c>
    </row>
    <row r="9" spans="1:37" x14ac:dyDescent="0.2">
      <c r="A9" t="s">
        <v>3</v>
      </c>
      <c r="B9" t="s">
        <v>87</v>
      </c>
      <c r="C9">
        <v>20</v>
      </c>
      <c r="D9">
        <v>2</v>
      </c>
      <c r="E9">
        <v>6</v>
      </c>
      <c r="F9">
        <v>5</v>
      </c>
      <c r="G9">
        <v>11</v>
      </c>
      <c r="H9">
        <v>15</v>
      </c>
      <c r="I9">
        <v>7</v>
      </c>
      <c r="J9">
        <v>5</v>
      </c>
      <c r="K9">
        <v>4</v>
      </c>
      <c r="L9">
        <v>6</v>
      </c>
      <c r="M9">
        <v>22</v>
      </c>
      <c r="N9">
        <v>34</v>
      </c>
      <c r="O9">
        <v>12</v>
      </c>
      <c r="P9">
        <v>25</v>
      </c>
      <c r="Q9">
        <v>156</v>
      </c>
      <c r="R9">
        <v>21</v>
      </c>
      <c r="S9">
        <v>7</v>
      </c>
      <c r="T9">
        <v>0</v>
      </c>
      <c r="U9">
        <v>0</v>
      </c>
      <c r="V9">
        <v>4</v>
      </c>
      <c r="W9">
        <v>20</v>
      </c>
      <c r="X9">
        <v>11</v>
      </c>
      <c r="Y9">
        <v>8</v>
      </c>
      <c r="Z9">
        <v>10</v>
      </c>
      <c r="AA9">
        <v>1</v>
      </c>
      <c r="AB9">
        <v>1</v>
      </c>
      <c r="AC9">
        <v>39</v>
      </c>
      <c r="AD9">
        <v>13</v>
      </c>
      <c r="AE9">
        <v>5</v>
      </c>
      <c r="AF9">
        <v>1</v>
      </c>
      <c r="AG9">
        <v>4</v>
      </c>
      <c r="AH9">
        <v>1</v>
      </c>
      <c r="AI9">
        <f>SUM(G9:R9)</f>
        <v>318</v>
      </c>
      <c r="AJ9">
        <f t="shared" si="0"/>
        <v>125</v>
      </c>
      <c r="AK9">
        <f t="shared" si="1"/>
        <v>443</v>
      </c>
    </row>
    <row r="11" spans="1:37" x14ac:dyDescent="0.2">
      <c r="A11" t="s">
        <v>77</v>
      </c>
    </row>
    <row r="12" spans="1:37" x14ac:dyDescent="0.2">
      <c r="A12" t="s">
        <v>6</v>
      </c>
      <c r="B12" t="s">
        <v>88</v>
      </c>
      <c r="C12">
        <v>0</v>
      </c>
      <c r="D12">
        <v>2</v>
      </c>
      <c r="E12">
        <v>5</v>
      </c>
      <c r="F12">
        <v>2</v>
      </c>
      <c r="G12">
        <v>12</v>
      </c>
      <c r="H12">
        <v>14</v>
      </c>
      <c r="I12">
        <v>11</v>
      </c>
      <c r="J12">
        <v>10</v>
      </c>
      <c r="K12">
        <v>0</v>
      </c>
      <c r="L12">
        <v>1</v>
      </c>
      <c r="M12">
        <v>19</v>
      </c>
      <c r="N12">
        <v>36</v>
      </c>
      <c r="O12">
        <v>7</v>
      </c>
      <c r="P12">
        <v>7</v>
      </c>
      <c r="Q12">
        <v>0</v>
      </c>
      <c r="R12">
        <v>0</v>
      </c>
      <c r="S12">
        <v>5</v>
      </c>
      <c r="T12">
        <v>8</v>
      </c>
      <c r="U12">
        <v>1</v>
      </c>
      <c r="V12">
        <v>5</v>
      </c>
      <c r="W12">
        <v>12</v>
      </c>
      <c r="X12">
        <v>14</v>
      </c>
      <c r="Y12">
        <v>11</v>
      </c>
      <c r="Z12">
        <v>15</v>
      </c>
      <c r="AA12">
        <v>3</v>
      </c>
      <c r="AB12">
        <v>13</v>
      </c>
      <c r="AC12">
        <v>0</v>
      </c>
      <c r="AD12">
        <v>0</v>
      </c>
      <c r="AE12">
        <v>0</v>
      </c>
      <c r="AF12">
        <v>1</v>
      </c>
      <c r="AG12">
        <v>8</v>
      </c>
      <c r="AH12">
        <v>2</v>
      </c>
      <c r="AI12">
        <f>SUM(G12:R12)</f>
        <v>117</v>
      </c>
      <c r="AJ12">
        <f t="shared" si="0"/>
        <v>98</v>
      </c>
      <c r="AK12">
        <f t="shared" si="1"/>
        <v>215</v>
      </c>
    </row>
    <row r="13" spans="1:37" x14ac:dyDescent="0.2">
      <c r="A13" t="s">
        <v>36</v>
      </c>
      <c r="B13" t="s">
        <v>89</v>
      </c>
      <c r="C13">
        <v>14</v>
      </c>
      <c r="D13">
        <v>10</v>
      </c>
      <c r="E13">
        <v>15</v>
      </c>
      <c r="F13">
        <v>14</v>
      </c>
      <c r="G13">
        <v>13</v>
      </c>
      <c r="H13">
        <v>18</v>
      </c>
      <c r="I13">
        <v>14</v>
      </c>
      <c r="J13">
        <v>15</v>
      </c>
      <c r="K13">
        <v>0</v>
      </c>
      <c r="L13">
        <v>3</v>
      </c>
      <c r="M13">
        <v>20</v>
      </c>
      <c r="N13">
        <v>14</v>
      </c>
      <c r="O13">
        <v>3</v>
      </c>
      <c r="P13">
        <v>4</v>
      </c>
      <c r="Q13">
        <v>0</v>
      </c>
      <c r="R13">
        <v>0</v>
      </c>
      <c r="S13">
        <v>11</v>
      </c>
      <c r="T13">
        <v>8</v>
      </c>
      <c r="U13">
        <v>3</v>
      </c>
      <c r="V13">
        <v>30</v>
      </c>
      <c r="W13">
        <v>30</v>
      </c>
      <c r="X13">
        <v>30</v>
      </c>
      <c r="Y13">
        <v>51</v>
      </c>
      <c r="Z13">
        <v>56</v>
      </c>
      <c r="AA13">
        <v>6</v>
      </c>
      <c r="AB13">
        <v>22</v>
      </c>
      <c r="AC13">
        <v>0</v>
      </c>
      <c r="AD13">
        <v>0</v>
      </c>
      <c r="AE13">
        <v>11</v>
      </c>
      <c r="AF13">
        <v>24</v>
      </c>
      <c r="AG13">
        <v>30</v>
      </c>
      <c r="AH13">
        <v>8</v>
      </c>
      <c r="AI13">
        <f>SUM(G13:R13)</f>
        <v>104</v>
      </c>
      <c r="AJ13">
        <f t="shared" si="0"/>
        <v>320</v>
      </c>
      <c r="AK13">
        <f t="shared" si="1"/>
        <v>424</v>
      </c>
    </row>
    <row r="14" spans="1:37" x14ac:dyDescent="0.2">
      <c r="A14" t="s">
        <v>11</v>
      </c>
      <c r="B14" t="s">
        <v>90</v>
      </c>
      <c r="C14">
        <v>14</v>
      </c>
      <c r="D14">
        <v>17</v>
      </c>
      <c r="E14">
        <v>26</v>
      </c>
      <c r="F14">
        <v>29</v>
      </c>
      <c r="G14">
        <v>30</v>
      </c>
      <c r="H14">
        <v>32</v>
      </c>
      <c r="I14">
        <v>23</v>
      </c>
      <c r="J14">
        <v>36</v>
      </c>
      <c r="K14">
        <v>3</v>
      </c>
      <c r="L14">
        <v>7</v>
      </c>
      <c r="M14">
        <v>28</v>
      </c>
      <c r="N14">
        <v>26</v>
      </c>
      <c r="O14">
        <v>16</v>
      </c>
      <c r="P14">
        <v>7</v>
      </c>
      <c r="Q14">
        <v>0</v>
      </c>
      <c r="R14">
        <v>2</v>
      </c>
      <c r="S14">
        <v>90</v>
      </c>
      <c r="T14">
        <v>35</v>
      </c>
      <c r="U14">
        <v>7</v>
      </c>
      <c r="V14">
        <v>14</v>
      </c>
      <c r="W14">
        <v>59</v>
      </c>
      <c r="X14">
        <v>49</v>
      </c>
      <c r="Y14">
        <v>70</v>
      </c>
      <c r="Z14">
        <v>78</v>
      </c>
      <c r="AA14">
        <v>11</v>
      </c>
      <c r="AB14">
        <v>24</v>
      </c>
      <c r="AC14">
        <v>0</v>
      </c>
      <c r="AD14">
        <v>0</v>
      </c>
      <c r="AE14">
        <v>0</v>
      </c>
      <c r="AF14">
        <v>34</v>
      </c>
      <c r="AG14">
        <v>42</v>
      </c>
      <c r="AH14">
        <v>17</v>
      </c>
      <c r="AI14">
        <f>SUM(G14:R14)</f>
        <v>210</v>
      </c>
      <c r="AJ14">
        <f t="shared" si="0"/>
        <v>530</v>
      </c>
      <c r="AK14">
        <f t="shared" si="1"/>
        <v>740</v>
      </c>
    </row>
    <row r="15" spans="1:37" x14ac:dyDescent="0.2">
      <c r="A15" t="s">
        <v>10</v>
      </c>
      <c r="B15" t="s">
        <v>91</v>
      </c>
      <c r="C15">
        <v>126</v>
      </c>
      <c r="D15">
        <v>161</v>
      </c>
      <c r="E15">
        <v>181</v>
      </c>
      <c r="F15">
        <v>160</v>
      </c>
      <c r="G15">
        <v>219</v>
      </c>
      <c r="H15">
        <v>249</v>
      </c>
      <c r="I15">
        <v>197</v>
      </c>
      <c r="J15">
        <v>158</v>
      </c>
      <c r="K15">
        <v>11</v>
      </c>
      <c r="L15">
        <v>39</v>
      </c>
      <c r="M15">
        <v>157</v>
      </c>
      <c r="N15">
        <v>92</v>
      </c>
      <c r="O15">
        <v>54</v>
      </c>
      <c r="P15">
        <v>31</v>
      </c>
      <c r="Q15">
        <v>1</v>
      </c>
      <c r="R15">
        <v>0</v>
      </c>
      <c r="S15">
        <v>119</v>
      </c>
      <c r="T15">
        <v>75</v>
      </c>
      <c r="U15">
        <v>38</v>
      </c>
      <c r="V15">
        <v>172</v>
      </c>
      <c r="W15">
        <v>229</v>
      </c>
      <c r="X15">
        <v>178</v>
      </c>
      <c r="Y15">
        <v>269</v>
      </c>
      <c r="Z15">
        <v>253</v>
      </c>
      <c r="AA15">
        <v>39</v>
      </c>
      <c r="AB15">
        <v>80</v>
      </c>
      <c r="AC15">
        <v>1</v>
      </c>
      <c r="AD15">
        <v>0</v>
      </c>
      <c r="AE15">
        <v>14</v>
      </c>
      <c r="AF15">
        <v>103</v>
      </c>
      <c r="AG15">
        <v>154</v>
      </c>
      <c r="AH15">
        <v>72</v>
      </c>
      <c r="AI15">
        <f>SUM(G15:R15)</f>
        <v>1208</v>
      </c>
      <c r="AJ15">
        <f t="shared" si="0"/>
        <v>1796</v>
      </c>
      <c r="AK15">
        <f t="shared" si="1"/>
        <v>3004</v>
      </c>
    </row>
    <row r="16" spans="1:37" x14ac:dyDescent="0.2">
      <c r="A16" t="s">
        <v>22</v>
      </c>
      <c r="B16" t="s">
        <v>92</v>
      </c>
      <c r="C16">
        <v>4</v>
      </c>
      <c r="D16">
        <v>4</v>
      </c>
      <c r="E16">
        <v>12</v>
      </c>
      <c r="F16">
        <v>15</v>
      </c>
      <c r="G16">
        <v>6</v>
      </c>
      <c r="H16">
        <v>1</v>
      </c>
      <c r="I16">
        <v>0</v>
      </c>
      <c r="J16">
        <v>6</v>
      </c>
      <c r="K16">
        <v>8</v>
      </c>
      <c r="L16">
        <v>1</v>
      </c>
      <c r="M16">
        <v>3</v>
      </c>
      <c r="N16">
        <v>0</v>
      </c>
      <c r="O16">
        <v>25</v>
      </c>
      <c r="P16">
        <v>21</v>
      </c>
      <c r="Q16">
        <v>0</v>
      </c>
      <c r="R16">
        <v>0</v>
      </c>
      <c r="S16">
        <v>2</v>
      </c>
      <c r="T16">
        <v>4</v>
      </c>
      <c r="U16">
        <v>0</v>
      </c>
      <c r="V16">
        <v>2</v>
      </c>
      <c r="W16">
        <v>6</v>
      </c>
      <c r="X16">
        <v>3</v>
      </c>
      <c r="Y16">
        <v>7</v>
      </c>
      <c r="Z16">
        <v>5</v>
      </c>
      <c r="AA16">
        <v>0</v>
      </c>
      <c r="AB16">
        <v>2</v>
      </c>
      <c r="AC16">
        <v>0</v>
      </c>
      <c r="AD16">
        <v>0</v>
      </c>
      <c r="AE16">
        <v>1</v>
      </c>
      <c r="AF16">
        <v>5</v>
      </c>
      <c r="AG16">
        <v>3</v>
      </c>
      <c r="AH16">
        <v>1</v>
      </c>
      <c r="AI16">
        <f>SUM(G16:R16)</f>
        <v>71</v>
      </c>
      <c r="AJ16">
        <f t="shared" si="0"/>
        <v>41</v>
      </c>
      <c r="AK16">
        <f t="shared" si="1"/>
        <v>112</v>
      </c>
    </row>
    <row r="18" spans="1:37" x14ac:dyDescent="0.2">
      <c r="A18" t="s">
        <v>78</v>
      </c>
    </row>
    <row r="19" spans="1:37" x14ac:dyDescent="0.2">
      <c r="A19" t="s">
        <v>35</v>
      </c>
      <c r="B19" t="s">
        <v>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8</v>
      </c>
      <c r="S19">
        <v>1</v>
      </c>
      <c r="T19">
        <v>1</v>
      </c>
      <c r="U19">
        <v>1</v>
      </c>
      <c r="V19">
        <v>8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f>SUM(G19:R19)</f>
        <v>9</v>
      </c>
      <c r="AJ19">
        <f t="shared" si="0"/>
        <v>13</v>
      </c>
      <c r="AK19">
        <f>SUM(AI19:AJ19)</f>
        <v>22</v>
      </c>
    </row>
    <row r="20" spans="1:37" x14ac:dyDescent="0.2">
      <c r="A20" t="s">
        <v>26</v>
      </c>
      <c r="B20" t="s">
        <v>94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6</v>
      </c>
      <c r="L20">
        <v>8</v>
      </c>
      <c r="M20">
        <v>3</v>
      </c>
      <c r="N20">
        <v>2</v>
      </c>
      <c r="O20">
        <v>9</v>
      </c>
      <c r="P20">
        <v>11</v>
      </c>
      <c r="Q20">
        <v>0</v>
      </c>
      <c r="R20">
        <v>3</v>
      </c>
      <c r="S20">
        <v>10</v>
      </c>
      <c r="T20">
        <v>13</v>
      </c>
      <c r="U20">
        <v>1</v>
      </c>
      <c r="V20">
        <v>2</v>
      </c>
      <c r="W20">
        <v>2</v>
      </c>
      <c r="X20">
        <v>4</v>
      </c>
      <c r="Y20">
        <v>3</v>
      </c>
      <c r="Z20">
        <v>6</v>
      </c>
      <c r="AA20">
        <v>3</v>
      </c>
      <c r="AB20">
        <v>10</v>
      </c>
      <c r="AC20">
        <v>32</v>
      </c>
      <c r="AD20">
        <v>136</v>
      </c>
      <c r="AE20">
        <v>0</v>
      </c>
      <c r="AF20">
        <v>0</v>
      </c>
      <c r="AG20">
        <v>0</v>
      </c>
      <c r="AH20">
        <v>0</v>
      </c>
      <c r="AI20">
        <f>SUM(G20:R20)</f>
        <v>46</v>
      </c>
      <c r="AJ20">
        <f t="shared" si="0"/>
        <v>222</v>
      </c>
      <c r="AK20">
        <f t="shared" ref="AK20:AK49" si="2">SUM(AI20:AJ20)</f>
        <v>268</v>
      </c>
    </row>
    <row r="21" spans="1:37" x14ac:dyDescent="0.2">
      <c r="A21" t="s">
        <v>0</v>
      </c>
      <c r="B21" t="s">
        <v>95</v>
      </c>
      <c r="C21">
        <v>8</v>
      </c>
      <c r="D21">
        <v>19</v>
      </c>
      <c r="E21">
        <v>14</v>
      </c>
      <c r="F21">
        <v>9</v>
      </c>
      <c r="G21">
        <v>54</v>
      </c>
      <c r="H21">
        <v>19</v>
      </c>
      <c r="I21">
        <v>7</v>
      </c>
      <c r="J21">
        <v>18</v>
      </c>
      <c r="K21">
        <v>21</v>
      </c>
      <c r="L21">
        <v>23</v>
      </c>
      <c r="M21">
        <v>2</v>
      </c>
      <c r="N21">
        <v>5</v>
      </c>
      <c r="O21">
        <v>45</v>
      </c>
      <c r="P21">
        <v>44</v>
      </c>
      <c r="Q21">
        <v>3</v>
      </c>
      <c r="R21">
        <v>14</v>
      </c>
      <c r="S21">
        <v>20</v>
      </c>
      <c r="T21">
        <v>9</v>
      </c>
      <c r="U21">
        <v>2</v>
      </c>
      <c r="V21">
        <v>23</v>
      </c>
      <c r="W21">
        <v>16</v>
      </c>
      <c r="X21">
        <v>15</v>
      </c>
      <c r="Y21">
        <v>14</v>
      </c>
      <c r="Z21">
        <v>29</v>
      </c>
      <c r="AA21">
        <v>8</v>
      </c>
      <c r="AB21">
        <v>9</v>
      </c>
      <c r="AC21">
        <v>95</v>
      </c>
      <c r="AD21">
        <v>263</v>
      </c>
      <c r="AE21">
        <v>3</v>
      </c>
      <c r="AF21">
        <v>6</v>
      </c>
      <c r="AG21">
        <v>10</v>
      </c>
      <c r="AH21">
        <v>4</v>
      </c>
      <c r="AI21">
        <f>SUM(G21:R21)</f>
        <v>255</v>
      </c>
      <c r="AJ21">
        <f t="shared" si="0"/>
        <v>526</v>
      </c>
      <c r="AK21">
        <f t="shared" si="2"/>
        <v>781</v>
      </c>
    </row>
    <row r="22" spans="1:37" x14ac:dyDescent="0.2">
      <c r="A22" t="s">
        <v>4</v>
      </c>
      <c r="B22" t="s">
        <v>96</v>
      </c>
      <c r="C22">
        <v>57</v>
      </c>
      <c r="D22">
        <v>41</v>
      </c>
      <c r="E22">
        <v>31</v>
      </c>
      <c r="F22">
        <v>55</v>
      </c>
      <c r="G22">
        <v>44</v>
      </c>
      <c r="H22">
        <v>50</v>
      </c>
      <c r="I22">
        <v>48</v>
      </c>
      <c r="J22">
        <v>27</v>
      </c>
      <c r="K22">
        <v>9</v>
      </c>
      <c r="L22">
        <v>19</v>
      </c>
      <c r="M22">
        <v>32</v>
      </c>
      <c r="N22">
        <v>51</v>
      </c>
      <c r="O22">
        <v>7</v>
      </c>
      <c r="P22">
        <v>8</v>
      </c>
      <c r="Q22">
        <v>30</v>
      </c>
      <c r="R22">
        <v>54</v>
      </c>
      <c r="S22">
        <v>35</v>
      </c>
      <c r="T22">
        <v>52</v>
      </c>
      <c r="U22">
        <v>4</v>
      </c>
      <c r="V22">
        <v>75</v>
      </c>
      <c r="W22">
        <v>36</v>
      </c>
      <c r="X22">
        <v>51</v>
      </c>
      <c r="Y22">
        <v>42</v>
      </c>
      <c r="Z22">
        <v>59</v>
      </c>
      <c r="AA22">
        <v>11</v>
      </c>
      <c r="AB22">
        <v>26</v>
      </c>
      <c r="AC22">
        <v>302</v>
      </c>
      <c r="AD22">
        <v>804</v>
      </c>
      <c r="AE22">
        <v>0</v>
      </c>
      <c r="AF22">
        <v>7</v>
      </c>
      <c r="AG22">
        <v>8</v>
      </c>
      <c r="AH22">
        <v>11</v>
      </c>
      <c r="AI22">
        <f>SUM(G22:R22)</f>
        <v>379</v>
      </c>
      <c r="AJ22">
        <f t="shared" si="0"/>
        <v>1523</v>
      </c>
      <c r="AK22">
        <f t="shared" si="2"/>
        <v>1902</v>
      </c>
    </row>
    <row r="23" spans="1:37" x14ac:dyDescent="0.2">
      <c r="A23" t="s">
        <v>31</v>
      </c>
      <c r="B23" t="s">
        <v>97</v>
      </c>
      <c r="C23">
        <v>1</v>
      </c>
      <c r="D23">
        <v>0</v>
      </c>
      <c r="E23">
        <v>2</v>
      </c>
      <c r="F23">
        <v>1</v>
      </c>
      <c r="G23">
        <v>0</v>
      </c>
      <c r="H23">
        <v>10</v>
      </c>
      <c r="I23">
        <v>8</v>
      </c>
      <c r="J23">
        <v>1</v>
      </c>
      <c r="K23">
        <v>1</v>
      </c>
      <c r="L23">
        <v>2</v>
      </c>
      <c r="M23">
        <v>2</v>
      </c>
      <c r="N23">
        <v>3</v>
      </c>
      <c r="O23">
        <v>3</v>
      </c>
      <c r="P23">
        <v>4</v>
      </c>
      <c r="Q23">
        <v>0</v>
      </c>
      <c r="R23">
        <v>14</v>
      </c>
      <c r="S23">
        <v>8</v>
      </c>
      <c r="T23">
        <v>3</v>
      </c>
      <c r="U23">
        <v>2</v>
      </c>
      <c r="V23">
        <v>2</v>
      </c>
      <c r="W23">
        <v>3</v>
      </c>
      <c r="X23">
        <v>1</v>
      </c>
      <c r="Y23">
        <v>0</v>
      </c>
      <c r="Z23">
        <v>1</v>
      </c>
      <c r="AA23">
        <v>2</v>
      </c>
      <c r="AB23">
        <v>5</v>
      </c>
      <c r="AC23">
        <v>7</v>
      </c>
      <c r="AD23">
        <v>19</v>
      </c>
      <c r="AE23">
        <v>0</v>
      </c>
      <c r="AF23">
        <v>3</v>
      </c>
      <c r="AG23">
        <v>4</v>
      </c>
      <c r="AH23">
        <v>1</v>
      </c>
      <c r="AI23">
        <f>SUM(G23:R23)</f>
        <v>48</v>
      </c>
      <c r="AJ23">
        <f t="shared" si="0"/>
        <v>61</v>
      </c>
      <c r="AK23">
        <f t="shared" si="2"/>
        <v>109</v>
      </c>
    </row>
    <row r="24" spans="1:37" ht="15" customHeight="1" x14ac:dyDescent="0.2">
      <c r="A24" t="s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32</v>
      </c>
      <c r="R24">
        <v>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>SUM(G24:R24)</f>
        <v>45</v>
      </c>
      <c r="AJ24">
        <f t="shared" si="0"/>
        <v>0</v>
      </c>
      <c r="AK24">
        <f t="shared" si="2"/>
        <v>45</v>
      </c>
    </row>
    <row r="26" spans="1:37" x14ac:dyDescent="0.2">
      <c r="A26" t="s">
        <v>79</v>
      </c>
    </row>
    <row r="27" spans="1:37" x14ac:dyDescent="0.2">
      <c r="A27" t="s">
        <v>7</v>
      </c>
      <c r="B27" t="s">
        <v>99</v>
      </c>
      <c r="C27">
        <v>12</v>
      </c>
      <c r="D27">
        <v>14</v>
      </c>
      <c r="E27">
        <v>30</v>
      </c>
      <c r="F27">
        <v>2</v>
      </c>
      <c r="G27">
        <v>49</v>
      </c>
      <c r="H27">
        <v>9</v>
      </c>
      <c r="I27">
        <v>5</v>
      </c>
      <c r="J27">
        <v>13</v>
      </c>
      <c r="K27">
        <v>2</v>
      </c>
      <c r="L27">
        <v>3</v>
      </c>
      <c r="M27">
        <v>15</v>
      </c>
      <c r="N27">
        <v>27</v>
      </c>
      <c r="O27">
        <v>6</v>
      </c>
      <c r="P27">
        <v>3</v>
      </c>
      <c r="Q27">
        <v>0</v>
      </c>
      <c r="R27">
        <v>1</v>
      </c>
      <c r="S27">
        <v>72</v>
      </c>
      <c r="T27">
        <v>26</v>
      </c>
      <c r="U27">
        <v>83</v>
      </c>
      <c r="V27">
        <v>167</v>
      </c>
      <c r="W27">
        <v>100</v>
      </c>
      <c r="X27">
        <v>109</v>
      </c>
      <c r="Y27">
        <v>106</v>
      </c>
      <c r="Z27">
        <v>92</v>
      </c>
      <c r="AA27">
        <v>17</v>
      </c>
      <c r="AB27">
        <v>118</v>
      </c>
      <c r="AC27">
        <v>5</v>
      </c>
      <c r="AD27">
        <v>6</v>
      </c>
      <c r="AE27">
        <v>2</v>
      </c>
      <c r="AF27">
        <v>54</v>
      </c>
      <c r="AG27">
        <v>56</v>
      </c>
      <c r="AH27">
        <v>68</v>
      </c>
      <c r="AI27">
        <f>SUM(G27:R27)</f>
        <v>133</v>
      </c>
      <c r="AJ27">
        <f t="shared" si="0"/>
        <v>1081</v>
      </c>
      <c r="AK27">
        <f t="shared" si="2"/>
        <v>1214</v>
      </c>
    </row>
    <row r="28" spans="1:37" x14ac:dyDescent="0.2">
      <c r="A28" t="s">
        <v>37</v>
      </c>
      <c r="B28" t="s">
        <v>99</v>
      </c>
      <c r="C28">
        <v>0</v>
      </c>
      <c r="D28">
        <v>3</v>
      </c>
      <c r="E28">
        <v>0</v>
      </c>
      <c r="F28">
        <v>77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10</v>
      </c>
      <c r="U28">
        <v>9</v>
      </c>
      <c r="V28">
        <v>13</v>
      </c>
      <c r="W28">
        <v>11</v>
      </c>
      <c r="X28">
        <v>8</v>
      </c>
      <c r="Y28">
        <v>50</v>
      </c>
      <c r="Z28">
        <v>166</v>
      </c>
      <c r="AA28">
        <v>6</v>
      </c>
      <c r="AB28">
        <v>12</v>
      </c>
      <c r="AC28">
        <v>2</v>
      </c>
      <c r="AD28">
        <v>2</v>
      </c>
      <c r="AE28">
        <v>2</v>
      </c>
      <c r="AF28">
        <v>25</v>
      </c>
      <c r="AG28">
        <v>71</v>
      </c>
      <c r="AH28">
        <v>17</v>
      </c>
      <c r="AI28">
        <f>SUM(G28:R28)</f>
        <v>2</v>
      </c>
      <c r="AJ28">
        <f t="shared" si="0"/>
        <v>420</v>
      </c>
      <c r="AK28">
        <f t="shared" si="2"/>
        <v>422</v>
      </c>
    </row>
    <row r="29" spans="1:37" x14ac:dyDescent="0.2">
      <c r="A29" t="s">
        <v>32</v>
      </c>
      <c r="B29" t="s">
        <v>100</v>
      </c>
      <c r="C29">
        <v>4</v>
      </c>
      <c r="D29">
        <v>5</v>
      </c>
      <c r="E29">
        <v>0</v>
      </c>
      <c r="F29">
        <v>0</v>
      </c>
      <c r="G29">
        <v>2</v>
      </c>
      <c r="H29">
        <v>7</v>
      </c>
      <c r="I29">
        <v>5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</v>
      </c>
      <c r="U29">
        <v>0</v>
      </c>
      <c r="V29">
        <v>3</v>
      </c>
      <c r="W29">
        <v>0</v>
      </c>
      <c r="X29">
        <v>2</v>
      </c>
      <c r="Y29">
        <v>8</v>
      </c>
      <c r="Z29">
        <v>8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21</v>
      </c>
      <c r="AH29">
        <v>0</v>
      </c>
      <c r="AI29">
        <f>SUM(G29:R29)</f>
        <v>16</v>
      </c>
      <c r="AJ29">
        <f t="shared" si="0"/>
        <v>49</v>
      </c>
      <c r="AK29">
        <f t="shared" si="2"/>
        <v>65</v>
      </c>
    </row>
    <row r="30" spans="1:37" x14ac:dyDescent="0.2">
      <c r="A30" t="s">
        <v>14</v>
      </c>
      <c r="B30" t="s">
        <v>101</v>
      </c>
      <c r="C30">
        <v>13</v>
      </c>
      <c r="D30">
        <v>14</v>
      </c>
      <c r="E30">
        <v>26</v>
      </c>
      <c r="F30">
        <v>9</v>
      </c>
      <c r="G30">
        <v>22</v>
      </c>
      <c r="H30">
        <v>9</v>
      </c>
      <c r="I30">
        <v>10</v>
      </c>
      <c r="J30">
        <v>7</v>
      </c>
      <c r="K30">
        <v>1</v>
      </c>
      <c r="L30">
        <v>0</v>
      </c>
      <c r="M30">
        <v>2</v>
      </c>
      <c r="N30">
        <v>5</v>
      </c>
      <c r="O30">
        <v>1</v>
      </c>
      <c r="P30">
        <v>0</v>
      </c>
      <c r="Q30">
        <v>0</v>
      </c>
      <c r="R30">
        <v>1</v>
      </c>
      <c r="S30">
        <v>16</v>
      </c>
      <c r="T30">
        <v>22</v>
      </c>
      <c r="U30">
        <v>12</v>
      </c>
      <c r="V30">
        <v>57</v>
      </c>
      <c r="W30">
        <v>79</v>
      </c>
      <c r="X30">
        <v>86</v>
      </c>
      <c r="Y30">
        <v>198</v>
      </c>
      <c r="Z30">
        <v>137</v>
      </c>
      <c r="AA30">
        <v>9</v>
      </c>
      <c r="AB30">
        <v>61</v>
      </c>
      <c r="AC30">
        <v>0</v>
      </c>
      <c r="AD30">
        <v>0</v>
      </c>
      <c r="AE30">
        <v>2</v>
      </c>
      <c r="AF30">
        <v>76</v>
      </c>
      <c r="AG30">
        <v>77</v>
      </c>
      <c r="AH30">
        <v>38</v>
      </c>
      <c r="AI30">
        <f>SUM(G30:R30)</f>
        <v>58</v>
      </c>
      <c r="AJ30">
        <f t="shared" si="0"/>
        <v>870</v>
      </c>
      <c r="AK30">
        <f t="shared" si="2"/>
        <v>928</v>
      </c>
    </row>
    <row r="31" spans="1:37" x14ac:dyDescent="0.2">
      <c r="A31" t="s">
        <v>13</v>
      </c>
      <c r="B31" t="s">
        <v>102</v>
      </c>
      <c r="C31">
        <v>0</v>
      </c>
      <c r="D31">
        <v>0</v>
      </c>
      <c r="E31">
        <v>0</v>
      </c>
      <c r="F31">
        <v>1</v>
      </c>
      <c r="G31">
        <v>17</v>
      </c>
      <c r="H31">
        <v>3</v>
      </c>
      <c r="I31">
        <v>1</v>
      </c>
      <c r="J31">
        <v>1</v>
      </c>
      <c r="K31">
        <v>3</v>
      </c>
      <c r="L31">
        <v>0</v>
      </c>
      <c r="M31">
        <v>18</v>
      </c>
      <c r="N31">
        <v>9</v>
      </c>
      <c r="O31">
        <v>12</v>
      </c>
      <c r="P31">
        <v>6</v>
      </c>
      <c r="Q31">
        <v>0</v>
      </c>
      <c r="R31">
        <v>6</v>
      </c>
      <c r="S31">
        <v>48</v>
      </c>
      <c r="T31">
        <v>95</v>
      </c>
      <c r="U31">
        <v>5</v>
      </c>
      <c r="V31">
        <v>33</v>
      </c>
      <c r="W31">
        <v>11</v>
      </c>
      <c r="X31">
        <v>23</v>
      </c>
      <c r="Y31">
        <v>50</v>
      </c>
      <c r="Z31">
        <v>57</v>
      </c>
      <c r="AA31">
        <v>14</v>
      </c>
      <c r="AB31">
        <v>108</v>
      </c>
      <c r="AC31">
        <v>0</v>
      </c>
      <c r="AD31">
        <v>1</v>
      </c>
      <c r="AE31">
        <v>1</v>
      </c>
      <c r="AF31">
        <v>76</v>
      </c>
      <c r="AG31">
        <v>22</v>
      </c>
      <c r="AH31">
        <v>7</v>
      </c>
      <c r="AI31">
        <f>SUM(G31:R31)</f>
        <v>76</v>
      </c>
      <c r="AJ31">
        <f t="shared" si="0"/>
        <v>551</v>
      </c>
      <c r="AK31">
        <f t="shared" si="2"/>
        <v>627</v>
      </c>
    </row>
    <row r="32" spans="1:37" x14ac:dyDescent="0.2">
      <c r="A32" t="s">
        <v>34</v>
      </c>
      <c r="B32" t="s">
        <v>104</v>
      </c>
      <c r="C32">
        <v>3</v>
      </c>
      <c r="D32">
        <v>18</v>
      </c>
      <c r="E32">
        <v>4</v>
      </c>
      <c r="F32">
        <v>1</v>
      </c>
      <c r="G32">
        <v>11</v>
      </c>
      <c r="H32">
        <v>3</v>
      </c>
      <c r="I32">
        <v>5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7</v>
      </c>
      <c r="U32">
        <v>4</v>
      </c>
      <c r="V32">
        <v>22</v>
      </c>
      <c r="W32">
        <v>1</v>
      </c>
      <c r="X32">
        <v>1</v>
      </c>
      <c r="Y32">
        <v>11</v>
      </c>
      <c r="Z32">
        <v>9</v>
      </c>
      <c r="AA32">
        <v>5</v>
      </c>
      <c r="AB32">
        <v>6</v>
      </c>
      <c r="AC32">
        <v>0</v>
      </c>
      <c r="AD32">
        <v>1</v>
      </c>
      <c r="AE32">
        <v>0</v>
      </c>
      <c r="AF32">
        <v>15</v>
      </c>
      <c r="AG32">
        <v>33</v>
      </c>
      <c r="AH32">
        <v>7</v>
      </c>
      <c r="AI32">
        <f>SUM(G32:R32)</f>
        <v>21</v>
      </c>
      <c r="AJ32">
        <f t="shared" si="0"/>
        <v>123</v>
      </c>
      <c r="AK32">
        <f t="shared" si="2"/>
        <v>144</v>
      </c>
    </row>
    <row r="33" spans="1:37" x14ac:dyDescent="0.2">
      <c r="A33" t="s">
        <v>21</v>
      </c>
      <c r="B33" t="s">
        <v>103</v>
      </c>
      <c r="C33">
        <v>5</v>
      </c>
      <c r="D33">
        <v>5</v>
      </c>
      <c r="E33">
        <v>5</v>
      </c>
      <c r="F33">
        <v>1</v>
      </c>
      <c r="G33">
        <v>3</v>
      </c>
      <c r="H33">
        <v>4</v>
      </c>
      <c r="I33">
        <v>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</v>
      </c>
      <c r="V33">
        <v>23</v>
      </c>
      <c r="W33">
        <v>15</v>
      </c>
      <c r="X33">
        <v>8</v>
      </c>
      <c r="Y33">
        <v>35</v>
      </c>
      <c r="Z33">
        <v>30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16</v>
      </c>
      <c r="AG33">
        <v>18</v>
      </c>
      <c r="AH33">
        <v>8</v>
      </c>
      <c r="AI33">
        <f>SUM(G33:R33)</f>
        <v>11</v>
      </c>
      <c r="AJ33">
        <f t="shared" si="0"/>
        <v>160</v>
      </c>
      <c r="AK33">
        <f t="shared" si="2"/>
        <v>171</v>
      </c>
    </row>
    <row r="34" spans="1:37" x14ac:dyDescent="0.2">
      <c r="A34" t="s">
        <v>1</v>
      </c>
      <c r="B34" t="s">
        <v>103</v>
      </c>
      <c r="C34">
        <v>0</v>
      </c>
      <c r="D34">
        <v>0</v>
      </c>
      <c r="E34">
        <v>0</v>
      </c>
      <c r="F34">
        <v>2</v>
      </c>
      <c r="G34">
        <v>0</v>
      </c>
      <c r="H34">
        <v>2</v>
      </c>
      <c r="I34">
        <v>4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3</v>
      </c>
      <c r="T34">
        <v>9</v>
      </c>
      <c r="U34">
        <v>2</v>
      </c>
      <c r="V34">
        <v>20</v>
      </c>
      <c r="W34">
        <v>2</v>
      </c>
      <c r="X34">
        <v>3</v>
      </c>
      <c r="Y34">
        <v>12</v>
      </c>
      <c r="Z34">
        <v>18</v>
      </c>
      <c r="AA34">
        <v>2</v>
      </c>
      <c r="AB34">
        <v>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f>SUM(G34:R34)</f>
        <v>8</v>
      </c>
      <c r="AJ34">
        <f t="shared" si="0"/>
        <v>78</v>
      </c>
      <c r="AK34">
        <f t="shared" si="2"/>
        <v>86</v>
      </c>
    </row>
    <row r="35" spans="1:37" x14ac:dyDescent="0.2">
      <c r="A35" t="s">
        <v>57</v>
      </c>
      <c r="B35" t="s">
        <v>105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10</v>
      </c>
      <c r="T35">
        <v>10</v>
      </c>
      <c r="U35">
        <v>11</v>
      </c>
      <c r="V35">
        <v>97</v>
      </c>
      <c r="W35">
        <v>3</v>
      </c>
      <c r="X35">
        <v>41</v>
      </c>
      <c r="Y35">
        <v>17</v>
      </c>
      <c r="Z35">
        <v>33</v>
      </c>
      <c r="AA35">
        <v>1</v>
      </c>
      <c r="AB35">
        <v>6</v>
      </c>
      <c r="AC35">
        <v>0</v>
      </c>
      <c r="AD35">
        <v>0</v>
      </c>
      <c r="AE35">
        <v>0</v>
      </c>
      <c r="AF35">
        <v>147</v>
      </c>
      <c r="AG35">
        <v>23</v>
      </c>
      <c r="AH35">
        <v>21</v>
      </c>
      <c r="AJ35">
        <f t="shared" si="0"/>
        <v>420</v>
      </c>
      <c r="AK35">
        <f t="shared" si="2"/>
        <v>420</v>
      </c>
    </row>
    <row r="36" spans="1:37" x14ac:dyDescent="0.2">
      <c r="A36" t="s">
        <v>27</v>
      </c>
      <c r="B36" t="s">
        <v>106</v>
      </c>
      <c r="C36">
        <v>5</v>
      </c>
      <c r="D36">
        <v>0</v>
      </c>
      <c r="E36">
        <v>2</v>
      </c>
      <c r="F36">
        <v>0</v>
      </c>
      <c r="G36">
        <v>7</v>
      </c>
      <c r="H36">
        <v>9</v>
      </c>
      <c r="I36">
        <v>1</v>
      </c>
      <c r="J36">
        <v>1</v>
      </c>
      <c r="K36">
        <v>8</v>
      </c>
      <c r="L36">
        <v>0</v>
      </c>
      <c r="M36">
        <v>14</v>
      </c>
      <c r="N36">
        <v>2</v>
      </c>
      <c r="O36">
        <v>5</v>
      </c>
      <c r="P36">
        <v>4</v>
      </c>
      <c r="Q36">
        <v>0</v>
      </c>
      <c r="R36">
        <v>0</v>
      </c>
      <c r="S36">
        <v>53</v>
      </c>
      <c r="T36">
        <v>87</v>
      </c>
      <c r="U36">
        <v>27</v>
      </c>
      <c r="V36">
        <v>54</v>
      </c>
      <c r="W36">
        <v>34</v>
      </c>
      <c r="X36">
        <v>38</v>
      </c>
      <c r="Y36">
        <v>117</v>
      </c>
      <c r="Z36">
        <v>107</v>
      </c>
      <c r="AA36">
        <v>38</v>
      </c>
      <c r="AB36">
        <v>163</v>
      </c>
      <c r="AC36">
        <v>67</v>
      </c>
      <c r="AD36">
        <v>258</v>
      </c>
      <c r="AE36">
        <v>0</v>
      </c>
      <c r="AF36">
        <v>76</v>
      </c>
      <c r="AG36">
        <v>21</v>
      </c>
      <c r="AH36">
        <v>23</v>
      </c>
      <c r="AI36">
        <f>SUM(G36:R36)</f>
        <v>51</v>
      </c>
      <c r="AJ36">
        <f t="shared" si="0"/>
        <v>1163</v>
      </c>
      <c r="AK36">
        <f t="shared" si="2"/>
        <v>1214</v>
      </c>
    </row>
    <row r="37" spans="1:37" x14ac:dyDescent="0.2">
      <c r="A37" t="s">
        <v>74</v>
      </c>
      <c r="B37" t="s">
        <v>107</v>
      </c>
      <c r="C37">
        <v>12</v>
      </c>
      <c r="D37">
        <v>0</v>
      </c>
      <c r="E37">
        <v>0</v>
      </c>
      <c r="F37">
        <v>19</v>
      </c>
      <c r="G37">
        <v>1</v>
      </c>
      <c r="H37">
        <v>3</v>
      </c>
      <c r="I37">
        <v>1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5</v>
      </c>
      <c r="T37">
        <v>15</v>
      </c>
      <c r="U37">
        <v>2</v>
      </c>
      <c r="V37">
        <v>5</v>
      </c>
      <c r="W37">
        <v>2</v>
      </c>
      <c r="X37">
        <v>7</v>
      </c>
      <c r="Y37">
        <v>11</v>
      </c>
      <c r="Z37">
        <v>10</v>
      </c>
      <c r="AA37">
        <v>1</v>
      </c>
      <c r="AB37">
        <v>10</v>
      </c>
      <c r="AC37">
        <v>1</v>
      </c>
      <c r="AD37">
        <v>7</v>
      </c>
      <c r="AE37">
        <v>6</v>
      </c>
      <c r="AF37">
        <v>27</v>
      </c>
      <c r="AG37">
        <v>5</v>
      </c>
      <c r="AH37">
        <v>7</v>
      </c>
      <c r="AI37">
        <f>SUM(G37:R37)</f>
        <v>7</v>
      </c>
      <c r="AJ37">
        <f t="shared" si="0"/>
        <v>121</v>
      </c>
      <c r="AK37">
        <f t="shared" si="2"/>
        <v>128</v>
      </c>
    </row>
    <row r="38" spans="1:37" x14ac:dyDescent="0.2">
      <c r="A38" t="s">
        <v>29</v>
      </c>
      <c r="B38" t="s">
        <v>108</v>
      </c>
      <c r="C38">
        <v>12</v>
      </c>
      <c r="D38">
        <v>3</v>
      </c>
      <c r="E38">
        <v>17</v>
      </c>
      <c r="F38">
        <v>1</v>
      </c>
      <c r="G38">
        <v>8</v>
      </c>
      <c r="H38">
        <v>13</v>
      </c>
      <c r="I38">
        <v>12</v>
      </c>
      <c r="J38">
        <v>26</v>
      </c>
      <c r="K38">
        <v>5</v>
      </c>
      <c r="L38">
        <v>1</v>
      </c>
      <c r="M38">
        <v>8</v>
      </c>
      <c r="N38">
        <v>10</v>
      </c>
      <c r="O38">
        <v>1</v>
      </c>
      <c r="P38">
        <v>4</v>
      </c>
      <c r="Q38">
        <v>0</v>
      </c>
      <c r="R38">
        <v>4</v>
      </c>
      <c r="S38">
        <v>13</v>
      </c>
      <c r="T38">
        <v>51</v>
      </c>
      <c r="U38">
        <v>3</v>
      </c>
      <c r="V38">
        <v>7</v>
      </c>
      <c r="W38">
        <v>307</v>
      </c>
      <c r="X38">
        <v>96</v>
      </c>
      <c r="Y38">
        <v>12</v>
      </c>
      <c r="Z38">
        <v>17</v>
      </c>
      <c r="AA38">
        <v>3</v>
      </c>
      <c r="AB38">
        <v>19</v>
      </c>
      <c r="AC38">
        <v>2</v>
      </c>
      <c r="AD38">
        <v>0</v>
      </c>
      <c r="AE38">
        <v>0</v>
      </c>
      <c r="AF38">
        <v>12</v>
      </c>
      <c r="AG38">
        <v>2</v>
      </c>
      <c r="AH38">
        <v>8</v>
      </c>
      <c r="AI38">
        <f>SUM(G38:R38)</f>
        <v>92</v>
      </c>
      <c r="AJ38">
        <f t="shared" si="0"/>
        <v>552</v>
      </c>
      <c r="AK38">
        <f t="shared" si="2"/>
        <v>644</v>
      </c>
    </row>
    <row r="39" spans="1:37" x14ac:dyDescent="0.2">
      <c r="A39" t="s">
        <v>9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2</v>
      </c>
      <c r="N39">
        <v>1</v>
      </c>
      <c r="O39">
        <v>2</v>
      </c>
      <c r="P39">
        <v>0</v>
      </c>
      <c r="Q39">
        <v>0</v>
      </c>
      <c r="R39">
        <v>0</v>
      </c>
      <c r="S39">
        <v>6</v>
      </c>
      <c r="T39">
        <v>3</v>
      </c>
      <c r="U39">
        <v>2</v>
      </c>
      <c r="V39">
        <v>1</v>
      </c>
      <c r="W39">
        <v>10</v>
      </c>
      <c r="X39">
        <v>6</v>
      </c>
      <c r="Y39">
        <v>23</v>
      </c>
      <c r="Z39">
        <v>23</v>
      </c>
      <c r="AA39">
        <v>2</v>
      </c>
      <c r="AB39">
        <v>6</v>
      </c>
      <c r="AC39">
        <v>1</v>
      </c>
      <c r="AD39">
        <v>7</v>
      </c>
      <c r="AE39">
        <v>29</v>
      </c>
      <c r="AF39">
        <v>7</v>
      </c>
      <c r="AG39">
        <v>2</v>
      </c>
      <c r="AH39">
        <v>2</v>
      </c>
      <c r="AI39">
        <f>SUM(G39:R39)</f>
        <v>6</v>
      </c>
      <c r="AJ39">
        <f t="shared" si="0"/>
        <v>130</v>
      </c>
      <c r="AK39">
        <f t="shared" si="2"/>
        <v>136</v>
      </c>
    </row>
    <row r="40" spans="1:37" x14ac:dyDescent="0.2">
      <c r="A40" t="s">
        <v>5</v>
      </c>
      <c r="B40" t="s">
        <v>110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3</v>
      </c>
      <c r="N40">
        <v>4</v>
      </c>
      <c r="O40">
        <v>2</v>
      </c>
      <c r="P40">
        <v>0</v>
      </c>
      <c r="Q40">
        <v>0</v>
      </c>
      <c r="R40">
        <v>28</v>
      </c>
      <c r="S40">
        <v>148</v>
      </c>
      <c r="T40">
        <v>369</v>
      </c>
      <c r="U40">
        <v>15</v>
      </c>
      <c r="V40">
        <v>88</v>
      </c>
      <c r="W40">
        <v>49</v>
      </c>
      <c r="X40">
        <v>41</v>
      </c>
      <c r="Y40">
        <v>39</v>
      </c>
      <c r="Z40">
        <v>52</v>
      </c>
      <c r="AA40">
        <v>47</v>
      </c>
      <c r="AB40">
        <v>69</v>
      </c>
      <c r="AC40">
        <v>8</v>
      </c>
      <c r="AD40">
        <v>60</v>
      </c>
      <c r="AE40">
        <v>137</v>
      </c>
      <c r="AF40">
        <v>38</v>
      </c>
      <c r="AG40">
        <v>79</v>
      </c>
      <c r="AH40">
        <v>22</v>
      </c>
      <c r="AI40">
        <f>SUM(G40:R40)</f>
        <v>39</v>
      </c>
      <c r="AJ40">
        <f t="shared" si="0"/>
        <v>1261</v>
      </c>
      <c r="AK40">
        <f t="shared" si="2"/>
        <v>1300</v>
      </c>
    </row>
    <row r="41" spans="1:37" x14ac:dyDescent="0.2">
      <c r="A41" t="s">
        <v>56</v>
      </c>
      <c r="B41" t="s">
        <v>107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</v>
      </c>
      <c r="T41">
        <v>50</v>
      </c>
      <c r="U41">
        <v>0</v>
      </c>
      <c r="V41">
        <v>3</v>
      </c>
      <c r="W41">
        <v>1</v>
      </c>
      <c r="X41">
        <v>3</v>
      </c>
      <c r="Y41">
        <v>0</v>
      </c>
      <c r="Z41">
        <v>0</v>
      </c>
      <c r="AA41">
        <v>4</v>
      </c>
      <c r="AB41">
        <v>5</v>
      </c>
      <c r="AC41">
        <v>2</v>
      </c>
      <c r="AD41">
        <v>13</v>
      </c>
      <c r="AE41">
        <v>8</v>
      </c>
      <c r="AF41">
        <v>2</v>
      </c>
      <c r="AG41">
        <v>4</v>
      </c>
      <c r="AH41">
        <v>0</v>
      </c>
      <c r="AI41">
        <f>SUM(G41:R41)</f>
        <v>0</v>
      </c>
      <c r="AJ41">
        <f t="shared" si="0"/>
        <v>105</v>
      </c>
      <c r="AK41">
        <f t="shared" si="2"/>
        <v>105</v>
      </c>
    </row>
    <row r="42" spans="1:37" x14ac:dyDescent="0.2">
      <c r="A42" t="s">
        <v>33</v>
      </c>
      <c r="B42" t="s">
        <v>111</v>
      </c>
      <c r="C42">
        <v>0</v>
      </c>
      <c r="D42">
        <v>3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6</v>
      </c>
      <c r="T42">
        <v>15</v>
      </c>
      <c r="U42">
        <v>0</v>
      </c>
      <c r="V42">
        <v>5</v>
      </c>
      <c r="W42">
        <v>3</v>
      </c>
      <c r="X42">
        <v>7</v>
      </c>
      <c r="Y42">
        <v>3</v>
      </c>
      <c r="Z42">
        <v>7</v>
      </c>
      <c r="AA42">
        <v>1</v>
      </c>
      <c r="AB42">
        <v>7</v>
      </c>
      <c r="AC42">
        <v>0</v>
      </c>
      <c r="AD42">
        <v>7</v>
      </c>
      <c r="AE42">
        <v>0</v>
      </c>
      <c r="AF42">
        <v>4</v>
      </c>
      <c r="AG42">
        <v>8</v>
      </c>
      <c r="AH42">
        <v>2</v>
      </c>
      <c r="AI42">
        <f>SUM(G42:R42)</f>
        <v>3</v>
      </c>
      <c r="AJ42">
        <f t="shared" si="0"/>
        <v>75</v>
      </c>
      <c r="AK42">
        <f t="shared" si="2"/>
        <v>78</v>
      </c>
    </row>
    <row r="43" spans="1:37" x14ac:dyDescent="0.2">
      <c r="A43" t="s">
        <v>24</v>
      </c>
      <c r="B43" t="s">
        <v>112</v>
      </c>
      <c r="C43">
        <v>20</v>
      </c>
      <c r="D43">
        <v>22</v>
      </c>
      <c r="E43">
        <v>13</v>
      </c>
      <c r="F43">
        <v>11</v>
      </c>
      <c r="G43">
        <v>18</v>
      </c>
      <c r="H43">
        <v>10</v>
      </c>
      <c r="I43">
        <v>14</v>
      </c>
      <c r="J43">
        <v>3</v>
      </c>
      <c r="K43">
        <v>0</v>
      </c>
      <c r="L43">
        <v>0</v>
      </c>
      <c r="M43">
        <v>20</v>
      </c>
      <c r="N43">
        <v>14</v>
      </c>
      <c r="O43">
        <v>1</v>
      </c>
      <c r="P43">
        <v>1</v>
      </c>
      <c r="Q43">
        <v>0</v>
      </c>
      <c r="R43">
        <v>6</v>
      </c>
      <c r="S43">
        <v>17</v>
      </c>
      <c r="T43">
        <v>21</v>
      </c>
      <c r="U43">
        <v>4</v>
      </c>
      <c r="V43">
        <v>11</v>
      </c>
      <c r="W43">
        <v>3</v>
      </c>
      <c r="X43">
        <v>13</v>
      </c>
      <c r="Y43">
        <v>8</v>
      </c>
      <c r="Z43">
        <v>18</v>
      </c>
      <c r="AA43">
        <v>9</v>
      </c>
      <c r="AB43">
        <v>11</v>
      </c>
      <c r="AC43">
        <v>0</v>
      </c>
      <c r="AD43">
        <v>5</v>
      </c>
      <c r="AE43">
        <v>1</v>
      </c>
      <c r="AF43">
        <v>27</v>
      </c>
      <c r="AG43">
        <v>13</v>
      </c>
      <c r="AH43">
        <v>3</v>
      </c>
      <c r="AI43">
        <f>SUM(G43:R43)</f>
        <v>87</v>
      </c>
      <c r="AJ43">
        <f t="shared" si="0"/>
        <v>164</v>
      </c>
      <c r="AK43">
        <f t="shared" si="2"/>
        <v>251</v>
      </c>
    </row>
    <row r="44" spans="1:37" x14ac:dyDescent="0.2">
      <c r="A44" t="s">
        <v>25</v>
      </c>
      <c r="B44" t="s">
        <v>113</v>
      </c>
      <c r="C44">
        <v>17</v>
      </c>
      <c r="D44">
        <v>32</v>
      </c>
      <c r="E44">
        <v>27</v>
      </c>
      <c r="F44">
        <v>71</v>
      </c>
      <c r="G44">
        <v>29</v>
      </c>
      <c r="H44">
        <v>13</v>
      </c>
      <c r="I44">
        <v>8</v>
      </c>
      <c r="J44">
        <v>13</v>
      </c>
      <c r="K44">
        <v>0</v>
      </c>
      <c r="L44">
        <v>0</v>
      </c>
      <c r="M44">
        <v>13</v>
      </c>
      <c r="N44">
        <v>15</v>
      </c>
      <c r="O44">
        <v>0</v>
      </c>
      <c r="P44">
        <v>1</v>
      </c>
      <c r="Q44">
        <v>0</v>
      </c>
      <c r="R44">
        <v>0</v>
      </c>
      <c r="S44">
        <v>4</v>
      </c>
      <c r="T44">
        <v>4</v>
      </c>
      <c r="U44">
        <v>1</v>
      </c>
      <c r="V44">
        <v>6</v>
      </c>
      <c r="W44">
        <v>7</v>
      </c>
      <c r="X44">
        <v>3</v>
      </c>
      <c r="Y44">
        <v>7</v>
      </c>
      <c r="Z44">
        <v>9</v>
      </c>
      <c r="AA44">
        <v>2</v>
      </c>
      <c r="AB44">
        <v>8</v>
      </c>
      <c r="AC44">
        <v>1</v>
      </c>
      <c r="AD44">
        <v>3</v>
      </c>
      <c r="AE44">
        <v>0</v>
      </c>
      <c r="AF44">
        <v>8</v>
      </c>
      <c r="AG44">
        <v>14</v>
      </c>
      <c r="AH44">
        <v>4</v>
      </c>
      <c r="AI44">
        <f>SUM(G44:R44)</f>
        <v>92</v>
      </c>
      <c r="AJ44">
        <f t="shared" si="0"/>
        <v>81</v>
      </c>
      <c r="AK44">
        <f t="shared" si="2"/>
        <v>173</v>
      </c>
    </row>
    <row r="45" spans="1:37" x14ac:dyDescent="0.2">
      <c r="A45" t="s">
        <v>12</v>
      </c>
      <c r="B45" t="s">
        <v>114</v>
      </c>
      <c r="C45">
        <v>3</v>
      </c>
      <c r="D45">
        <v>5</v>
      </c>
      <c r="E45">
        <v>24</v>
      </c>
      <c r="F45">
        <v>8</v>
      </c>
      <c r="G45">
        <v>4</v>
      </c>
      <c r="H45">
        <v>3</v>
      </c>
      <c r="I45">
        <v>2</v>
      </c>
      <c r="J45">
        <v>0</v>
      </c>
      <c r="K45">
        <v>0</v>
      </c>
      <c r="L45">
        <v>0</v>
      </c>
      <c r="M45">
        <v>2</v>
      </c>
      <c r="N45">
        <v>6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>
        <v>1</v>
      </c>
      <c r="Y45">
        <v>2</v>
      </c>
      <c r="Z45">
        <v>3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4</v>
      </c>
      <c r="AH45">
        <v>0</v>
      </c>
      <c r="AI45">
        <f>SUM(G45:R45)</f>
        <v>17</v>
      </c>
      <c r="AJ45">
        <f t="shared" si="0"/>
        <v>18</v>
      </c>
      <c r="AK45">
        <f t="shared" si="2"/>
        <v>35</v>
      </c>
    </row>
    <row r="46" spans="1:37" x14ac:dyDescent="0.2">
      <c r="A46" t="s">
        <v>20</v>
      </c>
      <c r="B46" t="s">
        <v>115</v>
      </c>
      <c r="C46">
        <v>2</v>
      </c>
      <c r="D46">
        <v>1</v>
      </c>
      <c r="E46">
        <v>3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1</v>
      </c>
      <c r="P46">
        <v>1</v>
      </c>
      <c r="Q46">
        <v>0</v>
      </c>
      <c r="R46">
        <v>1</v>
      </c>
      <c r="S46">
        <v>3</v>
      </c>
      <c r="T46">
        <v>4</v>
      </c>
      <c r="U46">
        <v>0</v>
      </c>
      <c r="V46">
        <v>0</v>
      </c>
      <c r="W46">
        <v>6</v>
      </c>
      <c r="X46">
        <v>10</v>
      </c>
      <c r="Y46">
        <v>8</v>
      </c>
      <c r="Z46">
        <v>13</v>
      </c>
      <c r="AA46">
        <v>7</v>
      </c>
      <c r="AB46">
        <v>6</v>
      </c>
      <c r="AC46">
        <v>0</v>
      </c>
      <c r="AD46">
        <v>2</v>
      </c>
      <c r="AE46">
        <v>1060</v>
      </c>
      <c r="AF46">
        <v>28</v>
      </c>
      <c r="AG46">
        <v>5</v>
      </c>
      <c r="AH46">
        <v>5</v>
      </c>
      <c r="AI46">
        <f>SUM(G46:R46)</f>
        <v>5</v>
      </c>
      <c r="AJ46">
        <f t="shared" si="0"/>
        <v>1157</v>
      </c>
      <c r="AK46">
        <f t="shared" si="2"/>
        <v>1162</v>
      </c>
    </row>
    <row r="47" spans="1:37" x14ac:dyDescent="0.2">
      <c r="A47" t="s">
        <v>16</v>
      </c>
      <c r="B47" t="s">
        <v>116</v>
      </c>
      <c r="C47">
        <v>15</v>
      </c>
      <c r="D47">
        <v>24</v>
      </c>
      <c r="E47">
        <v>11</v>
      </c>
      <c r="F47">
        <v>4</v>
      </c>
      <c r="G47">
        <v>35</v>
      </c>
      <c r="H47">
        <v>13</v>
      </c>
      <c r="I47">
        <v>12</v>
      </c>
      <c r="J47">
        <v>20</v>
      </c>
      <c r="K47">
        <v>24</v>
      </c>
      <c r="L47">
        <v>5</v>
      </c>
      <c r="M47">
        <v>20</v>
      </c>
      <c r="N47">
        <v>13</v>
      </c>
      <c r="O47">
        <v>8</v>
      </c>
      <c r="P47">
        <v>6</v>
      </c>
      <c r="Q47">
        <v>0</v>
      </c>
      <c r="R47">
        <v>3</v>
      </c>
      <c r="S47">
        <v>202</v>
      </c>
      <c r="T47">
        <v>284</v>
      </c>
      <c r="U47">
        <v>39</v>
      </c>
      <c r="V47">
        <v>123</v>
      </c>
      <c r="W47">
        <v>474</v>
      </c>
      <c r="X47">
        <v>345</v>
      </c>
      <c r="Y47">
        <v>104</v>
      </c>
      <c r="Z47">
        <v>138</v>
      </c>
      <c r="AA47">
        <v>51</v>
      </c>
      <c r="AB47">
        <v>60</v>
      </c>
      <c r="AC47">
        <v>1</v>
      </c>
      <c r="AD47">
        <v>13</v>
      </c>
      <c r="AE47">
        <v>5383</v>
      </c>
      <c r="AF47">
        <v>547</v>
      </c>
      <c r="AG47">
        <v>96</v>
      </c>
      <c r="AH47">
        <v>62</v>
      </c>
      <c r="AI47">
        <f>SUM(G47:R47)</f>
        <v>159</v>
      </c>
      <c r="AJ47">
        <f t="shared" si="0"/>
        <v>7922</v>
      </c>
      <c r="AK47">
        <f t="shared" si="2"/>
        <v>8081</v>
      </c>
    </row>
    <row r="48" spans="1:37" x14ac:dyDescent="0.2">
      <c r="A48" t="s">
        <v>30</v>
      </c>
      <c r="B48" t="s">
        <v>117</v>
      </c>
      <c r="C48">
        <v>3</v>
      </c>
      <c r="D48">
        <v>22</v>
      </c>
      <c r="E48">
        <v>6</v>
      </c>
      <c r="F48">
        <v>25</v>
      </c>
      <c r="G48">
        <v>7</v>
      </c>
      <c r="H48">
        <v>11</v>
      </c>
      <c r="I48">
        <v>12</v>
      </c>
      <c r="J48">
        <v>6</v>
      </c>
      <c r="K48">
        <v>14</v>
      </c>
      <c r="L48">
        <v>2</v>
      </c>
      <c r="M48">
        <v>7</v>
      </c>
      <c r="N48">
        <v>4</v>
      </c>
      <c r="O48">
        <v>20</v>
      </c>
      <c r="P48">
        <v>14</v>
      </c>
      <c r="Q48">
        <v>0</v>
      </c>
      <c r="R48">
        <v>4</v>
      </c>
      <c r="S48">
        <v>80</v>
      </c>
      <c r="T48">
        <v>77</v>
      </c>
      <c r="U48">
        <v>41</v>
      </c>
      <c r="V48">
        <v>62</v>
      </c>
      <c r="W48">
        <v>45</v>
      </c>
      <c r="X48">
        <v>39</v>
      </c>
      <c r="Y48">
        <v>74</v>
      </c>
      <c r="Z48">
        <v>120</v>
      </c>
      <c r="AA48">
        <v>47</v>
      </c>
      <c r="AB48">
        <v>113</v>
      </c>
      <c r="AC48">
        <v>9</v>
      </c>
      <c r="AD48">
        <v>16</v>
      </c>
      <c r="AE48">
        <v>0</v>
      </c>
      <c r="AF48">
        <v>155</v>
      </c>
      <c r="AG48">
        <v>67</v>
      </c>
      <c r="AH48">
        <v>65</v>
      </c>
      <c r="AI48">
        <f>SUM(G48:R48)</f>
        <v>101</v>
      </c>
      <c r="AJ48">
        <f t="shared" si="0"/>
        <v>1010</v>
      </c>
      <c r="AK48">
        <f t="shared" si="2"/>
        <v>1111</v>
      </c>
    </row>
    <row r="49" spans="1:37" x14ac:dyDescent="0.2">
      <c r="A49" t="s">
        <v>19</v>
      </c>
      <c r="B49" t="s">
        <v>118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2</v>
      </c>
      <c r="L49">
        <v>0</v>
      </c>
      <c r="M49">
        <v>0</v>
      </c>
      <c r="N49">
        <v>2</v>
      </c>
      <c r="O49">
        <v>4</v>
      </c>
      <c r="P49">
        <v>3</v>
      </c>
      <c r="Q49">
        <v>0</v>
      </c>
      <c r="R49">
        <v>0</v>
      </c>
      <c r="S49">
        <v>50</v>
      </c>
      <c r="T49">
        <v>61</v>
      </c>
      <c r="U49">
        <v>5</v>
      </c>
      <c r="V49">
        <v>37</v>
      </c>
      <c r="W49">
        <v>23</v>
      </c>
      <c r="X49">
        <v>30</v>
      </c>
      <c r="Y49">
        <v>5</v>
      </c>
      <c r="Z49">
        <v>14</v>
      </c>
      <c r="AA49">
        <v>10</v>
      </c>
      <c r="AB49">
        <v>19</v>
      </c>
      <c r="AC49">
        <v>0</v>
      </c>
      <c r="AD49">
        <v>0</v>
      </c>
      <c r="AE49">
        <v>1346</v>
      </c>
      <c r="AF49">
        <v>104</v>
      </c>
      <c r="AG49">
        <v>28</v>
      </c>
      <c r="AH49">
        <v>17</v>
      </c>
      <c r="AI49">
        <f>SUM(G49:R49)</f>
        <v>12</v>
      </c>
      <c r="AJ49">
        <f t="shared" si="0"/>
        <v>1749</v>
      </c>
      <c r="AK49">
        <f t="shared" si="2"/>
        <v>1761</v>
      </c>
    </row>
    <row r="50" spans="1:37" x14ac:dyDescent="0.2">
      <c r="A50" t="s">
        <v>38</v>
      </c>
      <c r="C50">
        <f>SUM(C3:C49)</f>
        <v>375</v>
      </c>
      <c r="D50">
        <f>SUM(D3:D49)</f>
        <v>430</v>
      </c>
      <c r="E50">
        <f>SUM(E3:E49)</f>
        <v>468</v>
      </c>
      <c r="F50">
        <f>SUM(F3:F49)</f>
        <v>533</v>
      </c>
      <c r="G50">
        <f>SUM(G3:G49)</f>
        <v>606</v>
      </c>
      <c r="H50">
        <f>SUM(H3:H49)</f>
        <v>554</v>
      </c>
      <c r="I50">
        <f>SUM(I3:I49)</f>
        <v>428</v>
      </c>
      <c r="J50">
        <f>SUM(J3:J49)</f>
        <v>372</v>
      </c>
      <c r="K50">
        <f>SUM(K3:K49)</f>
        <v>126</v>
      </c>
      <c r="L50">
        <f>SUM(L3:L49)</f>
        <v>126</v>
      </c>
      <c r="M50">
        <f>SUM(M3:M49)</f>
        <v>430</v>
      </c>
      <c r="N50">
        <f>SUM(N3:N49)</f>
        <v>391</v>
      </c>
      <c r="O50">
        <f>SUM(O3:O49)</f>
        <v>249</v>
      </c>
      <c r="P50">
        <f>SUM(P3:P49)</f>
        <v>211</v>
      </c>
      <c r="Q50">
        <f>SUM(Q3:Q49)</f>
        <v>326</v>
      </c>
      <c r="R50">
        <f>SUM(R3:R49)</f>
        <v>193</v>
      </c>
      <c r="S50">
        <f>SUM(S3:S49)</f>
        <v>1079</v>
      </c>
      <c r="T50">
        <f>SUM(T3:T49)</f>
        <v>1437</v>
      </c>
      <c r="U50">
        <f>SUM(U3:U49)</f>
        <v>332</v>
      </c>
      <c r="V50">
        <f>SUM(V3:V49)</f>
        <v>1177</v>
      </c>
      <c r="W50">
        <f>SUM(W3:W49)</f>
        <v>1604</v>
      </c>
      <c r="X50">
        <f>SUM(X3:X49)</f>
        <v>1282</v>
      </c>
      <c r="Y50">
        <f>SUM(Y3:Y49)</f>
        <v>1379</v>
      </c>
      <c r="Z50">
        <f>SUM(Z3:Z49)</f>
        <v>1598</v>
      </c>
      <c r="AA50">
        <f>SUM(AA3:AA49)</f>
        <v>362</v>
      </c>
      <c r="AB50">
        <f>SUM(AB3:AB49)</f>
        <v>1005</v>
      </c>
      <c r="AC50">
        <f>SUM(AC3:AC49)</f>
        <v>587</v>
      </c>
      <c r="AD50">
        <f>SUM(AD3:AD49)</f>
        <v>1662</v>
      </c>
      <c r="AE50">
        <f>SUM(AE3:AE49)</f>
        <v>8014</v>
      </c>
      <c r="AF50">
        <f>SUM(AF3:AF49)</f>
        <v>1632</v>
      </c>
      <c r="AG50">
        <f>SUM(AG3:AG49)</f>
        <v>935</v>
      </c>
      <c r="AH50">
        <f>SUM(AH3:AH49)</f>
        <v>506</v>
      </c>
      <c r="AI50">
        <f>SUM(AI3:AI49)</f>
        <v>4012</v>
      </c>
      <c r="AJ50">
        <f>SUM(AJ3:AJ49)</f>
        <v>24591</v>
      </c>
      <c r="AK50">
        <f>SUM(AK3:AK49)</f>
        <v>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mouse_ss2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Travaglini</dc:creator>
  <cp:lastModifiedBy>Kyle Travaglini</cp:lastModifiedBy>
  <dcterms:created xsi:type="dcterms:W3CDTF">2020-06-29T03:50:39Z</dcterms:created>
  <dcterms:modified xsi:type="dcterms:W3CDTF">2020-06-29T03:59:00Z</dcterms:modified>
</cp:coreProperties>
</file>